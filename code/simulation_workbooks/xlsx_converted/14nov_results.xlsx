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charts/colors2.xml" ContentType="application/vnd.ms-office.chartcolorstyle+xml"/>
  <Override PartName="/xl/charts/style1.xml" ContentType="application/vnd.ms-office.chartstyle+xml"/>
  <Override PartName="/xl/charts/style4.xml" ContentType="application/vnd.ms-office.chartstyle+xml"/>
  <Override PartName="/xl/charts/colors3.xml" ContentType="application/vnd.ms-office.chartcolor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e2 (2)" sheetId="1" state="visible" r:id="rId3"/>
    <sheet name="delay" sheetId="2" state="visible" r:id="rId4"/>
    <sheet name="Sys" sheetId="3" state="visible" r:id="rId5"/>
    <sheet name="CS" sheetId="4" state="visible" r:id="rId6"/>
    <sheet name="profit" sheetId="5" state="visible" r:id="rId7"/>
    <sheet name="case 1" sheetId="6" state="visible" r:id="rId8"/>
    <sheet name="case 2" sheetId="7" state="visible" r:id="rId9"/>
    <sheet name="case 3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<sst xmlns="http://schemas.openxmlformats.org/spreadsheetml/2006/main" count="55" uniqueCount="14">
  <si>
    <t xml:space="preserve">toll</t>
  </si>
  <si>
    <t xml:space="preserve">trucks</t>
  </si>
  <si>
    <t xml:space="preserve">tolled units</t>
  </si>
  <si>
    <t xml:space="preserve">utility</t>
  </si>
  <si>
    <t xml:space="preserve">delay </t>
  </si>
  <si>
    <t xml:space="preserve">truckes-d</t>
  </si>
  <si>
    <t xml:space="preserve">CS</t>
  </si>
  <si>
    <t xml:space="preserve">delay</t>
  </si>
  <si>
    <t xml:space="preserve">truckers-d</t>
  </si>
  <si>
    <t xml:space="preserve">profit</t>
  </si>
  <si>
    <t xml:space="preserve">user benefit</t>
  </si>
  <si>
    <t xml:space="preserve">system</t>
  </si>
  <si>
    <t xml:space="preserve">scenario</t>
  </si>
  <si>
    <t xml:space="preserve">Scenario 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</si>
</sst>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</font>
    <font>
      <sz val="10"/>
      <color rgb="FF000000"/>
      <name val="Arial"/>
      <family val="2"/>
    </font>
    <font>
      <b val="true"/>
      <sz val="10"/>
      <color rgb="FF000000"/>
      <name val="Arial"/>
      <family val="2"/>
    </font>
    <font>
      <sz val="14"/>
      <color rgb="FF000000"/>
      <name val="Arial"/>
      <family val="2"/>
    </font>
    <font>
      <b val="true"/>
      <sz val="8.75"/>
      <color rgb="FF000000"/>
      <name val="Arial"/>
      <family val="2"/>
    </font>
    <font>
      <sz val="8"/>
      <color rgb="FF000000"/>
      <name val="Arial"/>
      <family val="2"/>
    </font>
    <font>
      <b val="true"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Arial"/>
              </a:rPr>
              <a:t>Total delay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"Scenario - 1"</c:f>
              <c:strCache>
                <c:ptCount val="1"/>
                <c:pt idx="0">
                  <c:v>Scenario - 1</c:v>
                </c:pt>
              </c:strCache>
            </c:strRef>
          </c:tx>
          <c:spPr>
            <a:solidFill>
              <a:srgbClr val="000000"/>
            </a:solidFill>
            <a:ln w="25200">
              <a:solidFill>
                <a:srgbClr val="000000"/>
              </a:solidFill>
              <a:custDash>
                <a:ds d="151429" sp="151429"/>
              </a:custDash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  <a:custDash>
                    <a:ds d="151429" sp="151429"/>
                  </a:custDash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'case 1'!$A$4:$A$43</c:f>
              <c:numCache>
                <c:formatCode>General</c:formatCode>
                <c:ptCount val="4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</c:numCache>
            </c:numRef>
          </c:xVal>
          <c:yVal>
            <c:numRef>
              <c:f>'case 1'!$E$4:$E$43</c:f>
              <c:numCache>
                <c:formatCode>General</c:formatCode>
                <c:ptCount val="40"/>
                <c:pt idx="0">
                  <c:v>114028.116865132</c:v>
                </c:pt>
                <c:pt idx="1">
                  <c:v>111481.161663632</c:v>
                </c:pt>
                <c:pt idx="2">
                  <c:v>115158.052637827</c:v>
                </c:pt>
                <c:pt idx="3">
                  <c:v>114525.60922035</c:v>
                </c:pt>
                <c:pt idx="4">
                  <c:v>116925.319680433</c:v>
                </c:pt>
                <c:pt idx="5">
                  <c:v>113698.17734469</c:v>
                </c:pt>
                <c:pt idx="6">
                  <c:v>122957.556739144</c:v>
                </c:pt>
                <c:pt idx="7">
                  <c:v>113984.563086866</c:v>
                </c:pt>
                <c:pt idx="8">
                  <c:v>117521.342646694</c:v>
                </c:pt>
                <c:pt idx="9">
                  <c:v>110165.715858291</c:v>
                </c:pt>
                <c:pt idx="10">
                  <c:v>124759.237276504</c:v>
                </c:pt>
                <c:pt idx="11">
                  <c:v>123050.344873544</c:v>
                </c:pt>
                <c:pt idx="12">
                  <c:v>108867.03513977</c:v>
                </c:pt>
                <c:pt idx="13">
                  <c:v>113715.992057927</c:v>
                </c:pt>
                <c:pt idx="14">
                  <c:v>112456.032030684</c:v>
                </c:pt>
                <c:pt idx="15">
                  <c:v>113776.16988189</c:v>
                </c:pt>
                <c:pt idx="16">
                  <c:v>115881.763898848</c:v>
                </c:pt>
                <c:pt idx="17">
                  <c:v>114910.010490254</c:v>
                </c:pt>
                <c:pt idx="18">
                  <c:v>110292.569943274</c:v>
                </c:pt>
                <c:pt idx="19">
                  <c:v>108986.26128598</c:v>
                </c:pt>
                <c:pt idx="20">
                  <c:v>110366.186466171</c:v>
                </c:pt>
                <c:pt idx="21">
                  <c:v>117997.884496972</c:v>
                </c:pt>
                <c:pt idx="22">
                  <c:v>115212.465037777</c:v>
                </c:pt>
                <c:pt idx="23">
                  <c:v>109180.198181717</c:v>
                </c:pt>
                <c:pt idx="24">
                  <c:v>119023.556310549</c:v>
                </c:pt>
                <c:pt idx="25">
                  <c:v>115995.764526859</c:v>
                </c:pt>
                <c:pt idx="26">
                  <c:v>115365.85966018</c:v>
                </c:pt>
                <c:pt idx="27">
                  <c:v>118994.625346735</c:v>
                </c:pt>
                <c:pt idx="28">
                  <c:v>117672.086342384</c:v>
                </c:pt>
                <c:pt idx="29">
                  <c:v>118630.074385795</c:v>
                </c:pt>
                <c:pt idx="30">
                  <c:v>107794.878515378</c:v>
                </c:pt>
                <c:pt idx="31">
                  <c:v>117887.263232109</c:v>
                </c:pt>
                <c:pt idx="32">
                  <c:v>121858.265866878</c:v>
                </c:pt>
                <c:pt idx="33">
                  <c:v>117363.959572921</c:v>
                </c:pt>
                <c:pt idx="34">
                  <c:v>120803.565655421</c:v>
                </c:pt>
                <c:pt idx="35">
                  <c:v>112741.634532507</c:v>
                </c:pt>
                <c:pt idx="36">
                  <c:v>120779.346158882</c:v>
                </c:pt>
                <c:pt idx="37">
                  <c:v>123922.427742261</c:v>
                </c:pt>
                <c:pt idx="38">
                  <c:v>123394.021823543</c:v>
                </c:pt>
                <c:pt idx="39">
                  <c:v>119907.492466088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"Scenario - 2"</c:f>
              <c:strCache>
                <c:ptCount val="1"/>
                <c:pt idx="0">
                  <c:v>Scenario - 2</c:v>
                </c:pt>
              </c:strCache>
            </c:strRef>
          </c:tx>
          <c:spPr>
            <a:solidFill>
              <a:srgbClr val="000000"/>
            </a:solidFill>
            <a:ln w="2520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'case 2'!$A$4:$A$43</c:f>
              <c:numCache>
                <c:formatCode>General</c:formatCode>
                <c:ptCount val="4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</c:numCache>
            </c:numRef>
          </c:xVal>
          <c:yVal>
            <c:numRef>
              <c:f>'case 2'!$E$4:$E$43</c:f>
              <c:numCache>
                <c:formatCode>General</c:formatCode>
                <c:ptCount val="40"/>
                <c:pt idx="0">
                  <c:v>172845.93839929</c:v>
                </c:pt>
                <c:pt idx="1">
                  <c:v>190561.663616775</c:v>
                </c:pt>
                <c:pt idx="2">
                  <c:v>196969.106260982</c:v>
                </c:pt>
                <c:pt idx="3">
                  <c:v>187717.634370112</c:v>
                </c:pt>
                <c:pt idx="4">
                  <c:v>210251.521216459</c:v>
                </c:pt>
                <c:pt idx="5">
                  <c:v>199189.657331814</c:v>
                </c:pt>
                <c:pt idx="6">
                  <c:v>217274.707209945</c:v>
                </c:pt>
                <c:pt idx="7">
                  <c:v>191530.007362127</c:v>
                </c:pt>
                <c:pt idx="8">
                  <c:v>218674.324407497</c:v>
                </c:pt>
                <c:pt idx="9">
                  <c:v>206881.157305356</c:v>
                </c:pt>
                <c:pt idx="10">
                  <c:v>207367.437033978</c:v>
                </c:pt>
                <c:pt idx="11">
                  <c:v>205168.72839416</c:v>
                </c:pt>
                <c:pt idx="12">
                  <c:v>218819.536867056</c:v>
                </c:pt>
                <c:pt idx="13">
                  <c:v>204609.50048401</c:v>
                </c:pt>
                <c:pt idx="14">
                  <c:v>207357.575918055</c:v>
                </c:pt>
                <c:pt idx="15">
                  <c:v>209668.076006538</c:v>
                </c:pt>
                <c:pt idx="16">
                  <c:v>194197.321988209</c:v>
                </c:pt>
                <c:pt idx="17">
                  <c:v>200107.692440556</c:v>
                </c:pt>
                <c:pt idx="18">
                  <c:v>220419.787268433</c:v>
                </c:pt>
                <c:pt idx="19">
                  <c:v>205080.393904676</c:v>
                </c:pt>
                <c:pt idx="20">
                  <c:v>212375.557018419</c:v>
                </c:pt>
                <c:pt idx="21">
                  <c:v>209083.068343145</c:v>
                </c:pt>
                <c:pt idx="22">
                  <c:v>203870.693909831</c:v>
                </c:pt>
                <c:pt idx="23">
                  <c:v>183211.233768269</c:v>
                </c:pt>
                <c:pt idx="24">
                  <c:v>199233.647057638</c:v>
                </c:pt>
                <c:pt idx="25">
                  <c:v>193144.621425428</c:v>
                </c:pt>
                <c:pt idx="26">
                  <c:v>200418.978147228</c:v>
                </c:pt>
                <c:pt idx="27">
                  <c:v>205743.436078171</c:v>
                </c:pt>
                <c:pt idx="28">
                  <c:v>211103.759959393</c:v>
                </c:pt>
                <c:pt idx="29">
                  <c:v>209752.444664437</c:v>
                </c:pt>
                <c:pt idx="30">
                  <c:v>209808.117560062</c:v>
                </c:pt>
                <c:pt idx="31">
                  <c:v>225976.52888601</c:v>
                </c:pt>
                <c:pt idx="32">
                  <c:v>202067.774189792</c:v>
                </c:pt>
                <c:pt idx="33">
                  <c:v>222241.137058981</c:v>
                </c:pt>
                <c:pt idx="34">
                  <c:v>211643.09409879</c:v>
                </c:pt>
                <c:pt idx="35">
                  <c:v>210247.381414813</c:v>
                </c:pt>
                <c:pt idx="36">
                  <c:v>218696.135787324</c:v>
                </c:pt>
                <c:pt idx="37">
                  <c:v>194663.204312377</c:v>
                </c:pt>
                <c:pt idx="38">
                  <c:v>197647.574751611</c:v>
                </c:pt>
                <c:pt idx="39">
                  <c:v>204327.254009398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"Scenario -3 "</c:f>
              <c:strCache>
                <c:ptCount val="1"/>
                <c:pt idx="0">
                  <c:v>Scenario -3 </c:v>
                </c:pt>
              </c:strCache>
            </c:strRef>
          </c:tx>
          <c:spPr>
            <a:solidFill>
              <a:srgbClr val="000000"/>
            </a:solidFill>
            <a:ln w="1260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'case 3'!$A$4:$A$43</c:f>
              <c:numCache>
                <c:formatCode>General</c:formatCode>
                <c:ptCount val="4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</c:numCache>
            </c:numRef>
          </c:xVal>
          <c:yVal>
            <c:numRef>
              <c:f>'case 3'!$E$4:$E$43</c:f>
              <c:numCache>
                <c:formatCode>General</c:formatCode>
                <c:ptCount val="40"/>
                <c:pt idx="0">
                  <c:v>289686.620413408</c:v>
                </c:pt>
                <c:pt idx="1">
                  <c:v>291369.841075087</c:v>
                </c:pt>
                <c:pt idx="2">
                  <c:v>290629.781467726</c:v>
                </c:pt>
                <c:pt idx="3">
                  <c:v>305870.568685693</c:v>
                </c:pt>
                <c:pt idx="4">
                  <c:v>307596.036946813</c:v>
                </c:pt>
                <c:pt idx="5">
                  <c:v>300644.138465635</c:v>
                </c:pt>
                <c:pt idx="6">
                  <c:v>314275.264199192</c:v>
                </c:pt>
                <c:pt idx="7">
                  <c:v>305337.974235662</c:v>
                </c:pt>
                <c:pt idx="8">
                  <c:v>309955.518306537</c:v>
                </c:pt>
                <c:pt idx="9">
                  <c:v>318033.104448983</c:v>
                </c:pt>
                <c:pt idx="10">
                  <c:v>306135.527559928</c:v>
                </c:pt>
                <c:pt idx="11">
                  <c:v>324767.597581647</c:v>
                </c:pt>
                <c:pt idx="12">
                  <c:v>318397.277888681</c:v>
                </c:pt>
                <c:pt idx="13">
                  <c:v>308415.030481695</c:v>
                </c:pt>
                <c:pt idx="14">
                  <c:v>325475.861786318</c:v>
                </c:pt>
                <c:pt idx="15">
                  <c:v>318643.398600218</c:v>
                </c:pt>
                <c:pt idx="16">
                  <c:v>317746.007120297</c:v>
                </c:pt>
                <c:pt idx="17">
                  <c:v>307826.551706955</c:v>
                </c:pt>
                <c:pt idx="18">
                  <c:v>321581.469378594</c:v>
                </c:pt>
                <c:pt idx="19">
                  <c:v>319322.488688695</c:v>
                </c:pt>
                <c:pt idx="20">
                  <c:v>317208.885771414</c:v>
                </c:pt>
                <c:pt idx="21">
                  <c:v>319065.04217689</c:v>
                </c:pt>
                <c:pt idx="22">
                  <c:v>318848.309395508</c:v>
                </c:pt>
                <c:pt idx="23">
                  <c:v>321073.770079201</c:v>
                </c:pt>
                <c:pt idx="24">
                  <c:v>320191.896885182</c:v>
                </c:pt>
                <c:pt idx="25">
                  <c:v>310078.778777354</c:v>
                </c:pt>
                <c:pt idx="26">
                  <c:v>325821.05205267</c:v>
                </c:pt>
                <c:pt idx="27">
                  <c:v>326133.689915876</c:v>
                </c:pt>
                <c:pt idx="28">
                  <c:v>330468.79860911</c:v>
                </c:pt>
                <c:pt idx="29">
                  <c:v>327051.354183825</c:v>
                </c:pt>
                <c:pt idx="30">
                  <c:v>321722.189675084</c:v>
                </c:pt>
                <c:pt idx="31">
                  <c:v>323305.137735587</c:v>
                </c:pt>
                <c:pt idx="32">
                  <c:v>324747.096999923</c:v>
                </c:pt>
                <c:pt idx="33">
                  <c:v>317823.300699119</c:v>
                </c:pt>
                <c:pt idx="34">
                  <c:v>323915.022983552</c:v>
                </c:pt>
                <c:pt idx="35">
                  <c:v>328573.935715713</c:v>
                </c:pt>
                <c:pt idx="36">
                  <c:v>320586.910275664</c:v>
                </c:pt>
                <c:pt idx="37">
                  <c:v>342239.013254384</c:v>
                </c:pt>
                <c:pt idx="38">
                  <c:v>326133.690753082</c:v>
                </c:pt>
                <c:pt idx="39">
                  <c:v>317720.517980735</c:v>
                </c:pt>
              </c:numCache>
            </c:numRef>
          </c:yVal>
          <c:smooth val="1"/>
        </c:ser>
        <c:axId val="18630936"/>
        <c:axId val="13814368"/>
      </c:scatterChart>
      <c:valAx>
        <c:axId val="186309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toll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3814368"/>
        <c:crossesAt val="0"/>
        <c:crossBetween val="midCat"/>
      </c:valAx>
      <c:valAx>
        <c:axId val="1381436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Delay Total (sec)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8630936"/>
        <c:crossesAt val="0"/>
        <c:crossBetween val="midCat"/>
      </c:valAx>
      <c:spPr>
        <a:noFill/>
        <a:ln w="12600">
          <a:noFill/>
        </a:ln>
      </c:spPr>
    </c:plotArea>
    <c:legend>
      <c:legendPos val="r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4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noFill/>
    <a:ln w="1260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Arial"/>
              </a:rPr>
              <a:t>System benefit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"Scenario - 1"</c:f>
              <c:strCache>
                <c:ptCount val="1"/>
                <c:pt idx="0">
                  <c:v>Scenario - 1</c:v>
                </c:pt>
              </c:strCache>
            </c:strRef>
          </c:tx>
          <c:spPr>
            <a:solidFill>
              <a:srgbClr val="000000"/>
            </a:solidFill>
            <a:ln w="25200">
              <a:solidFill>
                <a:srgbClr val="000000"/>
              </a:solidFill>
              <a:custDash>
                <a:ds d="151429" sp="151429"/>
              </a:custDash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  <a:custDash>
                    <a:ds d="151429" sp="151429"/>
                  </a:custDash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'case 1'!$A$4:$A$43</c:f>
              <c:numCache>
                <c:formatCode>General</c:formatCode>
                <c:ptCount val="4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</c:numCache>
            </c:numRef>
          </c:xVal>
          <c:yVal>
            <c:numRef>
              <c:f>'case 1'!$O$4:$O$43</c:f>
              <c:numCache>
                <c:formatCode>General</c:formatCode>
                <c:ptCount val="40"/>
                <c:pt idx="0">
                  <c:v>138.485216686099</c:v>
                </c:pt>
                <c:pt idx="1">
                  <c:v>143.2106320445</c:v>
                </c:pt>
                <c:pt idx="2">
                  <c:v>129.803041847175</c:v>
                </c:pt>
                <c:pt idx="3">
                  <c:v>122.52908751242</c:v>
                </c:pt>
                <c:pt idx="4">
                  <c:v>108.646929164256</c:v>
                </c:pt>
                <c:pt idx="5">
                  <c:v>82.9686739260725</c:v>
                </c:pt>
                <c:pt idx="6">
                  <c:v>76.6523099631226</c:v>
                </c:pt>
                <c:pt idx="7">
                  <c:v>71.3160173774233</c:v>
                </c:pt>
                <c:pt idx="8">
                  <c:v>53.9962864396344</c:v>
                </c:pt>
                <c:pt idx="9">
                  <c:v>45.1041507463458</c:v>
                </c:pt>
                <c:pt idx="10">
                  <c:v>50.5144838342554</c:v>
                </c:pt>
                <c:pt idx="11">
                  <c:v>46.1225437800908</c:v>
                </c:pt>
                <c:pt idx="12">
                  <c:v>27.9002010668429</c:v>
                </c:pt>
                <c:pt idx="13">
                  <c:v>29.1643394582069</c:v>
                </c:pt>
                <c:pt idx="14">
                  <c:v>26.3560259550059</c:v>
                </c:pt>
                <c:pt idx="15">
                  <c:v>29.3024397046301</c:v>
                </c:pt>
                <c:pt idx="16">
                  <c:v>21.1250779548186</c:v>
                </c:pt>
                <c:pt idx="17">
                  <c:v>19.498216349959</c:v>
                </c:pt>
                <c:pt idx="18">
                  <c:v>18.9952104827832</c:v>
                </c:pt>
                <c:pt idx="19">
                  <c:v>16.4394351496514</c:v>
                </c:pt>
                <c:pt idx="20">
                  <c:v>15.1794942908988</c:v>
                </c:pt>
                <c:pt idx="21">
                  <c:v>18.8081389287635</c:v>
                </c:pt>
                <c:pt idx="22">
                  <c:v>14.6536076093707</c:v>
                </c:pt>
                <c:pt idx="23">
                  <c:v>14.9908962695426</c:v>
                </c:pt>
                <c:pt idx="24">
                  <c:v>14.3453907560939</c:v>
                </c:pt>
                <c:pt idx="25">
                  <c:v>15.9563318595661</c:v>
                </c:pt>
                <c:pt idx="26">
                  <c:v>13.802249261608</c:v>
                </c:pt>
                <c:pt idx="27">
                  <c:v>14.029173440572</c:v>
                </c:pt>
                <c:pt idx="28">
                  <c:v>10.134152628067</c:v>
                </c:pt>
                <c:pt idx="29">
                  <c:v>9.05177949402936</c:v>
                </c:pt>
                <c:pt idx="30">
                  <c:v>6.58915355793103</c:v>
                </c:pt>
                <c:pt idx="31">
                  <c:v>8.81352779648671</c:v>
                </c:pt>
                <c:pt idx="32">
                  <c:v>15.0615879561498</c:v>
                </c:pt>
                <c:pt idx="33">
                  <c:v>10.5031161776528</c:v>
                </c:pt>
                <c:pt idx="34">
                  <c:v>7.38420296601199</c:v>
                </c:pt>
                <c:pt idx="35">
                  <c:v>6.96469848968672</c:v>
                </c:pt>
                <c:pt idx="36">
                  <c:v>6.93361706586208</c:v>
                </c:pt>
                <c:pt idx="37">
                  <c:v>6.69151523139395</c:v>
                </c:pt>
                <c:pt idx="38">
                  <c:v>9.85437703125609</c:v>
                </c:pt>
                <c:pt idx="39">
                  <c:v>6.22946082513154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"Scenario - 2"</c:f>
              <c:strCache>
                <c:ptCount val="1"/>
                <c:pt idx="0">
                  <c:v>Scenario - 2</c:v>
                </c:pt>
              </c:strCache>
            </c:strRef>
          </c:tx>
          <c:spPr>
            <a:solidFill>
              <a:srgbClr val="000000"/>
            </a:solidFill>
            <a:ln w="2520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'case2 (2)'!$A$4:$A$43</c:f>
              <c:numCache>
                <c:formatCode>General</c:formatCode>
                <c:ptCount val="4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</c:numCache>
            </c:numRef>
          </c:xVal>
          <c:yVal>
            <c:numRef>
              <c:f>'case2 (2)'!$O$4:$O$43</c:f>
              <c:numCache>
                <c:formatCode>General</c:formatCode>
                <c:ptCount val="40"/>
                <c:pt idx="0">
                  <c:v>189.39298839949</c:v>
                </c:pt>
                <c:pt idx="1">
                  <c:v>202.25158624575</c:v>
                </c:pt>
                <c:pt idx="2">
                  <c:v>211.969641605782</c:v>
                </c:pt>
                <c:pt idx="3">
                  <c:v>180.785553224323</c:v>
                </c:pt>
                <c:pt idx="4">
                  <c:v>154.77294123291</c:v>
                </c:pt>
                <c:pt idx="5">
                  <c:v>146.629000370456</c:v>
                </c:pt>
                <c:pt idx="6">
                  <c:v>144.562182269533</c:v>
                </c:pt>
                <c:pt idx="7">
                  <c:v>126.764010954563</c:v>
                </c:pt>
                <c:pt idx="8">
                  <c:v>122.335257557852</c:v>
                </c:pt>
                <c:pt idx="9">
                  <c:v>99.1055325939484</c:v>
                </c:pt>
                <c:pt idx="10">
                  <c:v>100.69191518644</c:v>
                </c:pt>
                <c:pt idx="11">
                  <c:v>102.928692015679</c:v>
                </c:pt>
                <c:pt idx="12">
                  <c:v>99.6514363721482</c:v>
                </c:pt>
                <c:pt idx="13">
                  <c:v>75.9779772010187</c:v>
                </c:pt>
                <c:pt idx="14">
                  <c:v>57.370055515743</c:v>
                </c:pt>
                <c:pt idx="15">
                  <c:v>79.3574879055184</c:v>
                </c:pt>
                <c:pt idx="16">
                  <c:v>57.8643204404991</c:v>
                </c:pt>
                <c:pt idx="17">
                  <c:v>63.1104185752005</c:v>
                </c:pt>
                <c:pt idx="18">
                  <c:v>58.0848770385204</c:v>
                </c:pt>
                <c:pt idx="19">
                  <c:v>69.8156869641087</c:v>
                </c:pt>
                <c:pt idx="20">
                  <c:v>42.3598865086211</c:v>
                </c:pt>
                <c:pt idx="21">
                  <c:v>57.6660258794754</c:v>
                </c:pt>
                <c:pt idx="22">
                  <c:v>47.5020821892289</c:v>
                </c:pt>
                <c:pt idx="23">
                  <c:v>45.6789225182132</c:v>
                </c:pt>
                <c:pt idx="24">
                  <c:v>39.9664185830783</c:v>
                </c:pt>
                <c:pt idx="25">
                  <c:v>46.6975439106855</c:v>
                </c:pt>
                <c:pt idx="26">
                  <c:v>41.8598408439919</c:v>
                </c:pt>
                <c:pt idx="27">
                  <c:v>40.3483630054719</c:v>
                </c:pt>
                <c:pt idx="28">
                  <c:v>50.9211551828838</c:v>
                </c:pt>
                <c:pt idx="29">
                  <c:v>33.452582913928</c:v>
                </c:pt>
                <c:pt idx="30">
                  <c:v>49.8553151790426</c:v>
                </c:pt>
                <c:pt idx="31">
                  <c:v>52.9407135686579</c:v>
                </c:pt>
                <c:pt idx="32">
                  <c:v>35.238123479177</c:v>
                </c:pt>
                <c:pt idx="33">
                  <c:v>46.131766673419</c:v>
                </c:pt>
                <c:pt idx="34">
                  <c:v>38.5765839238436</c:v>
                </c:pt>
                <c:pt idx="35">
                  <c:v>35.9252354612578</c:v>
                </c:pt>
                <c:pt idx="36">
                  <c:v>29.7870507783095</c:v>
                </c:pt>
                <c:pt idx="37">
                  <c:v>20.0970078635401</c:v>
                </c:pt>
                <c:pt idx="38">
                  <c:v>27.1361532397804</c:v>
                </c:pt>
                <c:pt idx="39">
                  <c:v>25.3158562167892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"Scenario -3 "</c:f>
              <c:strCache>
                <c:ptCount val="1"/>
                <c:pt idx="0">
                  <c:v>Scenario -3 </c:v>
                </c:pt>
              </c:strCache>
            </c:strRef>
          </c:tx>
          <c:spPr>
            <a:solidFill>
              <a:srgbClr val="000000"/>
            </a:solidFill>
            <a:ln w="1260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'case 3'!$A$4:$A$43</c:f>
              <c:numCache>
                <c:formatCode>General</c:formatCode>
                <c:ptCount val="4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</c:numCache>
            </c:numRef>
          </c:xVal>
          <c:yVal>
            <c:numRef>
              <c:f>'case 3'!$O$4:$O$43</c:f>
              <c:numCache>
                <c:formatCode>General</c:formatCode>
                <c:ptCount val="40"/>
                <c:pt idx="0">
                  <c:v>294.489507631997</c:v>
                </c:pt>
                <c:pt idx="1">
                  <c:v>277.506021916226</c:v>
                </c:pt>
                <c:pt idx="2">
                  <c:v>273.348580688386</c:v>
                </c:pt>
                <c:pt idx="3">
                  <c:v>254.108965887532</c:v>
                </c:pt>
                <c:pt idx="4">
                  <c:v>239.931743402645</c:v>
                </c:pt>
                <c:pt idx="5">
                  <c:v>245.644929381951</c:v>
                </c:pt>
                <c:pt idx="6">
                  <c:v>232.996552943254</c:v>
                </c:pt>
                <c:pt idx="7">
                  <c:v>232.512133378996</c:v>
                </c:pt>
                <c:pt idx="8">
                  <c:v>196.747934363098</c:v>
                </c:pt>
                <c:pt idx="9">
                  <c:v>187.799279893661</c:v>
                </c:pt>
                <c:pt idx="10">
                  <c:v>173.619577848977</c:v>
                </c:pt>
                <c:pt idx="11">
                  <c:v>183.697921775337</c:v>
                </c:pt>
                <c:pt idx="12">
                  <c:v>170.059715290195</c:v>
                </c:pt>
                <c:pt idx="13">
                  <c:v>166.18963664133</c:v>
                </c:pt>
                <c:pt idx="14">
                  <c:v>167.352467313279</c:v>
                </c:pt>
                <c:pt idx="15">
                  <c:v>149.048696313614</c:v>
                </c:pt>
                <c:pt idx="16">
                  <c:v>145.124640076125</c:v>
                </c:pt>
                <c:pt idx="17">
                  <c:v>147.412309497834</c:v>
                </c:pt>
                <c:pt idx="18">
                  <c:v>143.084773676131</c:v>
                </c:pt>
                <c:pt idx="19">
                  <c:v>132.882126508092</c:v>
                </c:pt>
                <c:pt idx="20">
                  <c:v>122.911196301083</c:v>
                </c:pt>
                <c:pt idx="21">
                  <c:v>120.941692890879</c:v>
                </c:pt>
                <c:pt idx="22">
                  <c:v>108.877119799297</c:v>
                </c:pt>
                <c:pt idx="23">
                  <c:v>105.287271502934</c:v>
                </c:pt>
                <c:pt idx="24">
                  <c:v>113.638328230048</c:v>
                </c:pt>
                <c:pt idx="25">
                  <c:v>110.140720681698</c:v>
                </c:pt>
                <c:pt idx="26">
                  <c:v>119.303066873925</c:v>
                </c:pt>
                <c:pt idx="27">
                  <c:v>123.536624417233</c:v>
                </c:pt>
                <c:pt idx="28">
                  <c:v>127.352741169061</c:v>
                </c:pt>
                <c:pt idx="29">
                  <c:v>92.5881779713814</c:v>
                </c:pt>
                <c:pt idx="30">
                  <c:v>116.972570760275</c:v>
                </c:pt>
                <c:pt idx="31">
                  <c:v>116.456402488016</c:v>
                </c:pt>
                <c:pt idx="32">
                  <c:v>104.795475620367</c:v>
                </c:pt>
                <c:pt idx="33">
                  <c:v>90.147306216402</c:v>
                </c:pt>
                <c:pt idx="34">
                  <c:v>84.2175448109044</c:v>
                </c:pt>
                <c:pt idx="35">
                  <c:v>91.6051769037897</c:v>
                </c:pt>
                <c:pt idx="36">
                  <c:v>98.7773130523354</c:v>
                </c:pt>
                <c:pt idx="37">
                  <c:v>91.2478088397025</c:v>
                </c:pt>
                <c:pt idx="38">
                  <c:v>84.4713109398497</c:v>
                </c:pt>
                <c:pt idx="39">
                  <c:v>80.795609244452</c:v>
                </c:pt>
              </c:numCache>
            </c:numRef>
          </c:yVal>
          <c:smooth val="1"/>
        </c:ser>
        <c:axId val="66724900"/>
        <c:axId val="11090765"/>
      </c:scatterChart>
      <c:valAx>
        <c:axId val="667249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toll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1090765"/>
        <c:crossesAt val="0"/>
        <c:crossBetween val="midCat"/>
      </c:valAx>
      <c:valAx>
        <c:axId val="1109076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Consumer Surplus + Producer Surplus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6724900"/>
        <c:crossesAt val="0"/>
        <c:crossBetween val="midCat"/>
      </c:valAx>
      <c:spPr>
        <a:noFill/>
        <a:ln w="12600">
          <a:noFill/>
        </a:ln>
      </c:spPr>
    </c:plotArea>
    <c:legend>
      <c:legendPos val="r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4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noFill/>
    <a:ln w="1260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875" b="1" u="none" strike="noStrike">
                <a:solidFill>
                  <a:srgbClr val="000000"/>
                </a:solidFill>
                <a:uFillTx/>
                <a:latin typeface="Arial"/>
              </a:rPr>
              <a:t>user benefit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79387977108263"/>
          <c:y val="0.0784573586906103"/>
          <c:w val="0.794873007614813"/>
          <c:h val="0.883838049168379"/>
        </c:manualLayout>
      </c:layout>
      <c:scatterChart>
        <c:scatterStyle val="line"/>
        <c:varyColors val="0"/>
        <c:ser>
          <c:idx val="0"/>
          <c:order val="0"/>
          <c:tx>
            <c:strRef>
              <c:f>"Scenario - 1"</c:f>
              <c:strCache>
                <c:ptCount val="1"/>
                <c:pt idx="0">
                  <c:v>Scenario - 1</c:v>
                </c:pt>
              </c:strCache>
            </c:strRef>
          </c:tx>
          <c:spPr>
            <a:solidFill>
              <a:srgbClr val="000000"/>
            </a:solidFill>
            <a:ln w="25200">
              <a:solidFill>
                <a:srgbClr val="000000"/>
              </a:solidFill>
              <a:custDash>
                <a:ds d="151429" sp="151429"/>
              </a:custDash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  <a:custDash>
                    <a:ds d="151429" sp="151429"/>
                  </a:custDash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'case 1'!$A$4:$A$43</c:f>
              <c:numCache>
                <c:formatCode>General</c:formatCode>
                <c:ptCount val="4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</c:numCache>
            </c:numRef>
          </c:xVal>
          <c:yVal>
            <c:numRef>
              <c:f>'case 1'!$N$4:$N$43</c:f>
              <c:numCache>
                <c:formatCode>General</c:formatCode>
                <c:ptCount val="40"/>
                <c:pt idx="0">
                  <c:v>138.485216686099</c:v>
                </c:pt>
                <c:pt idx="1">
                  <c:v>117.1206320445</c:v>
                </c:pt>
                <c:pt idx="2">
                  <c:v>87.8830418471745</c:v>
                </c:pt>
                <c:pt idx="3">
                  <c:v>72.5190875124203</c:v>
                </c:pt>
                <c:pt idx="4">
                  <c:v>60.2469291642565</c:v>
                </c:pt>
                <c:pt idx="5">
                  <c:v>39.5186739260725</c:v>
                </c:pt>
                <c:pt idx="6">
                  <c:v>36.8123099631226</c:v>
                </c:pt>
                <c:pt idx="7">
                  <c:v>32.5360173774233</c:v>
                </c:pt>
                <c:pt idx="8">
                  <c:v>24.3162864396344</c:v>
                </c:pt>
                <c:pt idx="9">
                  <c:v>18.8241507463458</c:v>
                </c:pt>
                <c:pt idx="10">
                  <c:v>23.6144838342554</c:v>
                </c:pt>
                <c:pt idx="11">
                  <c:v>20.7125437800908</c:v>
                </c:pt>
                <c:pt idx="12">
                  <c:v>10.3802010668429</c:v>
                </c:pt>
                <c:pt idx="13">
                  <c:v>12.9143394582069</c:v>
                </c:pt>
                <c:pt idx="14">
                  <c:v>11.2360259550059</c:v>
                </c:pt>
                <c:pt idx="15">
                  <c:v>12.5024397046301</c:v>
                </c:pt>
                <c:pt idx="16">
                  <c:v>7.20507795481859</c:v>
                </c:pt>
                <c:pt idx="17">
                  <c:v>6.06821634995901</c:v>
                </c:pt>
                <c:pt idx="18">
                  <c:v>7.29521048278318</c:v>
                </c:pt>
                <c:pt idx="19">
                  <c:v>6.36943514965137</c:v>
                </c:pt>
                <c:pt idx="20">
                  <c:v>6.57949429089878</c:v>
                </c:pt>
                <c:pt idx="21">
                  <c:v>8.0981389287635</c:v>
                </c:pt>
                <c:pt idx="22">
                  <c:v>5.85360760937072</c:v>
                </c:pt>
                <c:pt idx="23">
                  <c:v>6.02089626954257</c:v>
                </c:pt>
                <c:pt idx="24">
                  <c:v>6.18539075609393</c:v>
                </c:pt>
                <c:pt idx="25">
                  <c:v>6.95633185956614</c:v>
                </c:pt>
                <c:pt idx="26">
                  <c:v>7.04224926160802</c:v>
                </c:pt>
                <c:pt idx="27">
                  <c:v>4.84917344057204</c:v>
                </c:pt>
                <c:pt idx="28">
                  <c:v>3.97415262806695</c:v>
                </c:pt>
                <c:pt idx="29">
                  <c:v>3.54177949402936</c:v>
                </c:pt>
                <c:pt idx="30">
                  <c:v>2.38915355793103</c:v>
                </c:pt>
                <c:pt idx="31">
                  <c:v>3.8535277964867</c:v>
                </c:pt>
                <c:pt idx="32">
                  <c:v>6.10158795614979</c:v>
                </c:pt>
                <c:pt idx="33">
                  <c:v>3.90311617765276</c:v>
                </c:pt>
                <c:pt idx="34">
                  <c:v>3.64420296601199</c:v>
                </c:pt>
                <c:pt idx="35">
                  <c:v>3.11469848968671</c:v>
                </c:pt>
                <c:pt idx="36">
                  <c:v>2.25361706586208</c:v>
                </c:pt>
                <c:pt idx="37">
                  <c:v>1.88151523139395</c:v>
                </c:pt>
                <c:pt idx="38">
                  <c:v>2.63437703125609</c:v>
                </c:pt>
                <c:pt idx="39">
                  <c:v>1.15946082513154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"Scenario - 2"</c:f>
              <c:strCache>
                <c:ptCount val="1"/>
                <c:pt idx="0">
                  <c:v>Scenario - 2</c:v>
                </c:pt>
              </c:strCache>
            </c:strRef>
          </c:tx>
          <c:spPr>
            <a:solidFill>
              <a:srgbClr val="000000"/>
            </a:solidFill>
            <a:ln w="2520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'case 2'!$A$4:$A$43</c:f>
              <c:numCache>
                <c:formatCode>General</c:formatCode>
                <c:ptCount val="4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</c:numCache>
            </c:numRef>
          </c:xVal>
          <c:yVal>
            <c:numRef>
              <c:f>'case 2'!$N$4:$N$43</c:f>
              <c:numCache>
                <c:formatCode>General</c:formatCode>
                <c:ptCount val="40"/>
                <c:pt idx="0">
                  <c:v>180.090859514768</c:v>
                </c:pt>
                <c:pt idx="1">
                  <c:v>180.812700063459</c:v>
                </c:pt>
                <c:pt idx="2">
                  <c:v>149.811125548057</c:v>
                </c:pt>
                <c:pt idx="3">
                  <c:v>108.822633174275</c:v>
                </c:pt>
                <c:pt idx="4">
                  <c:v>109.098785528139</c:v>
                </c:pt>
                <c:pt idx="5">
                  <c:v>98.6874915212763</c:v>
                </c:pt>
                <c:pt idx="6">
                  <c:v>95.8552506954489</c:v>
                </c:pt>
                <c:pt idx="7">
                  <c:v>65.2812789225453</c:v>
                </c:pt>
                <c:pt idx="8">
                  <c:v>67.1375548842601</c:v>
                </c:pt>
                <c:pt idx="9">
                  <c:v>56.8755820719603</c:v>
                </c:pt>
                <c:pt idx="10">
                  <c:v>50.3936517901683</c:v>
                </c:pt>
                <c:pt idx="11">
                  <c:v>45.9094329687767</c:v>
                </c:pt>
                <c:pt idx="12">
                  <c:v>47.1437601216494</c:v>
                </c:pt>
                <c:pt idx="13">
                  <c:v>53.8361658676123</c:v>
                </c:pt>
                <c:pt idx="14">
                  <c:v>36.0246134904274</c:v>
                </c:pt>
                <c:pt idx="15">
                  <c:v>42.9321481606323</c:v>
                </c:pt>
                <c:pt idx="16">
                  <c:v>28.9821138073976</c:v>
                </c:pt>
                <c:pt idx="17">
                  <c:v>30.9883888834002</c:v>
                </c:pt>
                <c:pt idx="18">
                  <c:v>29.1109796001041</c:v>
                </c:pt>
                <c:pt idx="19">
                  <c:v>23.9253098452378</c:v>
                </c:pt>
                <c:pt idx="20">
                  <c:v>25.0520785734261</c:v>
                </c:pt>
                <c:pt idx="21">
                  <c:v>17.7209605969565</c:v>
                </c:pt>
                <c:pt idx="22">
                  <c:v>16.7385020148363</c:v>
                </c:pt>
                <c:pt idx="23">
                  <c:v>15.5781709032477</c:v>
                </c:pt>
                <c:pt idx="24">
                  <c:v>29.9300184778559</c:v>
                </c:pt>
                <c:pt idx="25">
                  <c:v>18.1055922670569</c:v>
                </c:pt>
                <c:pt idx="26">
                  <c:v>22.1637667012222</c:v>
                </c:pt>
                <c:pt idx="27">
                  <c:v>22.7140027972381</c:v>
                </c:pt>
                <c:pt idx="28">
                  <c:v>14.5492339252555</c:v>
                </c:pt>
                <c:pt idx="29">
                  <c:v>18.8684573526799</c:v>
                </c:pt>
                <c:pt idx="30">
                  <c:v>10.9816695727548</c:v>
                </c:pt>
                <c:pt idx="31">
                  <c:v>24.7893427537309</c:v>
                </c:pt>
                <c:pt idx="32">
                  <c:v>14.7286443980408</c:v>
                </c:pt>
                <c:pt idx="33">
                  <c:v>17.7998837611159</c:v>
                </c:pt>
                <c:pt idx="34">
                  <c:v>12.8734267503245</c:v>
                </c:pt>
                <c:pt idx="35">
                  <c:v>14.6692494079169</c:v>
                </c:pt>
                <c:pt idx="36">
                  <c:v>8.03468234042324</c:v>
                </c:pt>
                <c:pt idx="37">
                  <c:v>12.2958563412209</c:v>
                </c:pt>
                <c:pt idx="38">
                  <c:v>8.86677974986345</c:v>
                </c:pt>
                <c:pt idx="39">
                  <c:v>11.797500487756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"Scenario -3 "</c:f>
              <c:strCache>
                <c:ptCount val="1"/>
                <c:pt idx="0">
                  <c:v>Scenario -3 </c:v>
                </c:pt>
              </c:strCache>
            </c:strRef>
          </c:tx>
          <c:spPr>
            <a:solidFill>
              <a:srgbClr val="000000"/>
            </a:solidFill>
            <a:ln w="1260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'case 3'!$A$4:$A$43</c:f>
              <c:numCache>
                <c:formatCode>General</c:formatCode>
                <c:ptCount val="4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</c:numCache>
            </c:numRef>
          </c:xVal>
          <c:yVal>
            <c:numRef>
              <c:f>'case 3'!$N$4:$N$43</c:f>
              <c:numCache>
                <c:formatCode>General</c:formatCode>
                <c:ptCount val="40"/>
                <c:pt idx="0">
                  <c:v>294.489507631997</c:v>
                </c:pt>
                <c:pt idx="1">
                  <c:v>247.956021916226</c:v>
                </c:pt>
                <c:pt idx="2">
                  <c:v>222.008580688386</c:v>
                </c:pt>
                <c:pt idx="3">
                  <c:v>191.468965887532</c:v>
                </c:pt>
                <c:pt idx="4">
                  <c:v>174.211743402645</c:v>
                </c:pt>
                <c:pt idx="5">
                  <c:v>176.144929381951</c:v>
                </c:pt>
                <c:pt idx="6">
                  <c:v>157.756552943254</c:v>
                </c:pt>
                <c:pt idx="7">
                  <c:v>160.412133378996</c:v>
                </c:pt>
                <c:pt idx="8">
                  <c:v>126.587934363098</c:v>
                </c:pt>
                <c:pt idx="9">
                  <c:v>121.289279893661</c:v>
                </c:pt>
                <c:pt idx="10">
                  <c:v>108.619577848977</c:v>
                </c:pt>
                <c:pt idx="11">
                  <c:v>109.997921775337</c:v>
                </c:pt>
                <c:pt idx="12">
                  <c:v>100.099715290195</c:v>
                </c:pt>
                <c:pt idx="13">
                  <c:v>99.1096366413296</c:v>
                </c:pt>
                <c:pt idx="14">
                  <c:v>100.432467313279</c:v>
                </c:pt>
                <c:pt idx="15">
                  <c:v>82.1486963136143</c:v>
                </c:pt>
                <c:pt idx="16">
                  <c:v>83.8446400761253</c:v>
                </c:pt>
                <c:pt idx="17">
                  <c:v>86.8923094978343</c:v>
                </c:pt>
                <c:pt idx="18">
                  <c:v>80.0847736761305</c:v>
                </c:pt>
                <c:pt idx="19">
                  <c:v>75.1221265080917</c:v>
                </c:pt>
                <c:pt idx="20">
                  <c:v>65.7111963010827</c:v>
                </c:pt>
                <c:pt idx="21">
                  <c:v>59.8316928908795</c:v>
                </c:pt>
                <c:pt idx="22">
                  <c:v>56.9571197992975</c:v>
                </c:pt>
                <c:pt idx="23">
                  <c:v>51.6972715029337</c:v>
                </c:pt>
                <c:pt idx="24">
                  <c:v>61.7983282300477</c:v>
                </c:pt>
                <c:pt idx="25">
                  <c:v>55.8907206816975</c:v>
                </c:pt>
                <c:pt idx="26">
                  <c:v>62.8830668739248</c:v>
                </c:pt>
                <c:pt idx="27">
                  <c:v>68.4566244172331</c:v>
                </c:pt>
                <c:pt idx="28">
                  <c:v>69.3927411690608</c:v>
                </c:pt>
                <c:pt idx="29">
                  <c:v>45.3181779713814</c:v>
                </c:pt>
                <c:pt idx="30">
                  <c:v>60.8725707602745</c:v>
                </c:pt>
                <c:pt idx="31">
                  <c:v>65.6164024880163</c:v>
                </c:pt>
                <c:pt idx="32">
                  <c:v>55.515475620367</c:v>
                </c:pt>
                <c:pt idx="33">
                  <c:v>38.997306216402</c:v>
                </c:pt>
                <c:pt idx="34">
                  <c:v>38.9975448109044</c:v>
                </c:pt>
                <c:pt idx="35">
                  <c:v>41.5551769037897</c:v>
                </c:pt>
                <c:pt idx="36">
                  <c:v>46.9373130523354</c:v>
                </c:pt>
                <c:pt idx="37">
                  <c:v>42.0378088397025</c:v>
                </c:pt>
                <c:pt idx="38">
                  <c:v>36.9713109398497</c:v>
                </c:pt>
                <c:pt idx="39">
                  <c:v>35.165609244452</c:v>
                </c:pt>
              </c:numCache>
            </c:numRef>
          </c:yVal>
          <c:smooth val="1"/>
        </c:ser>
        <c:axId val="2879431"/>
        <c:axId val="12082083"/>
      </c:scatterChart>
      <c:valAx>
        <c:axId val="28794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8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toll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8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2082083"/>
        <c:crossesAt val="0"/>
        <c:crossBetween val="midCat"/>
      </c:valAx>
      <c:valAx>
        <c:axId val="1208208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8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Consumer Surplus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8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879431"/>
        <c:crossesAt val="0"/>
        <c:crossBetween val="midCat"/>
      </c:valAx>
      <c:spPr>
        <a:noFill/>
        <a:ln w="12600">
          <a:noFill/>
        </a:ln>
      </c:spPr>
    </c:plotArea>
    <c:legend>
      <c:legendPos val="r"/>
      <c:layout>
        <c:manualLayout>
          <c:xMode val="edge"/>
          <c:yMode val="edge"/>
          <c:x val="0.763846190228444"/>
          <c:y val="0.471738122059506"/>
          <c:w val="0.213593151397626"/>
          <c:h val="0.144920813730038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4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noFill/>
    <a:ln w="1260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Arial"/>
              </a:rPr>
              <a:t>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79387977108263"/>
          <c:y val="0.0784573586906103"/>
          <c:w val="0.794873007614813"/>
          <c:h val="0.883838049168379"/>
        </c:manualLayout>
      </c:layout>
      <c:scatterChart>
        <c:scatterStyle val="line"/>
        <c:varyColors val="0"/>
        <c:ser>
          <c:idx val="0"/>
          <c:order val="0"/>
          <c:tx>
            <c:strRef>
              <c:f>"Scenario - 1"</c:f>
              <c:strCache>
                <c:ptCount val="1"/>
                <c:pt idx="0">
                  <c:v>Scenario - 1</c:v>
                </c:pt>
              </c:strCache>
            </c:strRef>
          </c:tx>
          <c:spPr>
            <a:solidFill>
              <a:srgbClr val="000000"/>
            </a:solidFill>
            <a:ln w="25200">
              <a:solidFill>
                <a:srgbClr val="000000"/>
              </a:solidFill>
              <a:custDash>
                <a:ds d="151429" sp="151429"/>
              </a:custDash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  <a:custDash>
                    <a:ds d="151429" sp="151429"/>
                  </a:custDash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'case 1'!$A$4:$A$43</c:f>
              <c:numCache>
                <c:formatCode>General</c:formatCode>
                <c:ptCount val="4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</c:numCache>
            </c:numRef>
          </c:xVal>
          <c:yVal>
            <c:numRef>
              <c:f>'case 1'!$M$4:$M$43</c:f>
              <c:numCache>
                <c:formatCode>General</c:formatCode>
                <c:ptCount val="40"/>
                <c:pt idx="0">
                  <c:v>0</c:v>
                </c:pt>
                <c:pt idx="1">
                  <c:v>26.09</c:v>
                </c:pt>
                <c:pt idx="2">
                  <c:v>41.92</c:v>
                </c:pt>
                <c:pt idx="3">
                  <c:v>50.01</c:v>
                </c:pt>
                <c:pt idx="4">
                  <c:v>48.4</c:v>
                </c:pt>
                <c:pt idx="5">
                  <c:v>43.45</c:v>
                </c:pt>
                <c:pt idx="6">
                  <c:v>39.84</c:v>
                </c:pt>
                <c:pt idx="7">
                  <c:v>38.78</c:v>
                </c:pt>
                <c:pt idx="8">
                  <c:v>29.68</c:v>
                </c:pt>
                <c:pt idx="9">
                  <c:v>26.28</c:v>
                </c:pt>
                <c:pt idx="10">
                  <c:v>26.9</c:v>
                </c:pt>
                <c:pt idx="11">
                  <c:v>25.41</c:v>
                </c:pt>
                <c:pt idx="12">
                  <c:v>17.52</c:v>
                </c:pt>
                <c:pt idx="13">
                  <c:v>16.25</c:v>
                </c:pt>
                <c:pt idx="14">
                  <c:v>15.12</c:v>
                </c:pt>
                <c:pt idx="15">
                  <c:v>16.8</c:v>
                </c:pt>
                <c:pt idx="16">
                  <c:v>13.92</c:v>
                </c:pt>
                <c:pt idx="17">
                  <c:v>13.43</c:v>
                </c:pt>
                <c:pt idx="18">
                  <c:v>11.7</c:v>
                </c:pt>
                <c:pt idx="19">
                  <c:v>10.07</c:v>
                </c:pt>
                <c:pt idx="20">
                  <c:v>8.6</c:v>
                </c:pt>
                <c:pt idx="21">
                  <c:v>10.71</c:v>
                </c:pt>
                <c:pt idx="22">
                  <c:v>8.8</c:v>
                </c:pt>
                <c:pt idx="23">
                  <c:v>8.97</c:v>
                </c:pt>
                <c:pt idx="24">
                  <c:v>8.16</c:v>
                </c:pt>
                <c:pt idx="25">
                  <c:v>9</c:v>
                </c:pt>
                <c:pt idx="26">
                  <c:v>6.76</c:v>
                </c:pt>
                <c:pt idx="27">
                  <c:v>9.18</c:v>
                </c:pt>
                <c:pt idx="28">
                  <c:v>6.16</c:v>
                </c:pt>
                <c:pt idx="29">
                  <c:v>5.51</c:v>
                </c:pt>
                <c:pt idx="30">
                  <c:v>4.2</c:v>
                </c:pt>
                <c:pt idx="31">
                  <c:v>4.96</c:v>
                </c:pt>
                <c:pt idx="32">
                  <c:v>8.96</c:v>
                </c:pt>
                <c:pt idx="33">
                  <c:v>6.6</c:v>
                </c:pt>
                <c:pt idx="34">
                  <c:v>3.74</c:v>
                </c:pt>
                <c:pt idx="35">
                  <c:v>3.85</c:v>
                </c:pt>
                <c:pt idx="36">
                  <c:v>4.68</c:v>
                </c:pt>
                <c:pt idx="37">
                  <c:v>4.81</c:v>
                </c:pt>
                <c:pt idx="38">
                  <c:v>7.22</c:v>
                </c:pt>
                <c:pt idx="39">
                  <c:v>5.07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"Scenario - 2"</c:f>
              <c:strCache>
                <c:ptCount val="1"/>
                <c:pt idx="0">
                  <c:v>Scenario - 2</c:v>
                </c:pt>
              </c:strCache>
            </c:strRef>
          </c:tx>
          <c:spPr>
            <a:solidFill>
              <a:srgbClr val="000000"/>
            </a:solidFill>
            <a:ln w="2520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'case 2'!$A$4:$A$43</c:f>
              <c:numCache>
                <c:formatCode>General</c:formatCode>
                <c:ptCount val="4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</c:numCache>
            </c:numRef>
          </c:xVal>
          <c:yVal>
            <c:numRef>
              <c:f>'case 2'!$M$4:$M$43</c:f>
              <c:numCache>
                <c:formatCode>General</c:formatCode>
                <c:ptCount val="40"/>
                <c:pt idx="0">
                  <c:v>0</c:v>
                </c:pt>
                <c:pt idx="1">
                  <c:v>28.77</c:v>
                </c:pt>
                <c:pt idx="2">
                  <c:v>47.22</c:v>
                </c:pt>
                <c:pt idx="3">
                  <c:v>54</c:v>
                </c:pt>
                <c:pt idx="4">
                  <c:v>61.28</c:v>
                </c:pt>
                <c:pt idx="5">
                  <c:v>64.75</c:v>
                </c:pt>
                <c:pt idx="6">
                  <c:v>63.66</c:v>
                </c:pt>
                <c:pt idx="7">
                  <c:v>51.52</c:v>
                </c:pt>
                <c:pt idx="8">
                  <c:v>53.92</c:v>
                </c:pt>
                <c:pt idx="9">
                  <c:v>52.56</c:v>
                </c:pt>
                <c:pt idx="10">
                  <c:v>46.9</c:v>
                </c:pt>
                <c:pt idx="11">
                  <c:v>43.78</c:v>
                </c:pt>
                <c:pt idx="12">
                  <c:v>43.68</c:v>
                </c:pt>
                <c:pt idx="13">
                  <c:v>41.21</c:v>
                </c:pt>
                <c:pt idx="14">
                  <c:v>35.14</c:v>
                </c:pt>
                <c:pt idx="15">
                  <c:v>40.05</c:v>
                </c:pt>
                <c:pt idx="16">
                  <c:v>33.12</c:v>
                </c:pt>
                <c:pt idx="17">
                  <c:v>29.58</c:v>
                </c:pt>
                <c:pt idx="18">
                  <c:v>30.78</c:v>
                </c:pt>
                <c:pt idx="19">
                  <c:v>28.5</c:v>
                </c:pt>
                <c:pt idx="20">
                  <c:v>29.8</c:v>
                </c:pt>
                <c:pt idx="21">
                  <c:v>23.73</c:v>
                </c:pt>
                <c:pt idx="22">
                  <c:v>22.44</c:v>
                </c:pt>
                <c:pt idx="23">
                  <c:v>22.31</c:v>
                </c:pt>
                <c:pt idx="24">
                  <c:v>24.72</c:v>
                </c:pt>
                <c:pt idx="25">
                  <c:v>19.25</c:v>
                </c:pt>
                <c:pt idx="26">
                  <c:v>26</c:v>
                </c:pt>
                <c:pt idx="27">
                  <c:v>22.14</c:v>
                </c:pt>
                <c:pt idx="28">
                  <c:v>22.12</c:v>
                </c:pt>
                <c:pt idx="29">
                  <c:v>21.46</c:v>
                </c:pt>
                <c:pt idx="30">
                  <c:v>16.5</c:v>
                </c:pt>
                <c:pt idx="31">
                  <c:v>26.97</c:v>
                </c:pt>
                <c:pt idx="32">
                  <c:v>21.12</c:v>
                </c:pt>
                <c:pt idx="33">
                  <c:v>24.42</c:v>
                </c:pt>
                <c:pt idx="34">
                  <c:v>17.68</c:v>
                </c:pt>
                <c:pt idx="35">
                  <c:v>17.85</c:v>
                </c:pt>
                <c:pt idx="36">
                  <c:v>14.76</c:v>
                </c:pt>
                <c:pt idx="37">
                  <c:v>14.8</c:v>
                </c:pt>
                <c:pt idx="38">
                  <c:v>16.34</c:v>
                </c:pt>
                <c:pt idx="39">
                  <c:v>14.04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"Scenario -3 "</c:f>
              <c:strCache>
                <c:ptCount val="1"/>
                <c:pt idx="0">
                  <c:v>Scenario -3 </c:v>
                </c:pt>
              </c:strCache>
            </c:strRef>
          </c:tx>
          <c:spPr>
            <a:solidFill>
              <a:srgbClr val="000000"/>
            </a:solidFill>
            <a:ln w="1260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'case 3'!$A$4:$A$43</c:f>
              <c:numCache>
                <c:formatCode>General</c:formatCode>
                <c:ptCount val="4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</c:numCache>
            </c:numRef>
          </c:xVal>
          <c:yVal>
            <c:numRef>
              <c:f>'case 3'!$M$4:$M$43</c:f>
              <c:numCache>
                <c:formatCode>General</c:formatCode>
                <c:ptCount val="40"/>
                <c:pt idx="0">
                  <c:v>0</c:v>
                </c:pt>
                <c:pt idx="1">
                  <c:v>29.55</c:v>
                </c:pt>
                <c:pt idx="2">
                  <c:v>51.34</c:v>
                </c:pt>
                <c:pt idx="3">
                  <c:v>62.64</c:v>
                </c:pt>
                <c:pt idx="4">
                  <c:v>65.72</c:v>
                </c:pt>
                <c:pt idx="5">
                  <c:v>69.5</c:v>
                </c:pt>
                <c:pt idx="6">
                  <c:v>75.24</c:v>
                </c:pt>
                <c:pt idx="7">
                  <c:v>72.1</c:v>
                </c:pt>
                <c:pt idx="8">
                  <c:v>70.16</c:v>
                </c:pt>
                <c:pt idx="9">
                  <c:v>66.51</c:v>
                </c:pt>
                <c:pt idx="10">
                  <c:v>65</c:v>
                </c:pt>
                <c:pt idx="11">
                  <c:v>73.7</c:v>
                </c:pt>
                <c:pt idx="12">
                  <c:v>69.96</c:v>
                </c:pt>
                <c:pt idx="13">
                  <c:v>67.08</c:v>
                </c:pt>
                <c:pt idx="14">
                  <c:v>66.92</c:v>
                </c:pt>
                <c:pt idx="15">
                  <c:v>66.9</c:v>
                </c:pt>
                <c:pt idx="16">
                  <c:v>61.28</c:v>
                </c:pt>
                <c:pt idx="17">
                  <c:v>60.52</c:v>
                </c:pt>
                <c:pt idx="18">
                  <c:v>63</c:v>
                </c:pt>
                <c:pt idx="19">
                  <c:v>57.76</c:v>
                </c:pt>
                <c:pt idx="20">
                  <c:v>57.2</c:v>
                </c:pt>
                <c:pt idx="21">
                  <c:v>61.11</c:v>
                </c:pt>
                <c:pt idx="22">
                  <c:v>51.92</c:v>
                </c:pt>
                <c:pt idx="23">
                  <c:v>53.59</c:v>
                </c:pt>
                <c:pt idx="24">
                  <c:v>51.84</c:v>
                </c:pt>
                <c:pt idx="25">
                  <c:v>54.25</c:v>
                </c:pt>
                <c:pt idx="26">
                  <c:v>56.42</c:v>
                </c:pt>
                <c:pt idx="27">
                  <c:v>55.08</c:v>
                </c:pt>
                <c:pt idx="28">
                  <c:v>57.96</c:v>
                </c:pt>
                <c:pt idx="29">
                  <c:v>47.27</c:v>
                </c:pt>
                <c:pt idx="30">
                  <c:v>56.1</c:v>
                </c:pt>
                <c:pt idx="31">
                  <c:v>50.84</c:v>
                </c:pt>
                <c:pt idx="32">
                  <c:v>49.28</c:v>
                </c:pt>
                <c:pt idx="33">
                  <c:v>51.15</c:v>
                </c:pt>
                <c:pt idx="34">
                  <c:v>45.22</c:v>
                </c:pt>
                <c:pt idx="35">
                  <c:v>50.05</c:v>
                </c:pt>
                <c:pt idx="36">
                  <c:v>51.84</c:v>
                </c:pt>
                <c:pt idx="37">
                  <c:v>49.21</c:v>
                </c:pt>
                <c:pt idx="38">
                  <c:v>47.5</c:v>
                </c:pt>
                <c:pt idx="39">
                  <c:v>45.63</c:v>
                </c:pt>
              </c:numCache>
            </c:numRef>
          </c:yVal>
          <c:smooth val="1"/>
        </c:ser>
        <c:axId val="66493781"/>
        <c:axId val="9906139"/>
      </c:scatterChart>
      <c:valAx>
        <c:axId val="664937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toll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906139"/>
        <c:crossesAt val="0"/>
        <c:crossBetween val="midCat"/>
      </c:valAx>
      <c:valAx>
        <c:axId val="990613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Profit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6493781"/>
        <c:crossesAt val="0"/>
        <c:crossBetween val="midCat"/>
      </c:valAx>
      <c:spPr>
        <a:noFill/>
        <a:ln w="12600">
          <a:noFill/>
        </a:ln>
      </c:spPr>
    </c:plotArea>
    <c:legend>
      <c:legendPos val="r"/>
      <c:layout>
        <c:manualLayout>
          <c:xMode val="edge"/>
          <c:yMode val="edge"/>
          <c:x val="0.742609847230762"/>
          <c:y val="0.471738122059506"/>
          <c:w val="0.231944378754198"/>
          <c:h val="0.1402822874561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4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noFill/>
    <a:ln w="1260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9</xdr:col>
      <xdr:colOff>656280</xdr:colOff>
      <xdr:row>34</xdr:row>
      <xdr:rowOff>84960</xdr:rowOff>
    </xdr:to>
    <xdr:graphicFrame>
      <xdr:nvGraphicFramePr>
        <xdr:cNvPr id="1" name=" 0"/>
        <xdr:cNvGraphicFramePr/>
      </xdr:nvGraphicFramePr>
      <xdr:xfrm>
        <a:off x="360360" y="179640"/>
        <a:ext cx="7611120" cy="543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9</xdr:col>
      <xdr:colOff>656280</xdr:colOff>
      <xdr:row>34</xdr:row>
      <xdr:rowOff>84960</xdr:rowOff>
    </xdr:to>
    <xdr:graphicFrame>
      <xdr:nvGraphicFramePr>
        <xdr:cNvPr id="2" name=" 0"/>
        <xdr:cNvGraphicFramePr/>
      </xdr:nvGraphicFramePr>
      <xdr:xfrm>
        <a:off x="360360" y="179640"/>
        <a:ext cx="7611120" cy="543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9</xdr:col>
      <xdr:colOff>656280</xdr:colOff>
      <xdr:row>34</xdr:row>
      <xdr:rowOff>84960</xdr:rowOff>
    </xdr:to>
    <xdr:graphicFrame>
      <xdr:nvGraphicFramePr>
        <xdr:cNvPr id="3" name=" 0"/>
        <xdr:cNvGraphicFramePr/>
      </xdr:nvGraphicFramePr>
      <xdr:xfrm>
        <a:off x="360360" y="179640"/>
        <a:ext cx="7611120" cy="543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9</xdr:col>
      <xdr:colOff>656280</xdr:colOff>
      <xdr:row>34</xdr:row>
      <xdr:rowOff>84960</xdr:rowOff>
    </xdr:to>
    <xdr:graphicFrame>
      <xdr:nvGraphicFramePr>
        <xdr:cNvPr id="4" name=" 0"/>
        <xdr:cNvGraphicFramePr/>
      </xdr:nvGraphicFramePr>
      <xdr:xfrm>
        <a:off x="360360" y="179640"/>
        <a:ext cx="7611120" cy="543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O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2421875" defaultRowHeight="12" customHeight="false" zeroHeight="false" outlineLevelRow="0" outlineLevelCol="0"/>
  <cols>
    <col collapsed="false" customWidth="true" hidden="false" outlineLevel="0" max="3" min="3" style="0" width="10.32"/>
  </cols>
  <sheetData>
    <row r="3" customFormat="false" ht="12" hidden="false" customHeight="false" outlineLevel="0" collapsed="false">
      <c r="A3" s="0" t="s">
        <v>0</v>
      </c>
      <c r="B3" s="0" t="s">
        <v>1</v>
      </c>
      <c r="C3" s="0" t="s">
        <v>2</v>
      </c>
      <c r="D3" s="0" t="s">
        <v>3</v>
      </c>
      <c r="E3" s="0" t="s">
        <v>4</v>
      </c>
      <c r="F3" s="0" t="s">
        <v>5</v>
      </c>
      <c r="G3" s="0" t="s">
        <v>6</v>
      </c>
      <c r="I3" s="0" t="s">
        <v>3</v>
      </c>
      <c r="J3" s="0" t="s">
        <v>7</v>
      </c>
      <c r="K3" s="0" t="s">
        <v>8</v>
      </c>
      <c r="M3" s="0" t="s">
        <v>9</v>
      </c>
      <c r="N3" s="0" t="s">
        <v>10</v>
      </c>
      <c r="O3" s="0" t="s">
        <v>11</v>
      </c>
    </row>
    <row r="4" customFormat="false" ht="12" hidden="false" customHeight="false" outlineLevel="0" collapsed="false">
      <c r="A4" s="0" t="n">
        <v>0</v>
      </c>
      <c r="B4" s="0" t="n">
        <v>102.1</v>
      </c>
      <c r="C4" s="0" t="n">
        <v>68.22</v>
      </c>
      <c r="D4" s="0" t="n">
        <v>-617.028127188763</v>
      </c>
      <c r="E4" s="0" t="n">
        <v>175004.561804841</v>
      </c>
      <c r="F4" s="0" t="n">
        <v>3930.14592416423</v>
      </c>
      <c r="G4" s="0" t="n">
        <v>189.39298839949</v>
      </c>
      <c r="I4" s="0" t="n">
        <v>-772.101794596521</v>
      </c>
      <c r="J4" s="0" t="n">
        <v>196840.808880682</v>
      </c>
      <c r="K4" s="0" t="n">
        <v>19265.1373837189</v>
      </c>
      <c r="M4" s="0" t="n">
        <f aca="false">A4*C4</f>
        <v>0</v>
      </c>
      <c r="N4" s="0" t="n">
        <f aca="false">G4</f>
        <v>189.39298839949</v>
      </c>
      <c r="O4" s="0" t="n">
        <f aca="false">N4+M4</f>
        <v>189.39298839949</v>
      </c>
    </row>
    <row r="5" customFormat="false" ht="12" hidden="false" customHeight="false" outlineLevel="0" collapsed="false">
      <c r="A5" s="0" t="n">
        <v>0.5</v>
      </c>
      <c r="B5" s="0" t="n">
        <v>98.96</v>
      </c>
      <c r="C5" s="0" t="n">
        <v>56.2</v>
      </c>
      <c r="D5" s="0" t="n">
        <v>-732.811891402339</v>
      </c>
      <c r="E5" s="0" t="n">
        <v>200387.012951145</v>
      </c>
      <c r="F5" s="0" t="n">
        <v>5620.93832165436</v>
      </c>
      <c r="G5" s="0" t="n">
        <v>174.15158624575</v>
      </c>
      <c r="I5" s="0" t="n">
        <v>-869.324412981119</v>
      </c>
      <c r="J5" s="0" t="n">
        <v>221957.670650958</v>
      </c>
      <c r="K5" s="0" t="n">
        <v>22019.1786960146</v>
      </c>
      <c r="M5" s="0" t="n">
        <f aca="false">A5*C5</f>
        <v>28.1</v>
      </c>
      <c r="N5" s="0" t="n">
        <f aca="false">G5</f>
        <v>174.15158624575</v>
      </c>
      <c r="O5" s="0" t="n">
        <f aca="false">N5+M5</f>
        <v>202.25158624575</v>
      </c>
    </row>
    <row r="6" customFormat="false" ht="12" hidden="false" customHeight="false" outlineLevel="0" collapsed="false">
      <c r="A6" s="0" t="n">
        <v>1</v>
      </c>
      <c r="B6" s="0" t="n">
        <v>100.68</v>
      </c>
      <c r="C6" s="0" t="n">
        <v>48.3</v>
      </c>
      <c r="D6" s="0" t="n">
        <v>-746.183760045588</v>
      </c>
      <c r="E6" s="0" t="n">
        <v>198685.781011913</v>
      </c>
      <c r="F6" s="0" t="n">
        <v>7293.95657236872</v>
      </c>
      <c r="G6" s="0" t="n">
        <v>163.669641605782</v>
      </c>
      <c r="I6" s="0" t="n">
        <v>-870.250231329336</v>
      </c>
      <c r="J6" s="0" t="n">
        <v>218025.120589989</v>
      </c>
      <c r="K6" s="0" t="n">
        <v>22269.5969817051</v>
      </c>
      <c r="M6" s="0" t="n">
        <f aca="false">A6*C6</f>
        <v>48.3</v>
      </c>
      <c r="N6" s="0" t="n">
        <f aca="false">G6</f>
        <v>163.669641605782</v>
      </c>
      <c r="O6" s="0" t="n">
        <f aca="false">N6+M6</f>
        <v>211.969641605782</v>
      </c>
    </row>
    <row r="7" customFormat="false" ht="12" hidden="false" customHeight="false" outlineLevel="0" collapsed="false">
      <c r="A7" s="0" t="n">
        <v>1.5</v>
      </c>
      <c r="B7" s="0" t="n">
        <v>100.16</v>
      </c>
      <c r="C7" s="0" t="n">
        <v>37.88</v>
      </c>
      <c r="D7" s="0" t="n">
        <v>-723.113671263498</v>
      </c>
      <c r="E7" s="0" t="n">
        <v>188913.104184663</v>
      </c>
      <c r="F7" s="0" t="n">
        <v>8718.01552238009</v>
      </c>
      <c r="G7" s="0" t="n">
        <v>123.965553224323</v>
      </c>
      <c r="I7" s="0" t="n">
        <v>-808.532492035585</v>
      </c>
      <c r="J7" s="0" t="n">
        <v>204079.133107281</v>
      </c>
      <c r="K7" s="0" t="n">
        <v>20732.2166941077</v>
      </c>
      <c r="M7" s="0" t="n">
        <f aca="false">A7*C7</f>
        <v>56.82</v>
      </c>
      <c r="N7" s="0" t="n">
        <f aca="false">G7</f>
        <v>123.965553224323</v>
      </c>
      <c r="O7" s="0" t="n">
        <f aca="false">N7+M7</f>
        <v>180.785553224323</v>
      </c>
    </row>
    <row r="8" customFormat="false" ht="12" hidden="false" customHeight="false" outlineLevel="0" collapsed="false">
      <c r="A8" s="0" t="n">
        <v>2</v>
      </c>
      <c r="B8" s="0" t="n">
        <v>98.7</v>
      </c>
      <c r="C8" s="0" t="n">
        <v>29.32</v>
      </c>
      <c r="D8" s="0" t="n">
        <v>-719.011394018385</v>
      </c>
      <c r="E8" s="0" t="n">
        <v>187136.110647777</v>
      </c>
      <c r="F8" s="0" t="n">
        <v>10240.4229542555</v>
      </c>
      <c r="G8" s="0" t="n">
        <v>96.1329412329101</v>
      </c>
      <c r="I8" s="0" t="n">
        <v>-778.870977281386</v>
      </c>
      <c r="J8" s="0" t="n">
        <v>198943.075463483</v>
      </c>
      <c r="K8" s="0" t="n">
        <v>20270.3854311991</v>
      </c>
      <c r="M8" s="0" t="n">
        <f aca="false">A8*C8</f>
        <v>58.64</v>
      </c>
      <c r="N8" s="0" t="n">
        <f aca="false">G8</f>
        <v>96.1329412329101</v>
      </c>
      <c r="O8" s="0" t="n">
        <f aca="false">N8+M8</f>
        <v>154.77294123291</v>
      </c>
    </row>
    <row r="9" customFormat="false" ht="12" hidden="false" customHeight="false" outlineLevel="0" collapsed="false">
      <c r="A9" s="0" t="n">
        <v>2.5</v>
      </c>
      <c r="B9" s="0" t="n">
        <v>100.38</v>
      </c>
      <c r="C9" s="0" t="n">
        <v>23.3</v>
      </c>
      <c r="D9" s="0" t="n">
        <v>-720.947298785999</v>
      </c>
      <c r="E9" s="0" t="n">
        <v>187503.021542242</v>
      </c>
      <c r="F9" s="0" t="n">
        <v>11404.0074960936</v>
      </c>
      <c r="G9" s="0" t="n">
        <v>88.3790003704563</v>
      </c>
      <c r="I9" s="0" t="n">
        <v>-778.023389758518</v>
      </c>
      <c r="J9" s="0" t="n">
        <v>197024.483408548</v>
      </c>
      <c r="K9" s="0" t="n">
        <v>19764.2741911063</v>
      </c>
      <c r="M9" s="0" t="n">
        <f aca="false">A9*C9</f>
        <v>58.25</v>
      </c>
      <c r="N9" s="0" t="n">
        <f aca="false">G9</f>
        <v>88.3790003704563</v>
      </c>
      <c r="O9" s="0" t="n">
        <f aca="false">N9+M9</f>
        <v>146.629000370456</v>
      </c>
    </row>
    <row r="10" customFormat="false" ht="12" hidden="false" customHeight="false" outlineLevel="0" collapsed="false">
      <c r="A10" s="0" t="n">
        <v>3</v>
      </c>
      <c r="B10" s="0" t="n">
        <v>98.88</v>
      </c>
      <c r="C10" s="0" t="n">
        <v>19.92</v>
      </c>
      <c r="D10" s="0" t="n">
        <v>-783.594396900659</v>
      </c>
      <c r="E10" s="0" t="n">
        <v>204058.243063627</v>
      </c>
      <c r="F10" s="0" t="n">
        <v>12974.6434500825</v>
      </c>
      <c r="G10" s="0" t="n">
        <v>84.8021822695332</v>
      </c>
      <c r="I10" s="0" t="n">
        <v>-842.187292557954</v>
      </c>
      <c r="J10" s="0" t="n">
        <v>213428.236905126</v>
      </c>
      <c r="K10" s="0" t="n">
        <v>21234.2461184151</v>
      </c>
      <c r="M10" s="0" t="n">
        <f aca="false">A10*C10</f>
        <v>59.76</v>
      </c>
      <c r="N10" s="0" t="n">
        <f aca="false">G10</f>
        <v>84.8021822695332</v>
      </c>
      <c r="O10" s="0" t="n">
        <f aca="false">N10+M10</f>
        <v>144.562182269533</v>
      </c>
    </row>
    <row r="11" customFormat="false" ht="12" hidden="false" customHeight="false" outlineLevel="0" collapsed="false">
      <c r="A11" s="0" t="n">
        <v>3.5</v>
      </c>
      <c r="B11" s="0" t="n">
        <v>101.42</v>
      </c>
      <c r="C11" s="0" t="n">
        <v>15.26</v>
      </c>
      <c r="D11" s="0" t="n">
        <v>-770.297566185047</v>
      </c>
      <c r="E11" s="0" t="n">
        <v>202271.047099551</v>
      </c>
      <c r="F11" s="0" t="n">
        <v>14338.6764261318</v>
      </c>
      <c r="G11" s="0" t="n">
        <v>73.3540109545633</v>
      </c>
      <c r="I11" s="0" t="n">
        <v>-823.476174528542</v>
      </c>
      <c r="J11" s="0" t="n">
        <v>209319.450606806</v>
      </c>
      <c r="K11" s="0" t="n">
        <v>20831.0507103242</v>
      </c>
      <c r="M11" s="0" t="n">
        <f aca="false">A11*C11</f>
        <v>53.41</v>
      </c>
      <c r="N11" s="0" t="n">
        <f aca="false">G11</f>
        <v>73.3540109545633</v>
      </c>
      <c r="O11" s="0" t="n">
        <f aca="false">N11+M11</f>
        <v>126.764010954563</v>
      </c>
    </row>
    <row r="12" customFormat="false" ht="12" hidden="false" customHeight="false" outlineLevel="0" collapsed="false">
      <c r="A12" s="0" t="n">
        <v>4</v>
      </c>
      <c r="B12" s="0" t="n">
        <v>100.22</v>
      </c>
      <c r="C12" s="0" t="n">
        <v>13.54</v>
      </c>
      <c r="D12" s="0" t="n">
        <v>-802.115859208456</v>
      </c>
      <c r="E12" s="0" t="n">
        <v>209918.989621372</v>
      </c>
      <c r="F12" s="0" t="n">
        <v>14792.1010774595</v>
      </c>
      <c r="G12" s="0" t="n">
        <v>68.1752575578516</v>
      </c>
      <c r="I12" s="0" t="n">
        <v>-853.459177270182</v>
      </c>
      <c r="J12" s="0" t="n">
        <v>216649.990572171</v>
      </c>
      <c r="K12" s="0" t="n">
        <v>21062.3702632539</v>
      </c>
      <c r="M12" s="0" t="n">
        <f aca="false">A12*C12</f>
        <v>54.16</v>
      </c>
      <c r="N12" s="0" t="n">
        <f aca="false">G12</f>
        <v>68.1752575578516</v>
      </c>
      <c r="O12" s="0" t="n">
        <f aca="false">N12+M12</f>
        <v>122.335257557852</v>
      </c>
    </row>
    <row r="13" customFormat="false" ht="12" hidden="false" customHeight="false" outlineLevel="0" collapsed="false">
      <c r="A13" s="0" t="n">
        <v>4.5</v>
      </c>
      <c r="B13" s="0" t="n">
        <v>100.06</v>
      </c>
      <c r="C13" s="0" t="n">
        <v>10.52</v>
      </c>
      <c r="D13" s="0" t="n">
        <v>-744.539342699308</v>
      </c>
      <c r="E13" s="0" t="n">
        <v>194455.779293564</v>
      </c>
      <c r="F13" s="0" t="n">
        <v>15153.2881688626</v>
      </c>
      <c r="G13" s="0" t="n">
        <v>51.7655325939484</v>
      </c>
      <c r="I13" s="0" t="n">
        <v>-782.766814657738</v>
      </c>
      <c r="J13" s="0" t="n">
        <v>199553.363183164</v>
      </c>
      <c r="K13" s="0" t="n">
        <v>19927.301924643</v>
      </c>
      <c r="M13" s="0" t="n">
        <f aca="false">A13*C13</f>
        <v>47.34</v>
      </c>
      <c r="N13" s="0" t="n">
        <f aca="false">G13</f>
        <v>51.7655325939484</v>
      </c>
      <c r="O13" s="0" t="n">
        <f aca="false">N13+M13</f>
        <v>99.1055325939484</v>
      </c>
    </row>
    <row r="14" customFormat="false" ht="12" hidden="false" customHeight="false" outlineLevel="0" collapsed="false">
      <c r="A14" s="0" t="n">
        <v>5</v>
      </c>
      <c r="B14" s="0" t="n">
        <v>98.32</v>
      </c>
      <c r="C14" s="0" t="n">
        <v>9.22</v>
      </c>
      <c r="D14" s="0" t="n">
        <v>-772.762274954853</v>
      </c>
      <c r="E14" s="0" t="n">
        <v>202935.958810456</v>
      </c>
      <c r="F14" s="0" t="n">
        <v>15907.8002719613</v>
      </c>
      <c r="G14" s="0" t="n">
        <v>54.5919151864404</v>
      </c>
      <c r="I14" s="0" t="n">
        <v>-817.794999294048</v>
      </c>
      <c r="J14" s="0" t="n">
        <v>207928.494140396</v>
      </c>
      <c r="K14" s="0" t="n">
        <v>20502.031731895</v>
      </c>
      <c r="M14" s="0" t="n">
        <f aca="false">A14*C14</f>
        <v>46.1</v>
      </c>
      <c r="N14" s="0" t="n">
        <f aca="false">G14</f>
        <v>54.5919151864404</v>
      </c>
      <c r="O14" s="0" t="n">
        <f aca="false">N14+M14</f>
        <v>100.69191518644</v>
      </c>
    </row>
    <row r="15" customFormat="false" ht="12" hidden="false" customHeight="false" outlineLevel="0" collapsed="false">
      <c r="A15" s="0" t="n">
        <v>5.5</v>
      </c>
      <c r="B15" s="0" t="n">
        <v>100.56</v>
      </c>
      <c r="C15" s="0" t="n">
        <v>8.62</v>
      </c>
      <c r="D15" s="0" t="n">
        <v>-803.719606567264</v>
      </c>
      <c r="E15" s="0" t="n">
        <v>210656.661567564</v>
      </c>
      <c r="F15" s="0" t="n">
        <v>17309.2943474356</v>
      </c>
      <c r="G15" s="0" t="n">
        <v>55.5186920156792</v>
      </c>
      <c r="I15" s="0" t="n">
        <v>-850.852630037444</v>
      </c>
      <c r="J15" s="0" t="n">
        <v>215452.192640425</v>
      </c>
      <c r="K15" s="0" t="n">
        <v>21815.6245745157</v>
      </c>
      <c r="M15" s="0" t="n">
        <f aca="false">A15*C15</f>
        <v>47.41</v>
      </c>
      <c r="N15" s="0" t="n">
        <f aca="false">G15</f>
        <v>55.5186920156792</v>
      </c>
      <c r="O15" s="0" t="n">
        <f aca="false">N15+M15</f>
        <v>102.928692015679</v>
      </c>
    </row>
    <row r="16" customFormat="false" ht="12" hidden="false" customHeight="false" outlineLevel="0" collapsed="false">
      <c r="A16" s="0" t="n">
        <v>6</v>
      </c>
      <c r="B16" s="0" t="n">
        <v>100.34</v>
      </c>
      <c r="C16" s="0" t="n">
        <v>7.4</v>
      </c>
      <c r="D16" s="0" t="n">
        <v>-793.805663304448</v>
      </c>
      <c r="E16" s="0" t="n">
        <v>207568.415036822</v>
      </c>
      <c r="F16" s="0" t="n">
        <v>17416.3905825508</v>
      </c>
      <c r="G16" s="0" t="n">
        <v>55.2514363721482</v>
      </c>
      <c r="I16" s="0" t="n">
        <v>-841.861158570151</v>
      </c>
      <c r="J16" s="0" t="n">
        <v>211540.061932943</v>
      </c>
      <c r="K16" s="0" t="n">
        <v>21207.991977833</v>
      </c>
      <c r="M16" s="0" t="n">
        <f aca="false">A16*C16</f>
        <v>44.4</v>
      </c>
      <c r="N16" s="0" t="n">
        <f aca="false">G16</f>
        <v>55.2514363721482</v>
      </c>
      <c r="O16" s="0" t="n">
        <f aca="false">N16+M16</f>
        <v>99.6514363721482</v>
      </c>
    </row>
    <row r="17" customFormat="false" ht="12" hidden="false" customHeight="false" outlineLevel="0" collapsed="false">
      <c r="A17" s="0" t="n">
        <v>6.5</v>
      </c>
      <c r="B17" s="0" t="n">
        <v>99.44</v>
      </c>
      <c r="C17" s="0" t="n">
        <v>6.06</v>
      </c>
      <c r="D17" s="0" t="n">
        <v>-745.303785655213</v>
      </c>
      <c r="E17" s="0" t="n">
        <v>193423.677584117</v>
      </c>
      <c r="F17" s="0" t="n">
        <v>17033.4328968505</v>
      </c>
      <c r="G17" s="0" t="n">
        <v>36.5879772010186</v>
      </c>
      <c r="I17" s="0" t="n">
        <v>-775.591036667257</v>
      </c>
      <c r="J17" s="0" t="n">
        <v>196479.66603954</v>
      </c>
      <c r="K17" s="0" t="n">
        <v>19988.4526934353</v>
      </c>
      <c r="M17" s="0" t="n">
        <f aca="false">A17*C17</f>
        <v>39.39</v>
      </c>
      <c r="N17" s="0" t="n">
        <f aca="false">G17</f>
        <v>36.5879772010186</v>
      </c>
      <c r="O17" s="0" t="n">
        <f aca="false">N17+M17</f>
        <v>75.9779772010187</v>
      </c>
    </row>
    <row r="18" customFormat="false" ht="12" hidden="false" customHeight="false" outlineLevel="0" collapsed="false">
      <c r="A18" s="0" t="n">
        <v>7</v>
      </c>
      <c r="B18" s="0" t="n">
        <v>98.06</v>
      </c>
      <c r="C18" s="0" t="n">
        <v>4.28</v>
      </c>
      <c r="D18" s="0" t="n">
        <v>-718.712456241237</v>
      </c>
      <c r="E18" s="0" t="n">
        <v>187467.974202897</v>
      </c>
      <c r="F18" s="0" t="n">
        <v>16651.5248720939</v>
      </c>
      <c r="G18" s="0" t="n">
        <v>27.410055515743</v>
      </c>
      <c r="I18" s="0" t="n">
        <v>-742.263009511953</v>
      </c>
      <c r="J18" s="0" t="n">
        <v>189615.119580323</v>
      </c>
      <c r="K18" s="0" t="n">
        <v>18764.7603598154</v>
      </c>
      <c r="M18" s="0" t="n">
        <f aca="false">A18*C18</f>
        <v>29.96</v>
      </c>
      <c r="N18" s="0" t="n">
        <f aca="false">G18</f>
        <v>27.410055515743</v>
      </c>
      <c r="O18" s="0" t="n">
        <f aca="false">N18+M18</f>
        <v>57.370055515743</v>
      </c>
    </row>
    <row r="19" customFormat="false" ht="12" hidden="false" customHeight="false" outlineLevel="0" collapsed="false">
      <c r="A19" s="0" t="n">
        <v>7.5</v>
      </c>
      <c r="B19" s="0" t="n">
        <v>100.52</v>
      </c>
      <c r="C19" s="0" t="n">
        <v>5.14</v>
      </c>
      <c r="D19" s="0" t="n">
        <v>-813.982653877037</v>
      </c>
      <c r="E19" s="0" t="n">
        <v>212082.509113008</v>
      </c>
      <c r="F19" s="0" t="n">
        <v>18595.7178444858</v>
      </c>
      <c r="G19" s="0" t="n">
        <v>40.8074879055184</v>
      </c>
      <c r="I19" s="0" t="n">
        <v>-850.250779326419</v>
      </c>
      <c r="J19" s="0" t="n">
        <v>214968.400437329</v>
      </c>
      <c r="K19" s="0" t="n">
        <v>21409.0222129718</v>
      </c>
      <c r="M19" s="0" t="n">
        <f aca="false">A19*C19</f>
        <v>38.55</v>
      </c>
      <c r="N19" s="0" t="n">
        <f aca="false">G19</f>
        <v>40.8074879055184</v>
      </c>
      <c r="O19" s="0" t="n">
        <f aca="false">N19+M19</f>
        <v>79.3574879055184</v>
      </c>
    </row>
    <row r="20" customFormat="false" ht="12" hidden="false" customHeight="false" outlineLevel="0" collapsed="false">
      <c r="A20" s="0" t="n">
        <v>8</v>
      </c>
      <c r="B20" s="0" t="n">
        <v>101.92</v>
      </c>
      <c r="C20" s="0" t="n">
        <v>3.62</v>
      </c>
      <c r="D20" s="0" t="n">
        <v>-753.454813365807</v>
      </c>
      <c r="E20" s="0" t="n">
        <v>197202.093951373</v>
      </c>
      <c r="F20" s="0" t="n">
        <v>17658.7949712757</v>
      </c>
      <c r="G20" s="0" t="n">
        <v>28.9043204404991</v>
      </c>
      <c r="I20" s="0" t="n">
        <v>-779.546987016702</v>
      </c>
      <c r="J20" s="0" t="n">
        <v>199247.598066797</v>
      </c>
      <c r="K20" s="0" t="n">
        <v>19593.8131718158</v>
      </c>
      <c r="M20" s="0" t="n">
        <f aca="false">A20*C20</f>
        <v>28.96</v>
      </c>
      <c r="N20" s="0" t="n">
        <f aca="false">G20</f>
        <v>28.9043204404991</v>
      </c>
      <c r="O20" s="0" t="n">
        <f aca="false">N20+M20</f>
        <v>57.8643204404991</v>
      </c>
    </row>
    <row r="21" customFormat="false" ht="12" hidden="false" customHeight="false" outlineLevel="0" collapsed="false">
      <c r="A21" s="0" t="n">
        <v>8.5</v>
      </c>
      <c r="B21" s="0" t="n">
        <v>100.76</v>
      </c>
      <c r="C21" s="0" t="n">
        <v>3.98</v>
      </c>
      <c r="D21" s="0" t="n">
        <v>-799.15756154509</v>
      </c>
      <c r="E21" s="0" t="n">
        <v>207508.069553257</v>
      </c>
      <c r="F21" s="0" t="n">
        <v>19129.8332500065</v>
      </c>
      <c r="G21" s="0" t="n">
        <v>29.2804185752005</v>
      </c>
      <c r="I21" s="0" t="n">
        <v>-825.449804690773</v>
      </c>
      <c r="J21" s="0" t="n">
        <v>209699.002989959</v>
      </c>
      <c r="K21" s="0" t="n">
        <v>21294.2389279988</v>
      </c>
      <c r="M21" s="0" t="n">
        <f aca="false">A21*C21</f>
        <v>33.83</v>
      </c>
      <c r="N21" s="0" t="n">
        <f aca="false">G21</f>
        <v>29.2804185752005</v>
      </c>
      <c r="O21" s="0" t="n">
        <f aca="false">N21+M21</f>
        <v>63.1104185752005</v>
      </c>
    </row>
    <row r="22" customFormat="false" ht="12" hidden="false" customHeight="false" outlineLevel="0" collapsed="false">
      <c r="A22" s="0" t="n">
        <v>9</v>
      </c>
      <c r="B22" s="0" t="n">
        <v>101.66</v>
      </c>
      <c r="C22" s="0" t="n">
        <v>3.32</v>
      </c>
      <c r="D22" s="0" t="n">
        <v>-751.749718423493</v>
      </c>
      <c r="E22" s="0" t="n">
        <v>195269.994869583</v>
      </c>
      <c r="F22" s="0" t="n">
        <v>18144.9752940143</v>
      </c>
      <c r="G22" s="0" t="n">
        <v>28.2048770385204</v>
      </c>
      <c r="I22" s="0" t="n">
        <v>-777.582842897527</v>
      </c>
      <c r="J22" s="0" t="n">
        <v>197136.169013586</v>
      </c>
      <c r="K22" s="0" t="n">
        <v>19953.7494380173</v>
      </c>
      <c r="M22" s="0" t="n">
        <f aca="false">A22*C22</f>
        <v>29.88</v>
      </c>
      <c r="N22" s="0" t="n">
        <f aca="false">G22</f>
        <v>28.2048770385204</v>
      </c>
      <c r="O22" s="0" t="n">
        <f aca="false">N22+M22</f>
        <v>58.0848770385204</v>
      </c>
    </row>
    <row r="23" customFormat="false" ht="12" hidden="false" customHeight="false" outlineLevel="0" collapsed="false">
      <c r="A23" s="0" t="n">
        <v>9.5</v>
      </c>
      <c r="B23" s="0" t="n">
        <v>102.18</v>
      </c>
      <c r="C23" s="0" t="n">
        <v>3.42</v>
      </c>
      <c r="D23" s="0" t="n">
        <v>-820.795387462523</v>
      </c>
      <c r="E23" s="0" t="n">
        <v>213030.288485421</v>
      </c>
      <c r="F23" s="0" t="n">
        <v>19669.1671932055</v>
      </c>
      <c r="G23" s="0" t="n">
        <v>37.3256869641087</v>
      </c>
      <c r="I23" s="0" t="n">
        <v>-856.415206948803</v>
      </c>
      <c r="J23" s="0" t="n">
        <v>215076.669908866</v>
      </c>
      <c r="K23" s="0" t="n">
        <v>21663.5960576098</v>
      </c>
      <c r="M23" s="0" t="n">
        <f aca="false">A23*C23</f>
        <v>32.49</v>
      </c>
      <c r="N23" s="0" t="n">
        <f aca="false">G23</f>
        <v>37.3256869641087</v>
      </c>
      <c r="O23" s="0" t="n">
        <f aca="false">N23+M23</f>
        <v>69.8156869641087</v>
      </c>
    </row>
    <row r="24" customFormat="false" ht="12" hidden="false" customHeight="false" outlineLevel="0" collapsed="false">
      <c r="A24" s="0" t="n">
        <v>10</v>
      </c>
      <c r="B24" s="0" t="n">
        <v>98.8</v>
      </c>
      <c r="C24" s="0" t="n">
        <v>2.16</v>
      </c>
      <c r="D24" s="0" t="n">
        <v>-765.056765727562</v>
      </c>
      <c r="E24" s="0" t="n">
        <v>199959.141489586</v>
      </c>
      <c r="F24" s="0" t="n">
        <v>18658.5768655637</v>
      </c>
      <c r="G24" s="0" t="n">
        <v>20.7598865086211</v>
      </c>
      <c r="I24" s="0" t="n">
        <v>-784.471475194378</v>
      </c>
      <c r="J24" s="0" t="n">
        <v>201135.789864547</v>
      </c>
      <c r="K24" s="0" t="n">
        <v>19835.2252405254</v>
      </c>
      <c r="M24" s="0" t="n">
        <f aca="false">A24*C24</f>
        <v>21.6</v>
      </c>
      <c r="N24" s="0" t="n">
        <f aca="false">G24</f>
        <v>20.7598865086211</v>
      </c>
      <c r="O24" s="0" t="n">
        <f aca="false">N24+M24</f>
        <v>42.3598865086211</v>
      </c>
    </row>
    <row r="25" customFormat="false" ht="12" hidden="false" customHeight="false" outlineLevel="0" collapsed="false">
      <c r="A25" s="0" t="n">
        <v>10.5</v>
      </c>
      <c r="B25" s="0" t="n">
        <v>102.42</v>
      </c>
      <c r="C25" s="0" t="n">
        <v>2.72</v>
      </c>
      <c r="D25" s="0" t="n">
        <v>-806.099356461623</v>
      </c>
      <c r="E25" s="0" t="n">
        <v>207249.907347466</v>
      </c>
      <c r="F25" s="0" t="n">
        <v>20090.3935263546</v>
      </c>
      <c r="G25" s="0" t="n">
        <v>29.1060258794754</v>
      </c>
      <c r="I25" s="0" t="n">
        <v>-833.488538429193</v>
      </c>
      <c r="J25" s="0" t="n">
        <v>208878.923882521</v>
      </c>
      <c r="K25" s="0" t="n">
        <v>21669.4100614095</v>
      </c>
      <c r="M25" s="0" t="n">
        <f aca="false">A25*C25</f>
        <v>28.56</v>
      </c>
      <c r="N25" s="0" t="n">
        <f aca="false">G25</f>
        <v>29.1060258794754</v>
      </c>
      <c r="O25" s="0" t="n">
        <f aca="false">N25+M25</f>
        <v>57.6660258794754</v>
      </c>
    </row>
    <row r="26" customFormat="false" ht="12" hidden="false" customHeight="false" outlineLevel="0" collapsed="false">
      <c r="A26" s="0" t="n">
        <v>11</v>
      </c>
      <c r="B26" s="0" t="n">
        <v>100.1</v>
      </c>
      <c r="C26" s="0" t="n">
        <v>2.06</v>
      </c>
      <c r="D26" s="0" t="n">
        <v>-822.372683012133</v>
      </c>
      <c r="E26" s="0" t="n">
        <v>214866.471778928</v>
      </c>
      <c r="F26" s="0" t="n">
        <v>20464.0753891352</v>
      </c>
      <c r="G26" s="0" t="n">
        <v>24.8420821892289</v>
      </c>
      <c r="I26" s="0" t="n">
        <v>-845.504244125881</v>
      </c>
      <c r="J26" s="0" t="n">
        <v>216054.174830338</v>
      </c>
      <c r="K26" s="0" t="n">
        <v>21651.7784405452</v>
      </c>
      <c r="M26" s="0" t="n">
        <f aca="false">A26*C26</f>
        <v>22.66</v>
      </c>
      <c r="N26" s="0" t="n">
        <f aca="false">G26</f>
        <v>24.8420821892289</v>
      </c>
      <c r="O26" s="0" t="n">
        <f aca="false">N26+M26</f>
        <v>47.5020821892289</v>
      </c>
    </row>
    <row r="27" customFormat="false" ht="12" hidden="false" customHeight="false" outlineLevel="0" collapsed="false">
      <c r="A27" s="0" t="n">
        <v>11.5</v>
      </c>
      <c r="B27" s="0" t="n">
        <v>102.74</v>
      </c>
      <c r="C27" s="0" t="n">
        <v>2.08</v>
      </c>
      <c r="D27" s="0" t="n">
        <v>-786.256818502788</v>
      </c>
      <c r="E27" s="0" t="n">
        <v>203801.442540391</v>
      </c>
      <c r="F27" s="0" t="n">
        <v>19957.9825270461</v>
      </c>
      <c r="G27" s="0" t="n">
        <v>21.7589225182132</v>
      </c>
      <c r="I27" s="0" t="n">
        <v>-806.867945987954</v>
      </c>
      <c r="J27" s="0" t="n">
        <v>205002.480122406</v>
      </c>
      <c r="K27" s="0" t="n">
        <v>21126.0201090605</v>
      </c>
      <c r="M27" s="0" t="n">
        <f aca="false">A27*C27</f>
        <v>23.92</v>
      </c>
      <c r="N27" s="0" t="n">
        <f aca="false">G27</f>
        <v>21.7589225182132</v>
      </c>
      <c r="O27" s="0" t="n">
        <f aca="false">N27+M27</f>
        <v>45.6789225182132</v>
      </c>
    </row>
    <row r="28" customFormat="false" ht="12" hidden="false" customHeight="false" outlineLevel="0" collapsed="false">
      <c r="A28" s="0" t="n">
        <v>12</v>
      </c>
      <c r="B28" s="0" t="n">
        <v>100.08</v>
      </c>
      <c r="C28" s="0" t="n">
        <v>1.8</v>
      </c>
      <c r="D28" s="0" t="n">
        <v>-806.476267653092</v>
      </c>
      <c r="E28" s="0" t="n">
        <v>210151.319642538</v>
      </c>
      <c r="F28" s="0" t="n">
        <v>20315.5177719853</v>
      </c>
      <c r="G28" s="0" t="n">
        <v>18.3664185830783</v>
      </c>
      <c r="I28" s="0" t="n">
        <v>-824.042141981643</v>
      </c>
      <c r="J28" s="0" t="n">
        <v>211312.632548407</v>
      </c>
      <c r="K28" s="0" t="n">
        <v>21402.2306778544</v>
      </c>
      <c r="M28" s="0" t="n">
        <f aca="false">A28*C28</f>
        <v>21.6</v>
      </c>
      <c r="N28" s="0" t="n">
        <f aca="false">G28</f>
        <v>18.3664185830783</v>
      </c>
      <c r="O28" s="0" t="n">
        <f aca="false">N28+M28</f>
        <v>39.9664185830783</v>
      </c>
    </row>
    <row r="29" customFormat="false" ht="12" hidden="false" customHeight="false" outlineLevel="0" collapsed="false">
      <c r="A29" s="0" t="n">
        <v>12.5</v>
      </c>
      <c r="B29" s="0" t="n">
        <v>101.24</v>
      </c>
      <c r="C29" s="0" t="n">
        <v>1.96</v>
      </c>
      <c r="D29" s="0" t="n">
        <v>-794.121464457096</v>
      </c>
      <c r="E29" s="0" t="n">
        <v>204799.906859899</v>
      </c>
      <c r="F29" s="0" t="n">
        <v>19988.1163575741</v>
      </c>
      <c r="G29" s="0" t="n">
        <v>22.1975439106855</v>
      </c>
      <c r="I29" s="0" t="n">
        <v>-815.52231459426</v>
      </c>
      <c r="J29" s="0" t="n">
        <v>205957.681862701</v>
      </c>
      <c r="K29" s="0" t="n">
        <v>21099.2460523534</v>
      </c>
      <c r="M29" s="0" t="n">
        <f aca="false">A29*C29</f>
        <v>24.5</v>
      </c>
      <c r="N29" s="0" t="n">
        <f aca="false">G29</f>
        <v>22.1975439106855</v>
      </c>
      <c r="O29" s="0" t="n">
        <f aca="false">N29+M29</f>
        <v>46.6975439106855</v>
      </c>
    </row>
    <row r="30" customFormat="false" ht="12" hidden="false" customHeight="false" outlineLevel="0" collapsed="false">
      <c r="A30" s="0" t="n">
        <v>13</v>
      </c>
      <c r="B30" s="0" t="n">
        <v>99.38</v>
      </c>
      <c r="C30" s="0" t="n">
        <v>1.86</v>
      </c>
      <c r="D30" s="0" t="n">
        <v>-799.404444263792</v>
      </c>
      <c r="E30" s="0" t="n">
        <v>205468.021433502</v>
      </c>
      <c r="F30" s="0" t="n">
        <v>19440.7000430737</v>
      </c>
      <c r="G30" s="0" t="n">
        <v>17.6798408439919</v>
      </c>
      <c r="I30" s="0" t="n">
        <v>-816.544246514805</v>
      </c>
      <c r="J30" s="0" t="n">
        <v>206495.302031743</v>
      </c>
      <c r="K30" s="0" t="n">
        <v>20438.1806413145</v>
      </c>
      <c r="M30" s="0" t="n">
        <f aca="false">A30*C30</f>
        <v>24.18</v>
      </c>
      <c r="N30" s="0" t="n">
        <f aca="false">G30</f>
        <v>17.6798408439919</v>
      </c>
      <c r="O30" s="0" t="n">
        <f aca="false">N30+M30</f>
        <v>41.8598408439919</v>
      </c>
    </row>
    <row r="31" customFormat="false" ht="12" hidden="false" customHeight="false" outlineLevel="0" collapsed="false">
      <c r="A31" s="0" t="n">
        <v>13.5</v>
      </c>
      <c r="B31" s="0" t="n">
        <v>99</v>
      </c>
      <c r="C31" s="0" t="n">
        <v>1.7</v>
      </c>
      <c r="D31" s="0" t="n">
        <v>-792.751831321514</v>
      </c>
      <c r="E31" s="0" t="n">
        <v>204114.056793216</v>
      </c>
      <c r="F31" s="0" t="n">
        <v>18931.4426149096</v>
      </c>
      <c r="G31" s="0" t="n">
        <v>17.3983630054719</v>
      </c>
      <c r="I31" s="0" t="n">
        <v>-809.582334770129</v>
      </c>
      <c r="J31" s="0" t="n">
        <v>205074.373353624</v>
      </c>
      <c r="K31" s="0" t="n">
        <v>19891.7591753184</v>
      </c>
      <c r="M31" s="0" t="n">
        <f aca="false">A31*C31</f>
        <v>22.95</v>
      </c>
      <c r="N31" s="0" t="n">
        <f aca="false">G31</f>
        <v>17.3983630054719</v>
      </c>
      <c r="O31" s="0" t="n">
        <f aca="false">N31+M31</f>
        <v>40.3483630054719</v>
      </c>
    </row>
    <row r="32" customFormat="false" ht="12" hidden="false" customHeight="false" outlineLevel="0" collapsed="false">
      <c r="A32" s="0" t="n">
        <v>14</v>
      </c>
      <c r="B32" s="0" t="n">
        <v>100.98</v>
      </c>
      <c r="C32" s="0" t="n">
        <v>1.78</v>
      </c>
      <c r="D32" s="0" t="n">
        <v>-818.175417515114</v>
      </c>
      <c r="E32" s="0" t="n">
        <v>210860.619336488</v>
      </c>
      <c r="F32" s="0" t="n">
        <v>20267.4633340831</v>
      </c>
      <c r="G32" s="0" t="n">
        <v>26.0011551828838</v>
      </c>
      <c r="I32" s="0" t="n">
        <v>-843.364739367174</v>
      </c>
      <c r="J32" s="0" t="n">
        <v>211944.588745475</v>
      </c>
      <c r="K32" s="0" t="n">
        <v>21351.4327430709</v>
      </c>
      <c r="M32" s="0" t="n">
        <f aca="false">A32*C32</f>
        <v>24.92</v>
      </c>
      <c r="N32" s="0" t="n">
        <f aca="false">G32</f>
        <v>26.0011551828838</v>
      </c>
      <c r="O32" s="0" t="n">
        <f aca="false">N32+M32</f>
        <v>50.9211551828838</v>
      </c>
    </row>
    <row r="33" customFormat="false" ht="12" hidden="false" customHeight="false" outlineLevel="0" collapsed="false">
      <c r="A33" s="0" t="n">
        <v>14.5</v>
      </c>
      <c r="B33" s="0" t="n">
        <v>101.54</v>
      </c>
      <c r="C33" s="0" t="n">
        <v>1.24</v>
      </c>
      <c r="D33" s="0" t="n">
        <v>-736.674325905671</v>
      </c>
      <c r="E33" s="0" t="n">
        <v>190255.536816008</v>
      </c>
      <c r="F33" s="0" t="n">
        <v>18696.9392843465</v>
      </c>
      <c r="G33" s="0" t="n">
        <v>15.472582913928</v>
      </c>
      <c r="I33" s="0" t="n">
        <v>-751.828440257233</v>
      </c>
      <c r="J33" s="0" t="n">
        <v>191062.779083682</v>
      </c>
      <c r="K33" s="0" t="n">
        <v>19432.7815520202</v>
      </c>
      <c r="M33" s="0" t="n">
        <f aca="false">A33*C33</f>
        <v>17.98</v>
      </c>
      <c r="N33" s="0" t="n">
        <f aca="false">G33</f>
        <v>15.472582913928</v>
      </c>
      <c r="O33" s="0" t="n">
        <f aca="false">N33+M33</f>
        <v>33.452582913928</v>
      </c>
    </row>
    <row r="34" customFormat="false" ht="12" hidden="false" customHeight="false" outlineLevel="0" collapsed="false">
      <c r="A34" s="0" t="n">
        <v>15</v>
      </c>
      <c r="B34" s="0" t="n">
        <v>100.32</v>
      </c>
      <c r="C34" s="0" t="n">
        <v>1.74</v>
      </c>
      <c r="D34" s="0" t="n">
        <v>-879.303086326396</v>
      </c>
      <c r="E34" s="0" t="n">
        <v>227323.463356786</v>
      </c>
      <c r="F34" s="0" t="n">
        <v>21528.2702953316</v>
      </c>
      <c r="G34" s="0" t="n">
        <v>23.7553151790426</v>
      </c>
      <c r="I34" s="0" t="n">
        <v>-902.741785077347</v>
      </c>
      <c r="J34" s="0" t="n">
        <v>228428.493882699</v>
      </c>
      <c r="K34" s="0" t="n">
        <v>22596.5008212442</v>
      </c>
      <c r="M34" s="0" t="n">
        <f aca="false">A34*C34</f>
        <v>26.1</v>
      </c>
      <c r="N34" s="0" t="n">
        <f aca="false">G34</f>
        <v>23.7553151790426</v>
      </c>
      <c r="O34" s="0" t="n">
        <f aca="false">N34+M34</f>
        <v>49.8553151790426</v>
      </c>
    </row>
    <row r="35" customFormat="false" ht="12" hidden="false" customHeight="false" outlineLevel="0" collapsed="false">
      <c r="A35" s="0" t="n">
        <v>15.5</v>
      </c>
      <c r="B35" s="0" t="n">
        <v>102.62</v>
      </c>
      <c r="C35" s="0" t="n">
        <v>1.64</v>
      </c>
      <c r="D35" s="0" t="n">
        <v>-874.222532530993</v>
      </c>
      <c r="E35" s="0" t="n">
        <v>224673.991423298</v>
      </c>
      <c r="F35" s="0" t="n">
        <v>22385.8825597537</v>
      </c>
      <c r="G35" s="0" t="n">
        <v>27.5207135686579</v>
      </c>
      <c r="I35" s="0" t="n">
        <v>-900.998168316079</v>
      </c>
      <c r="J35" s="0" t="n">
        <v>225757.231155017</v>
      </c>
      <c r="K35" s="0" t="n">
        <v>23426.8130474213</v>
      </c>
      <c r="M35" s="0" t="n">
        <f aca="false">A35*C35</f>
        <v>25.42</v>
      </c>
      <c r="N35" s="0" t="n">
        <f aca="false">G35</f>
        <v>27.5207135686579</v>
      </c>
      <c r="O35" s="0" t="n">
        <f aca="false">N35+M35</f>
        <v>52.9407135686579</v>
      </c>
    </row>
    <row r="36" customFormat="false" ht="12" hidden="false" customHeight="false" outlineLevel="0" collapsed="false">
      <c r="A36" s="0" t="n">
        <v>16</v>
      </c>
      <c r="B36" s="0" t="n">
        <v>99.92</v>
      </c>
      <c r="C36" s="0" t="n">
        <v>1.24</v>
      </c>
      <c r="D36" s="0" t="n">
        <v>-787.445583839213</v>
      </c>
      <c r="E36" s="0" t="n">
        <v>203425.819833357</v>
      </c>
      <c r="F36" s="0" t="n">
        <v>19408.0757948225</v>
      </c>
      <c r="G36" s="0" t="n">
        <v>15.398123479177</v>
      </c>
      <c r="I36" s="0" t="n">
        <v>-802.530447942072</v>
      </c>
      <c r="J36" s="0" t="n">
        <v>204253.815710496</v>
      </c>
      <c r="K36" s="0" t="n">
        <v>20217.5345429484</v>
      </c>
      <c r="M36" s="0" t="n">
        <f aca="false">A36*C36</f>
        <v>19.84</v>
      </c>
      <c r="N36" s="0" t="n">
        <f aca="false">G36</f>
        <v>15.398123479177</v>
      </c>
      <c r="O36" s="0" t="n">
        <f aca="false">N36+M36</f>
        <v>35.238123479177</v>
      </c>
    </row>
    <row r="37" customFormat="false" ht="12" hidden="false" customHeight="false" outlineLevel="0" collapsed="false">
      <c r="A37" s="0" t="n">
        <v>16.5</v>
      </c>
      <c r="B37" s="0" t="n">
        <v>102.04</v>
      </c>
      <c r="C37" s="0" t="n">
        <v>1.46</v>
      </c>
      <c r="D37" s="0" t="n">
        <v>-890.370549810943</v>
      </c>
      <c r="E37" s="0" t="n">
        <v>228903.649264135</v>
      </c>
      <c r="F37" s="0" t="n">
        <v>23137.275694601</v>
      </c>
      <c r="G37" s="0" t="n">
        <v>22.041766673419</v>
      </c>
      <c r="I37" s="0" t="n">
        <v>-912.070871893503</v>
      </c>
      <c r="J37" s="0" t="n">
        <v>229816.948212396</v>
      </c>
      <c r="K37" s="0" t="n">
        <v>24050.5746428623</v>
      </c>
      <c r="M37" s="0" t="n">
        <f aca="false">A37*C37</f>
        <v>24.09</v>
      </c>
      <c r="N37" s="0" t="n">
        <f aca="false">G37</f>
        <v>22.041766673419</v>
      </c>
      <c r="O37" s="0" t="n">
        <f aca="false">N37+M37</f>
        <v>46.131766673419</v>
      </c>
    </row>
    <row r="38" customFormat="false" ht="12" hidden="false" customHeight="false" outlineLevel="0" collapsed="false">
      <c r="A38" s="0" t="n">
        <v>17</v>
      </c>
      <c r="B38" s="0" t="n">
        <v>102.44</v>
      </c>
      <c r="C38" s="0" t="n">
        <v>1.3</v>
      </c>
      <c r="D38" s="0" t="n">
        <v>-823.831774156667</v>
      </c>
      <c r="E38" s="0" t="n">
        <v>211691.7466113</v>
      </c>
      <c r="F38" s="0" t="n">
        <v>21255.0991089248</v>
      </c>
      <c r="G38" s="0" t="n">
        <v>16.4765839238436</v>
      </c>
      <c r="I38" s="0" t="n">
        <v>-839.89169259821</v>
      </c>
      <c r="J38" s="0" t="n">
        <v>212420.598009699</v>
      </c>
      <c r="K38" s="0" t="n">
        <v>21983.9505073241</v>
      </c>
      <c r="M38" s="0" t="n">
        <f aca="false">A38*C38</f>
        <v>22.1</v>
      </c>
      <c r="N38" s="0" t="n">
        <f aca="false">G38</f>
        <v>16.4765839238436</v>
      </c>
      <c r="O38" s="0" t="n">
        <f aca="false">N38+M38</f>
        <v>38.5765839238436</v>
      </c>
    </row>
    <row r="39" customFormat="false" ht="12" hidden="false" customHeight="false" outlineLevel="0" collapsed="false">
      <c r="A39" s="0" t="n">
        <v>17.5</v>
      </c>
      <c r="B39" s="0" t="n">
        <v>100.7</v>
      </c>
      <c r="C39" s="0" t="n">
        <v>1.16</v>
      </c>
      <c r="D39" s="0" t="n">
        <v>-830.014877375731</v>
      </c>
      <c r="E39" s="0" t="n">
        <v>213017.143701227</v>
      </c>
      <c r="F39" s="0" t="n">
        <v>20779.8504594751</v>
      </c>
      <c r="G39" s="0" t="n">
        <v>15.6252354612578</v>
      </c>
      <c r="I39" s="0" t="n">
        <v>-845.26767488511</v>
      </c>
      <c r="J39" s="0" t="n">
        <v>213684.919854008</v>
      </c>
      <c r="K39" s="0" t="n">
        <v>21447.6266122566</v>
      </c>
      <c r="M39" s="0" t="n">
        <f aca="false">A39*C39</f>
        <v>20.3</v>
      </c>
      <c r="N39" s="0" t="n">
        <f aca="false">G39</f>
        <v>15.6252354612578</v>
      </c>
      <c r="O39" s="0" t="n">
        <f aca="false">N39+M39</f>
        <v>35.9252354612578</v>
      </c>
    </row>
    <row r="40" customFormat="false" ht="12" hidden="false" customHeight="false" outlineLevel="0" collapsed="false">
      <c r="A40" s="0" t="n">
        <v>18</v>
      </c>
      <c r="B40" s="0" t="n">
        <v>100.06</v>
      </c>
      <c r="C40" s="0" t="n">
        <v>1.06</v>
      </c>
      <c r="D40" s="0" t="n">
        <v>-804.741254197351</v>
      </c>
      <c r="E40" s="0" t="n">
        <v>207432.604518963</v>
      </c>
      <c r="F40" s="0" t="n">
        <v>19692.7596714614</v>
      </c>
      <c r="G40" s="0" t="n">
        <v>10.7070507783095</v>
      </c>
      <c r="I40" s="0" t="n">
        <v>-815.217505563816</v>
      </c>
      <c r="J40" s="0" t="n">
        <v>208036.965835261</v>
      </c>
      <c r="K40" s="0" t="n">
        <v>20297.1209877586</v>
      </c>
      <c r="M40" s="0" t="n">
        <f aca="false">A40*C40</f>
        <v>19.08</v>
      </c>
      <c r="N40" s="0" t="n">
        <f aca="false">G40</f>
        <v>10.7070507783095</v>
      </c>
      <c r="O40" s="0" t="n">
        <f aca="false">N40+M40</f>
        <v>29.7870507783095</v>
      </c>
    </row>
    <row r="41" customFormat="false" ht="12" hidden="false" customHeight="false" outlineLevel="0" collapsed="false">
      <c r="A41" s="0" t="n">
        <v>18.5</v>
      </c>
      <c r="B41" s="0" t="n">
        <v>100.6</v>
      </c>
      <c r="C41" s="0" t="n">
        <v>0.64</v>
      </c>
      <c r="D41" s="0" t="n">
        <v>-879.618075548711</v>
      </c>
      <c r="E41" s="0" t="n">
        <v>227976.824600087</v>
      </c>
      <c r="F41" s="0" t="n">
        <v>22282.9912529066</v>
      </c>
      <c r="G41" s="0" t="n">
        <v>8.25700786354012</v>
      </c>
      <c r="I41" s="0" t="n">
        <v>-887.512641092983</v>
      </c>
      <c r="J41" s="0" t="n">
        <v>228368.975829329</v>
      </c>
      <c r="K41" s="0" t="n">
        <v>22675.1424821493</v>
      </c>
      <c r="M41" s="0" t="n">
        <f aca="false">A41*C41</f>
        <v>11.84</v>
      </c>
      <c r="N41" s="0" t="n">
        <f aca="false">G41</f>
        <v>8.25700786354012</v>
      </c>
      <c r="O41" s="0" t="n">
        <f aca="false">N41+M41</f>
        <v>20.0970078635401</v>
      </c>
    </row>
    <row r="42" customFormat="false" ht="12" hidden="false" customHeight="false" outlineLevel="0" collapsed="false">
      <c r="A42" s="0" t="n">
        <v>19</v>
      </c>
      <c r="B42" s="0" t="n">
        <v>99.42</v>
      </c>
      <c r="C42" s="0" t="n">
        <v>0.94</v>
      </c>
      <c r="D42" s="0" t="n">
        <v>-791.928048269146</v>
      </c>
      <c r="E42" s="0" t="n">
        <v>202812.059618006</v>
      </c>
      <c r="F42" s="0" t="n">
        <v>19360.5909085515</v>
      </c>
      <c r="G42" s="0" t="n">
        <v>9.27615323978039</v>
      </c>
      <c r="I42" s="0" t="n">
        <v>-800.748832758412</v>
      </c>
      <c r="J42" s="0" t="n">
        <v>203357.271321852</v>
      </c>
      <c r="K42" s="0" t="n">
        <v>19905.8026123973</v>
      </c>
      <c r="M42" s="0" t="n">
        <f aca="false">A42*C42</f>
        <v>17.86</v>
      </c>
      <c r="N42" s="0" t="n">
        <f aca="false">G42</f>
        <v>9.27615323978039</v>
      </c>
      <c r="O42" s="0" t="n">
        <f aca="false">N42+M42</f>
        <v>27.1361532397804</v>
      </c>
    </row>
    <row r="43" customFormat="false" ht="12" hidden="false" customHeight="false" outlineLevel="0" collapsed="false">
      <c r="A43" s="0" t="n">
        <v>19.5</v>
      </c>
      <c r="B43" s="0" t="n">
        <v>102.04</v>
      </c>
      <c r="C43" s="0" t="n">
        <v>0.74</v>
      </c>
      <c r="D43" s="0" t="n">
        <v>-754.038711312877</v>
      </c>
      <c r="E43" s="0" t="n">
        <v>193519.876714797</v>
      </c>
      <c r="F43" s="0" t="n">
        <v>18907.8228498222</v>
      </c>
      <c r="G43" s="0" t="n">
        <v>10.8858562167892</v>
      </c>
      <c r="I43" s="0" t="n">
        <v>-764.732203957027</v>
      </c>
      <c r="J43" s="0" t="n">
        <v>194015.51971227</v>
      </c>
      <c r="K43" s="0" t="n">
        <v>19403.4658472956</v>
      </c>
      <c r="M43" s="0" t="n">
        <f aca="false">A43*C43</f>
        <v>14.43</v>
      </c>
      <c r="N43" s="0" t="n">
        <f aca="false">G43</f>
        <v>10.8858562167892</v>
      </c>
      <c r="O43" s="0" t="n">
        <f aca="false">N43+M43</f>
        <v>25.3158562167892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6" zoomScaleNormal="86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6" zoomScaleNormal="86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86" zoomScaleNormal="86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6" zoomScaleNormal="86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5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M3" activeCellId="0" sqref="M3:O4"/>
    </sheetView>
  </sheetViews>
  <sheetFormatPr defaultColWidth="8.82421875" defaultRowHeight="12" customHeight="false" zeroHeight="false" outlineLevelRow="0" outlineLevelCol="0"/>
  <cols>
    <col collapsed="false" customWidth="true" hidden="false" outlineLevel="0" max="3" min="3" style="0" width="10.32"/>
    <col collapsed="false" customWidth="true" hidden="false" outlineLevel="0" max="14" min="14" style="0" width="9.99"/>
  </cols>
  <sheetData>
    <row r="1" customFormat="false" ht="12" hidden="false" customHeight="false" outlineLevel="0" collapsed="false">
      <c r="A1" s="0" t="s">
        <v>12</v>
      </c>
      <c r="B1" s="0" t="n">
        <v>1</v>
      </c>
    </row>
    <row r="3" customFormat="false" ht="12" hidden="false" customHeight="false" outlineLevel="0" collapsed="false">
      <c r="A3" s="0" t="s">
        <v>0</v>
      </c>
      <c r="B3" s="0" t="s">
        <v>1</v>
      </c>
      <c r="C3" s="0" t="s">
        <v>2</v>
      </c>
      <c r="D3" s="0" t="s">
        <v>3</v>
      </c>
      <c r="E3" s="0" t="s">
        <v>4</v>
      </c>
      <c r="F3" s="0" t="s">
        <v>5</v>
      </c>
      <c r="G3" s="0" t="s">
        <v>6</v>
      </c>
      <c r="I3" s="0" t="s">
        <v>3</v>
      </c>
      <c r="J3" s="0" t="s">
        <v>7</v>
      </c>
      <c r="K3" s="0" t="s">
        <v>8</v>
      </c>
      <c r="M3" s="0" t="s">
        <v>9</v>
      </c>
      <c r="N3" s="0" t="s">
        <v>10</v>
      </c>
      <c r="O3" s="0" t="s">
        <v>11</v>
      </c>
    </row>
    <row r="4" customFormat="false" ht="12" hidden="false" customHeight="false" outlineLevel="0" collapsed="false">
      <c r="A4" s="0" t="n">
        <v>0</v>
      </c>
      <c r="B4" s="0" t="n">
        <v>99.68</v>
      </c>
      <c r="C4" s="0" t="n">
        <v>61.38</v>
      </c>
      <c r="D4" s="0" t="n">
        <v>-403.50509467392</v>
      </c>
      <c r="E4" s="0" t="n">
        <v>114028.116865132</v>
      </c>
      <c r="F4" s="0" t="n">
        <v>3201.99087772032</v>
      </c>
      <c r="G4" s="0" t="n">
        <v>138.485216686099</v>
      </c>
      <c r="I4" s="0" t="n">
        <v>-492.198565092364</v>
      </c>
      <c r="J4" s="0" t="n">
        <v>126182.10664987</v>
      </c>
      <c r="K4" s="0" t="n">
        <v>12492.6180418952</v>
      </c>
      <c r="M4" s="0" t="n">
        <f aca="false">A4*C4</f>
        <v>0</v>
      </c>
      <c r="N4" s="0" t="n">
        <f aca="false">G4</f>
        <v>138.485216686099</v>
      </c>
      <c r="O4" s="0" t="n">
        <f aca="false">N4+M4</f>
        <v>138.485216686099</v>
      </c>
    </row>
    <row r="5" customFormat="false" ht="12" hidden="false" customHeight="false" outlineLevel="0" collapsed="false">
      <c r="A5" s="0" t="n">
        <v>0.5</v>
      </c>
      <c r="B5" s="0" t="n">
        <v>102.52</v>
      </c>
      <c r="C5" s="0" t="n">
        <v>52.18</v>
      </c>
      <c r="D5" s="0" t="n">
        <v>-420.398745844722</v>
      </c>
      <c r="E5" s="0" t="n">
        <v>111481.161663632</v>
      </c>
      <c r="F5" s="0" t="n">
        <v>4168.81079829912</v>
      </c>
      <c r="G5" s="0" t="n">
        <v>117.1206320445</v>
      </c>
      <c r="I5" s="0" t="n">
        <v>-482.907791569639</v>
      </c>
      <c r="J5" s="0" t="n">
        <v>121948.635865296</v>
      </c>
      <c r="K5" s="0" t="n">
        <v>12406.7875601253</v>
      </c>
      <c r="M5" s="0" t="n">
        <f aca="false">A5*C5</f>
        <v>26.09</v>
      </c>
      <c r="N5" s="0" t="n">
        <f aca="false">G5</f>
        <v>117.1206320445</v>
      </c>
      <c r="O5" s="0" t="n">
        <f aca="false">N5+M5</f>
        <v>143.2106320445</v>
      </c>
    </row>
    <row r="6" customFormat="false" ht="12" hidden="false" customHeight="false" outlineLevel="0" collapsed="false">
      <c r="A6" s="0" t="n">
        <v>1</v>
      </c>
      <c r="B6" s="0" t="n">
        <v>100.36</v>
      </c>
      <c r="C6" s="0" t="n">
        <v>41.92</v>
      </c>
      <c r="D6" s="0" t="n">
        <v>-450.104559736993</v>
      </c>
      <c r="E6" s="0" t="n">
        <v>115158.052637827</v>
      </c>
      <c r="F6" s="0" t="n">
        <v>5395.15165651244</v>
      </c>
      <c r="G6" s="0" t="n">
        <v>87.8830418471745</v>
      </c>
      <c r="I6" s="0" t="n">
        <v>-483.856606632204</v>
      </c>
      <c r="J6" s="0" t="n">
        <v>123422.428704005</v>
      </c>
      <c r="K6" s="0" t="n">
        <v>12416.8301310161</v>
      </c>
      <c r="M6" s="0" t="n">
        <f aca="false">A6*C6</f>
        <v>41.92</v>
      </c>
      <c r="N6" s="0" t="n">
        <f aca="false">G6</f>
        <v>87.8830418471745</v>
      </c>
      <c r="O6" s="0" t="n">
        <f aca="false">N6+M6</f>
        <v>129.803041847175</v>
      </c>
    </row>
    <row r="7" customFormat="false" ht="12" hidden="false" customHeight="false" outlineLevel="0" collapsed="false">
      <c r="A7" s="0" t="n">
        <v>1.5</v>
      </c>
      <c r="B7" s="0" t="n">
        <v>103.16</v>
      </c>
      <c r="C7" s="0" t="n">
        <v>33.34</v>
      </c>
      <c r="D7" s="0" t="n">
        <v>-456.982901479008</v>
      </c>
      <c r="E7" s="0" t="n">
        <v>114525.60922035</v>
      </c>
      <c r="F7" s="0" t="n">
        <v>6628.26285011611</v>
      </c>
      <c r="G7" s="0" t="n">
        <v>72.5190875124203</v>
      </c>
      <c r="I7" s="0" t="n">
        <v>-479.272840933991</v>
      </c>
      <c r="J7" s="0" t="n">
        <v>121186.70719639</v>
      </c>
      <c r="K7" s="0" t="n">
        <v>12557.513334078</v>
      </c>
      <c r="M7" s="0" t="n">
        <f aca="false">A7*C7</f>
        <v>50.01</v>
      </c>
      <c r="N7" s="0" t="n">
        <f aca="false">G7</f>
        <v>72.5190875124203</v>
      </c>
      <c r="O7" s="0" t="n">
        <f aca="false">N7+M7</f>
        <v>122.52908751242</v>
      </c>
    </row>
    <row r="8" customFormat="false" ht="12" hidden="false" customHeight="false" outlineLevel="0" collapsed="false">
      <c r="A8" s="0" t="n">
        <v>2</v>
      </c>
      <c r="B8" s="0" t="n">
        <v>101.84</v>
      </c>
      <c r="C8" s="0" t="n">
        <v>24.2</v>
      </c>
      <c r="D8" s="0" t="n">
        <v>-465.281277227046</v>
      </c>
      <c r="E8" s="0" t="n">
        <v>116925.319680433</v>
      </c>
      <c r="F8" s="0" t="n">
        <v>7648.31784817831</v>
      </c>
      <c r="G8" s="0" t="n">
        <v>60.2469291642565</v>
      </c>
      <c r="I8" s="0" t="n">
        <v>-485.166247273236</v>
      </c>
      <c r="J8" s="0" t="n">
        <v>122555.639284949</v>
      </c>
      <c r="K8" s="0" t="n">
        <v>12501.9775554855</v>
      </c>
      <c r="M8" s="0" t="n">
        <f aca="false">A8*C8</f>
        <v>48.4</v>
      </c>
      <c r="N8" s="0" t="n">
        <f aca="false">G8</f>
        <v>60.2469291642565</v>
      </c>
      <c r="O8" s="0" t="n">
        <f aca="false">N8+M8</f>
        <v>108.646929164256</v>
      </c>
    </row>
    <row r="9" customFormat="false" ht="12" hidden="false" customHeight="false" outlineLevel="0" collapsed="false">
      <c r="A9" s="0" t="n">
        <v>2.5</v>
      </c>
      <c r="B9" s="0" t="n">
        <v>102.86</v>
      </c>
      <c r="C9" s="0" t="n">
        <v>17.38</v>
      </c>
      <c r="D9" s="0" t="n">
        <v>-452.156463204983</v>
      </c>
      <c r="E9" s="0" t="n">
        <v>113698.17734469</v>
      </c>
      <c r="F9" s="0" t="n">
        <v>8475.33459643081</v>
      </c>
      <c r="G9" s="0" t="n">
        <v>39.5186739260725</v>
      </c>
      <c r="I9" s="0" t="n">
        <v>-457.065617425199</v>
      </c>
      <c r="J9" s="0" t="n">
        <v>117293.705700096</v>
      </c>
      <c r="K9" s="0" t="n">
        <v>11907.4972225155</v>
      </c>
      <c r="M9" s="0" t="n">
        <f aca="false">A9*C9</f>
        <v>43.45</v>
      </c>
      <c r="N9" s="0" t="n">
        <f aca="false">G9</f>
        <v>39.5186739260725</v>
      </c>
      <c r="O9" s="0" t="n">
        <f aca="false">N9+M9</f>
        <v>82.9686739260725</v>
      </c>
    </row>
    <row r="10" customFormat="false" ht="12" hidden="false" customHeight="false" outlineLevel="0" collapsed="false">
      <c r="A10" s="0" t="n">
        <v>3</v>
      </c>
      <c r="B10" s="0" t="n">
        <v>98.36</v>
      </c>
      <c r="C10" s="0" t="n">
        <v>13.28</v>
      </c>
      <c r="D10" s="0" t="n">
        <v>-482.192502167022</v>
      </c>
      <c r="E10" s="0" t="n">
        <v>122957.556739144</v>
      </c>
      <c r="F10" s="0" t="n">
        <v>9158.34812207701</v>
      </c>
      <c r="G10" s="0" t="n">
        <v>36.8123099631226</v>
      </c>
      <c r="I10" s="0" t="n">
        <v>-492.645494182976</v>
      </c>
      <c r="J10" s="0" t="n">
        <v>126149.608727931</v>
      </c>
      <c r="K10" s="0" t="n">
        <v>12146.8972617737</v>
      </c>
      <c r="M10" s="0" t="n">
        <f aca="false">A10*C10</f>
        <v>39.84</v>
      </c>
      <c r="N10" s="0" t="n">
        <f aca="false">G10</f>
        <v>36.8123099631226</v>
      </c>
      <c r="O10" s="0" t="n">
        <f aca="false">N10+M10</f>
        <v>76.6523099631226</v>
      </c>
    </row>
    <row r="11" customFormat="false" ht="12" hidden="false" customHeight="false" outlineLevel="0" collapsed="false">
      <c r="A11" s="0" t="n">
        <v>3.5</v>
      </c>
      <c r="B11" s="0" t="n">
        <v>99.4</v>
      </c>
      <c r="C11" s="0" t="n">
        <v>11.08</v>
      </c>
      <c r="D11" s="0" t="n">
        <v>-453.224211880973</v>
      </c>
      <c r="E11" s="0" t="n">
        <v>113984.563086866</v>
      </c>
      <c r="F11" s="0" t="n">
        <v>9027.00568536194</v>
      </c>
      <c r="G11" s="0" t="n">
        <v>32.5360173774233</v>
      </c>
      <c r="I11" s="0" t="n">
        <v>-464.285307601518</v>
      </c>
      <c r="J11" s="0" t="n">
        <v>116756.465354785</v>
      </c>
      <c r="K11" s="0" t="n">
        <v>11593.7195671292</v>
      </c>
      <c r="M11" s="0" t="n">
        <f aca="false">A11*C11</f>
        <v>38.78</v>
      </c>
      <c r="N11" s="0" t="n">
        <f aca="false">G11</f>
        <v>32.5360173774233</v>
      </c>
      <c r="O11" s="0" t="n">
        <f aca="false">N11+M11</f>
        <v>71.3160173774233</v>
      </c>
    </row>
    <row r="12" customFormat="false" ht="12" hidden="false" customHeight="false" outlineLevel="0" collapsed="false">
      <c r="A12" s="0" t="n">
        <v>4</v>
      </c>
      <c r="B12" s="0" t="n">
        <v>102.2</v>
      </c>
      <c r="C12" s="0" t="n">
        <v>7.42</v>
      </c>
      <c r="D12" s="0" t="n">
        <v>-459.963975556836</v>
      </c>
      <c r="E12" s="0" t="n">
        <v>117521.342646694</v>
      </c>
      <c r="F12" s="0" t="n">
        <v>9996.88253823937</v>
      </c>
      <c r="G12" s="0" t="n">
        <v>24.3162864396344</v>
      </c>
      <c r="I12" s="0" t="n">
        <v>-469.00346848497</v>
      </c>
      <c r="J12" s="0" t="n">
        <v>119553.369332259</v>
      </c>
      <c r="K12" s="0" t="n">
        <v>11865.2987865802</v>
      </c>
      <c r="M12" s="0" t="n">
        <f aca="false">A12*C12</f>
        <v>29.68</v>
      </c>
      <c r="N12" s="0" t="n">
        <f aca="false">G12</f>
        <v>24.3162864396344</v>
      </c>
      <c r="O12" s="0" t="n">
        <f aca="false">N12+M12</f>
        <v>53.9962864396344</v>
      </c>
    </row>
    <row r="13" customFormat="false" ht="12" hidden="false" customHeight="false" outlineLevel="0" collapsed="false">
      <c r="A13" s="0" t="n">
        <v>4.5</v>
      </c>
      <c r="B13" s="0" t="n">
        <v>100.72</v>
      </c>
      <c r="C13" s="0" t="n">
        <v>5.84</v>
      </c>
      <c r="D13" s="0" t="n">
        <v>-431.107053076793</v>
      </c>
      <c r="E13" s="0" t="n">
        <v>110165.715858291</v>
      </c>
      <c r="F13" s="0" t="n">
        <v>9580.28903545121</v>
      </c>
      <c r="G13" s="0" t="n">
        <v>18.8241507463458</v>
      </c>
      <c r="I13" s="0" t="n">
        <v>-439.344789054556</v>
      </c>
      <c r="J13" s="0" t="n">
        <v>111804.11552651</v>
      </c>
      <c r="K13" s="0" t="n">
        <v>11157.0823337986</v>
      </c>
      <c r="M13" s="0" t="n">
        <f aca="false">A13*C13</f>
        <v>26.28</v>
      </c>
      <c r="N13" s="0" t="n">
        <f aca="false">G13</f>
        <v>18.8241507463458</v>
      </c>
      <c r="O13" s="0" t="n">
        <f aca="false">N13+M13</f>
        <v>45.1041507463458</v>
      </c>
    </row>
    <row r="14" customFormat="false" ht="12" hidden="false" customHeight="false" outlineLevel="0" collapsed="false">
      <c r="A14" s="0" t="n">
        <v>5</v>
      </c>
      <c r="B14" s="0" t="n">
        <v>98.6</v>
      </c>
      <c r="C14" s="0" t="n">
        <v>5.38</v>
      </c>
      <c r="D14" s="0" t="n">
        <v>-482.15367112472</v>
      </c>
      <c r="E14" s="0" t="n">
        <v>124759.237276504</v>
      </c>
      <c r="F14" s="0" t="n">
        <v>10865.9618600825</v>
      </c>
      <c r="G14" s="0" t="n">
        <v>23.6144838342554</v>
      </c>
      <c r="I14" s="0" t="n">
        <v>-497.093063417864</v>
      </c>
      <c r="J14" s="0" t="n">
        <v>126494.749674325</v>
      </c>
      <c r="K14" s="0" t="n">
        <v>12494.4101536368</v>
      </c>
      <c r="M14" s="0" t="n">
        <f aca="false">A14*C14</f>
        <v>26.9</v>
      </c>
      <c r="N14" s="0" t="n">
        <f aca="false">G14</f>
        <v>23.6144838342554</v>
      </c>
      <c r="O14" s="0" t="n">
        <f aca="false">N14+M14</f>
        <v>50.5144838342554</v>
      </c>
    </row>
    <row r="15" customFormat="false" ht="12" hidden="false" customHeight="false" outlineLevel="0" collapsed="false">
      <c r="A15" s="0" t="n">
        <v>5.5</v>
      </c>
      <c r="B15" s="0" t="n">
        <v>101.38</v>
      </c>
      <c r="C15" s="0" t="n">
        <v>4.62</v>
      </c>
      <c r="D15" s="0" t="n">
        <v>-478.450482693416</v>
      </c>
      <c r="E15" s="0" t="n">
        <v>123050.344873544</v>
      </c>
      <c r="F15" s="0" t="n">
        <v>11267.9872451127</v>
      </c>
      <c r="G15" s="0" t="n">
        <v>20.7125437800908</v>
      </c>
      <c r="I15" s="0" t="n">
        <v>-491.289132568177</v>
      </c>
      <c r="J15" s="0" t="n">
        <v>124400.784529575</v>
      </c>
      <c r="K15" s="0" t="n">
        <v>12576.8344632214</v>
      </c>
      <c r="M15" s="0" t="n">
        <f aca="false">A15*C15</f>
        <v>25.41</v>
      </c>
      <c r="N15" s="0" t="n">
        <f aca="false">G15</f>
        <v>20.7125437800908</v>
      </c>
      <c r="O15" s="0" t="n">
        <f aca="false">N15+M15</f>
        <v>46.1225437800908</v>
      </c>
    </row>
    <row r="16" customFormat="false" ht="12" hidden="false" customHeight="false" outlineLevel="0" collapsed="false">
      <c r="A16" s="0" t="n">
        <v>6</v>
      </c>
      <c r="B16" s="0" t="n">
        <v>100.6</v>
      </c>
      <c r="C16" s="0" t="n">
        <v>2.92</v>
      </c>
      <c r="D16" s="0" t="n">
        <v>-420.010193006034</v>
      </c>
      <c r="E16" s="0" t="n">
        <v>108867.03513977</v>
      </c>
      <c r="F16" s="0" t="n">
        <v>9954.52666409853</v>
      </c>
      <c r="G16" s="0" t="n">
        <v>10.3802010668429</v>
      </c>
      <c r="I16" s="0" t="n">
        <v>-425.099772039342</v>
      </c>
      <c r="J16" s="0" t="n">
        <v>109682.925631616</v>
      </c>
      <c r="K16" s="0" t="n">
        <v>10770.6669452022</v>
      </c>
      <c r="M16" s="0" t="n">
        <f aca="false">A16*C16</f>
        <v>17.52</v>
      </c>
      <c r="N16" s="0" t="n">
        <f aca="false">G16</f>
        <v>10.3802010668429</v>
      </c>
      <c r="O16" s="0" t="n">
        <f aca="false">N16+M16</f>
        <v>27.9002010668429</v>
      </c>
    </row>
    <row r="17" customFormat="false" ht="12" hidden="false" customHeight="false" outlineLevel="0" collapsed="false">
      <c r="A17" s="0" t="n">
        <v>6.5</v>
      </c>
      <c r="B17" s="0" t="n">
        <v>97.66</v>
      </c>
      <c r="C17" s="0" t="n">
        <v>2.5</v>
      </c>
      <c r="D17" s="0" t="n">
        <v>-436.233028078421</v>
      </c>
      <c r="E17" s="0" t="n">
        <v>113715.992057927</v>
      </c>
      <c r="F17" s="0" t="n">
        <v>10292.7253335418</v>
      </c>
      <c r="G17" s="0" t="n">
        <v>12.9143394582069</v>
      </c>
      <c r="I17" s="0" t="n">
        <v>-445.964114830423</v>
      </c>
      <c r="J17" s="0" t="n">
        <v>114461.6325344</v>
      </c>
      <c r="K17" s="0" t="n">
        <v>11023.3872948661</v>
      </c>
      <c r="M17" s="0" t="n">
        <f aca="false">A17*C17</f>
        <v>16.25</v>
      </c>
      <c r="N17" s="0" t="n">
        <f aca="false">G17</f>
        <v>12.9143394582069</v>
      </c>
      <c r="O17" s="0" t="n">
        <f aca="false">N17+M17</f>
        <v>29.1643394582069</v>
      </c>
    </row>
    <row r="18" customFormat="false" ht="12" hidden="false" customHeight="false" outlineLevel="0" collapsed="false">
      <c r="A18" s="0" t="n">
        <v>7</v>
      </c>
      <c r="B18" s="0" t="n">
        <v>99.64</v>
      </c>
      <c r="C18" s="0" t="n">
        <v>2.16</v>
      </c>
      <c r="D18" s="0" t="n">
        <v>-435.682972367448</v>
      </c>
      <c r="E18" s="0" t="n">
        <v>112456.032030684</v>
      </c>
      <c r="F18" s="0" t="n">
        <v>10569.3565490164</v>
      </c>
      <c r="G18" s="0" t="n">
        <v>11.2360259550059</v>
      </c>
      <c r="I18" s="0" t="n">
        <v>-443.650077206294</v>
      </c>
      <c r="J18" s="0" t="n">
        <v>113135.475941387</v>
      </c>
      <c r="K18" s="0" t="n">
        <v>11249.907646149</v>
      </c>
      <c r="M18" s="0" t="n">
        <f aca="false">A18*C18</f>
        <v>15.12</v>
      </c>
      <c r="N18" s="0" t="n">
        <f aca="false">G18</f>
        <v>11.2360259550059</v>
      </c>
      <c r="O18" s="0" t="n">
        <f aca="false">N18+M18</f>
        <v>26.3560259550059</v>
      </c>
    </row>
    <row r="19" customFormat="false" ht="12" hidden="false" customHeight="false" outlineLevel="0" collapsed="false">
      <c r="A19" s="0" t="n">
        <v>7.5</v>
      </c>
      <c r="B19" s="0" t="n">
        <v>97.36</v>
      </c>
      <c r="C19" s="0" t="n">
        <v>2.24</v>
      </c>
      <c r="D19" s="0" t="n">
        <v>-444.901399500764</v>
      </c>
      <c r="E19" s="0" t="n">
        <v>113776.16988189</v>
      </c>
      <c r="F19" s="0" t="n">
        <v>10704.0111461117</v>
      </c>
      <c r="G19" s="0" t="n">
        <v>12.5024397046301</v>
      </c>
      <c r="I19" s="0" t="n">
        <v>-455.384378488818</v>
      </c>
      <c r="J19" s="0" t="n">
        <v>114492.773350313</v>
      </c>
      <c r="K19" s="0" t="n">
        <v>11420.6146145346</v>
      </c>
      <c r="M19" s="0" t="n">
        <f aca="false">A19*C19</f>
        <v>16.8</v>
      </c>
      <c r="N19" s="0" t="n">
        <f aca="false">G19</f>
        <v>12.5024397046301</v>
      </c>
      <c r="O19" s="0" t="n">
        <f aca="false">N19+M19</f>
        <v>29.3024397046301</v>
      </c>
    </row>
    <row r="20" customFormat="false" ht="12" hidden="false" customHeight="false" outlineLevel="0" collapsed="false">
      <c r="A20" s="0" t="n">
        <v>8</v>
      </c>
      <c r="B20" s="0" t="n">
        <v>100.86</v>
      </c>
      <c r="C20" s="0" t="n">
        <v>1.74</v>
      </c>
      <c r="D20" s="0" t="n">
        <v>-447.840001211722</v>
      </c>
      <c r="E20" s="0" t="n">
        <v>115881.763898848</v>
      </c>
      <c r="F20" s="0" t="n">
        <v>10929.3661428268</v>
      </c>
      <c r="G20" s="0" t="n">
        <v>7.20507795481859</v>
      </c>
      <c r="I20" s="0" t="n">
        <v>-452.678652565707</v>
      </c>
      <c r="J20" s="0" t="n">
        <v>116411.234116255</v>
      </c>
      <c r="K20" s="0" t="n">
        <v>11458.9754914916</v>
      </c>
      <c r="M20" s="0" t="n">
        <f aca="false">A20*C20</f>
        <v>13.92</v>
      </c>
      <c r="N20" s="0" t="n">
        <f aca="false">G20</f>
        <v>7.20507795481859</v>
      </c>
      <c r="O20" s="0" t="n">
        <f aca="false">N20+M20</f>
        <v>21.1250779548186</v>
      </c>
    </row>
    <row r="21" customFormat="false" ht="12" hidden="false" customHeight="false" outlineLevel="0" collapsed="false">
      <c r="A21" s="0" t="n">
        <v>8.5</v>
      </c>
      <c r="B21" s="0" t="n">
        <v>101.1</v>
      </c>
      <c r="C21" s="0" t="n">
        <v>1.58</v>
      </c>
      <c r="D21" s="0" t="n">
        <v>-446.157420098516</v>
      </c>
      <c r="E21" s="0" t="n">
        <v>114910.010490254</v>
      </c>
      <c r="F21" s="0" t="n">
        <v>11281.9190987448</v>
      </c>
      <c r="G21" s="0" t="n">
        <v>6.06821634995901</v>
      </c>
      <c r="I21" s="0" t="n">
        <v>-450.780943606918</v>
      </c>
      <c r="J21" s="0" t="n">
        <v>115400.645669909</v>
      </c>
      <c r="K21" s="0" t="n">
        <v>11772.5542784003</v>
      </c>
      <c r="M21" s="0" t="n">
        <f aca="false">A21*C21</f>
        <v>13.43</v>
      </c>
      <c r="N21" s="0" t="n">
        <f aca="false">G21</f>
        <v>6.06821634995901</v>
      </c>
      <c r="O21" s="0" t="n">
        <f aca="false">N21+M21</f>
        <v>19.498216349959</v>
      </c>
    </row>
    <row r="22" customFormat="false" ht="12" hidden="false" customHeight="false" outlineLevel="0" collapsed="false">
      <c r="A22" s="0" t="n">
        <v>9</v>
      </c>
      <c r="B22" s="0" t="n">
        <v>102.54</v>
      </c>
      <c r="C22" s="0" t="n">
        <v>1.3</v>
      </c>
      <c r="D22" s="0" t="n">
        <v>-430.13785491432</v>
      </c>
      <c r="E22" s="0" t="n">
        <v>110292.569943274</v>
      </c>
      <c r="F22" s="0" t="n">
        <v>11235.4017701836</v>
      </c>
      <c r="G22" s="0" t="n">
        <v>7.29521048278318</v>
      </c>
      <c r="I22" s="0" t="n">
        <v>-436.163270910717</v>
      </c>
      <c r="J22" s="0" t="n">
        <v>110684.385556139</v>
      </c>
      <c r="K22" s="0" t="n">
        <v>11627.217383048</v>
      </c>
      <c r="M22" s="0" t="n">
        <f aca="false">A22*C22</f>
        <v>11.7</v>
      </c>
      <c r="N22" s="0" t="n">
        <f aca="false">G22</f>
        <v>7.29521048278318</v>
      </c>
      <c r="O22" s="0" t="n">
        <f aca="false">N22+M22</f>
        <v>18.9952104827832</v>
      </c>
    </row>
    <row r="23" customFormat="false" ht="12" hidden="false" customHeight="false" outlineLevel="0" collapsed="false">
      <c r="A23" s="0" t="n">
        <v>9.5</v>
      </c>
      <c r="B23" s="0" t="n">
        <v>99.1</v>
      </c>
      <c r="C23" s="0" t="n">
        <v>1.06</v>
      </c>
      <c r="D23" s="0" t="n">
        <v>-423.55073075659</v>
      </c>
      <c r="E23" s="0" t="n">
        <v>108986.26128598</v>
      </c>
      <c r="F23" s="0" t="n">
        <v>10472.7874816836</v>
      </c>
      <c r="G23" s="0" t="n">
        <v>6.36943514965137</v>
      </c>
      <c r="I23" s="0" t="n">
        <v>-428.916057432923</v>
      </c>
      <c r="J23" s="0" t="n">
        <v>109330.590771764</v>
      </c>
      <c r="K23" s="0" t="n">
        <v>10817.1169674676</v>
      </c>
      <c r="M23" s="0" t="n">
        <f aca="false">A23*C23</f>
        <v>10.07</v>
      </c>
      <c r="N23" s="0" t="n">
        <f aca="false">G23</f>
        <v>6.36943514965137</v>
      </c>
      <c r="O23" s="0" t="n">
        <f aca="false">N23+M23</f>
        <v>16.4394351496514</v>
      </c>
    </row>
    <row r="24" customFormat="false" ht="12" hidden="false" customHeight="false" outlineLevel="0" collapsed="false">
      <c r="A24" s="0" t="n">
        <v>10</v>
      </c>
      <c r="B24" s="0" t="n">
        <v>102.32</v>
      </c>
      <c r="C24" s="0" t="n">
        <v>0.86</v>
      </c>
      <c r="D24" s="0" t="n">
        <v>-428.487933881448</v>
      </c>
      <c r="E24" s="0" t="n">
        <v>110366.186466171</v>
      </c>
      <c r="F24" s="0" t="n">
        <v>11034.0863621579</v>
      </c>
      <c r="G24" s="0" t="n">
        <v>6.57949429089878</v>
      </c>
      <c r="I24" s="0" t="n">
        <v>-433.993913045471</v>
      </c>
      <c r="J24" s="0" t="n">
        <v>110622.581508622</v>
      </c>
      <c r="K24" s="0" t="n">
        <v>11290.5150112941</v>
      </c>
      <c r="M24" s="0" t="n">
        <f aca="false">A24*C24</f>
        <v>8.6</v>
      </c>
      <c r="N24" s="0" t="n">
        <f aca="false">G24</f>
        <v>6.57949429089878</v>
      </c>
      <c r="O24" s="0" t="n">
        <f aca="false">N24+M24</f>
        <v>15.1794942908988</v>
      </c>
    </row>
    <row r="25" customFormat="false" ht="12" hidden="false" customHeight="false" outlineLevel="0" collapsed="false">
      <c r="A25" s="0" t="n">
        <v>10.5</v>
      </c>
      <c r="B25" s="0" t="n">
        <v>101.58</v>
      </c>
      <c r="C25" s="0" t="n">
        <v>1.02</v>
      </c>
      <c r="D25" s="0" t="n">
        <v>-458.971991946867</v>
      </c>
      <c r="E25" s="0" t="n">
        <v>117997.884496972</v>
      </c>
      <c r="F25" s="0" t="n">
        <v>11822.1561725574</v>
      </c>
      <c r="G25" s="0" t="n">
        <v>8.0981389287635</v>
      </c>
      <c r="I25" s="0" t="n">
        <v>-466.248288598929</v>
      </c>
      <c r="J25" s="0" t="n">
        <v>118349.726390305</v>
      </c>
      <c r="K25" s="0" t="n">
        <v>12173.9980658909</v>
      </c>
      <c r="M25" s="0" t="n">
        <f aca="false">A25*C25</f>
        <v>10.71</v>
      </c>
      <c r="N25" s="0" t="n">
        <f aca="false">G25</f>
        <v>8.0981389287635</v>
      </c>
      <c r="O25" s="0" t="n">
        <f aca="false">N25+M25</f>
        <v>18.8081389287635</v>
      </c>
    </row>
    <row r="26" customFormat="false" ht="12" hidden="false" customHeight="false" outlineLevel="0" collapsed="false">
      <c r="A26" s="0" t="n">
        <v>11</v>
      </c>
      <c r="B26" s="0" t="n">
        <v>99.5</v>
      </c>
      <c r="C26" s="0" t="n">
        <v>0.8</v>
      </c>
      <c r="D26" s="0" t="n">
        <v>-448.819418524444</v>
      </c>
      <c r="E26" s="0" t="n">
        <v>115212.465037777</v>
      </c>
      <c r="F26" s="0" t="n">
        <v>11514.8124333568</v>
      </c>
      <c r="G26" s="0" t="n">
        <v>5.85360760937072</v>
      </c>
      <c r="I26" s="0" t="n">
        <v>-454.025888326567</v>
      </c>
      <c r="J26" s="0" t="n">
        <v>115486.757694773</v>
      </c>
      <c r="K26" s="0" t="n">
        <v>11789.1050903529</v>
      </c>
      <c r="M26" s="0" t="n">
        <f aca="false">A26*C26</f>
        <v>8.8</v>
      </c>
      <c r="N26" s="0" t="n">
        <f aca="false">G26</f>
        <v>5.85360760937072</v>
      </c>
      <c r="O26" s="0" t="n">
        <f aca="false">N26+M26</f>
        <v>14.6536076093707</v>
      </c>
    </row>
    <row r="27" customFormat="false" ht="12" hidden="false" customHeight="false" outlineLevel="0" collapsed="false">
      <c r="A27" s="0" t="n">
        <v>11.5</v>
      </c>
      <c r="B27" s="0" t="n">
        <v>98.06</v>
      </c>
      <c r="C27" s="0" t="n">
        <v>0.78</v>
      </c>
      <c r="D27" s="0" t="n">
        <v>-426.966263311584</v>
      </c>
      <c r="E27" s="0" t="n">
        <v>109180.198181717</v>
      </c>
      <c r="F27" s="0" t="n">
        <v>10365.1073178804</v>
      </c>
      <c r="G27" s="0" t="n">
        <v>6.02089626954257</v>
      </c>
      <c r="I27" s="0" t="n">
        <v>-432.487762562659</v>
      </c>
      <c r="J27" s="0" t="n">
        <v>109437.934946158</v>
      </c>
      <c r="K27" s="0" t="n">
        <v>10622.8440823206</v>
      </c>
      <c r="M27" s="0" t="n">
        <f aca="false">A27*C27</f>
        <v>8.97</v>
      </c>
      <c r="N27" s="0" t="n">
        <f aca="false">G27</f>
        <v>6.02089626954257</v>
      </c>
      <c r="O27" s="0" t="n">
        <f aca="false">N27+M27</f>
        <v>14.9908962695426</v>
      </c>
    </row>
    <row r="28" customFormat="false" ht="12" hidden="false" customHeight="false" outlineLevel="0" collapsed="false">
      <c r="A28" s="0" t="n">
        <v>12</v>
      </c>
      <c r="B28" s="0" t="n">
        <v>98.68</v>
      </c>
      <c r="C28" s="0" t="n">
        <v>0.68</v>
      </c>
      <c r="D28" s="0" t="n">
        <v>-462.429701285963</v>
      </c>
      <c r="E28" s="0" t="n">
        <v>119023.556310549</v>
      </c>
      <c r="F28" s="0" t="n">
        <v>11521.0363784898</v>
      </c>
      <c r="G28" s="0" t="n">
        <v>6.18539075609393</v>
      </c>
      <c r="I28" s="0" t="n">
        <v>-468.308698632434</v>
      </c>
      <c r="J28" s="0" t="n">
        <v>119263.065501505</v>
      </c>
      <c r="K28" s="0" t="n">
        <v>11760.5455694457</v>
      </c>
      <c r="M28" s="0" t="n">
        <f aca="false">A28*C28</f>
        <v>8.16</v>
      </c>
      <c r="N28" s="0" t="n">
        <f aca="false">G28</f>
        <v>6.18539075609393</v>
      </c>
      <c r="O28" s="0" t="n">
        <f aca="false">N28+M28</f>
        <v>14.3453907560939</v>
      </c>
    </row>
    <row r="29" customFormat="false" ht="12" hidden="false" customHeight="false" outlineLevel="0" collapsed="false">
      <c r="A29" s="0" t="n">
        <v>12.5</v>
      </c>
      <c r="B29" s="0" t="n">
        <v>100.78</v>
      </c>
      <c r="C29" s="0" t="n">
        <v>0.72</v>
      </c>
      <c r="D29" s="0" t="n">
        <v>-453.308725716283</v>
      </c>
      <c r="E29" s="0" t="n">
        <v>115995.764526859</v>
      </c>
      <c r="F29" s="0" t="n">
        <v>11409.3857272239</v>
      </c>
      <c r="G29" s="0" t="n">
        <v>6.95633185956614</v>
      </c>
      <c r="I29" s="0" t="n">
        <v>-459.995752975615</v>
      </c>
      <c r="J29" s="0" t="n">
        <v>116257.039730487</v>
      </c>
      <c r="K29" s="0" t="n">
        <v>11670.6609308522</v>
      </c>
      <c r="M29" s="0" t="n">
        <f aca="false">A29*C29</f>
        <v>9</v>
      </c>
      <c r="N29" s="0" t="n">
        <f aca="false">G29</f>
        <v>6.95633185956614</v>
      </c>
      <c r="O29" s="0" t="n">
        <f aca="false">N29+M29</f>
        <v>15.9563318595661</v>
      </c>
    </row>
    <row r="30" customFormat="false" ht="12" hidden="false" customHeight="false" outlineLevel="0" collapsed="false">
      <c r="A30" s="0" t="n">
        <v>13</v>
      </c>
      <c r="B30" s="0" t="n">
        <v>99.88</v>
      </c>
      <c r="C30" s="0" t="n">
        <v>0.52</v>
      </c>
      <c r="D30" s="0" t="n">
        <v>-450.269424569005</v>
      </c>
      <c r="E30" s="0" t="n">
        <v>115365.85966018</v>
      </c>
      <c r="F30" s="0" t="n">
        <v>11749.8832028537</v>
      </c>
      <c r="G30" s="0" t="n">
        <v>7.04224926160802</v>
      </c>
      <c r="I30" s="0" t="n">
        <v>-457.079728804165</v>
      </c>
      <c r="J30" s="0" t="n">
        <v>115557.776361647</v>
      </c>
      <c r="K30" s="0" t="n">
        <v>11941.7999043203</v>
      </c>
      <c r="M30" s="0" t="n">
        <f aca="false">A30*C30</f>
        <v>6.76</v>
      </c>
      <c r="N30" s="0" t="n">
        <f aca="false">G30</f>
        <v>7.04224926160802</v>
      </c>
      <c r="O30" s="0" t="n">
        <f aca="false">N30+M30</f>
        <v>13.802249261608</v>
      </c>
    </row>
    <row r="31" customFormat="false" ht="12" hidden="false" customHeight="false" outlineLevel="0" collapsed="false">
      <c r="A31" s="0" t="n">
        <v>13.5</v>
      </c>
      <c r="B31" s="0" t="n">
        <v>97.62</v>
      </c>
      <c r="C31" s="0" t="n">
        <v>0.68</v>
      </c>
      <c r="D31" s="0" t="n">
        <v>-465.326074556422</v>
      </c>
      <c r="E31" s="0" t="n">
        <v>118994.625346735</v>
      </c>
      <c r="F31" s="0" t="n">
        <v>11476.1450137686</v>
      </c>
      <c r="G31" s="0" t="n">
        <v>4.84917344057204</v>
      </c>
      <c r="I31" s="0" t="n">
        <v>-469.792771873447</v>
      </c>
      <c r="J31" s="0" t="n">
        <v>119229.621873291</v>
      </c>
      <c r="K31" s="0" t="n">
        <v>11711.1415403254</v>
      </c>
      <c r="M31" s="0" t="n">
        <f aca="false">A31*C31</f>
        <v>9.18</v>
      </c>
      <c r="N31" s="0" t="n">
        <f aca="false">G31</f>
        <v>4.84917344057204</v>
      </c>
      <c r="O31" s="0" t="n">
        <f aca="false">N31+M31</f>
        <v>14.029173440572</v>
      </c>
    </row>
    <row r="32" customFormat="false" ht="12" hidden="false" customHeight="false" outlineLevel="0" collapsed="false">
      <c r="A32" s="0" t="n">
        <v>14</v>
      </c>
      <c r="B32" s="0" t="n">
        <v>104.1</v>
      </c>
      <c r="C32" s="0" t="n">
        <v>0.44</v>
      </c>
      <c r="D32" s="0" t="n">
        <v>-460.74158542434</v>
      </c>
      <c r="E32" s="0" t="n">
        <v>117672.086342384</v>
      </c>
      <c r="F32" s="0" t="n">
        <v>12412.6882069588</v>
      </c>
      <c r="G32" s="0" t="n">
        <v>3.97415262806695</v>
      </c>
      <c r="I32" s="0" t="n">
        <v>-464.536401392553</v>
      </c>
      <c r="J32" s="0" t="n">
        <v>117843.089610509</v>
      </c>
      <c r="K32" s="0" t="n">
        <v>12583.6914750842</v>
      </c>
      <c r="M32" s="0" t="n">
        <f aca="false">A32*C32</f>
        <v>6.16</v>
      </c>
      <c r="N32" s="0" t="n">
        <f aca="false">G32</f>
        <v>3.97415262806695</v>
      </c>
      <c r="O32" s="0" t="n">
        <f aca="false">N32+M32</f>
        <v>10.134152628067</v>
      </c>
    </row>
    <row r="33" customFormat="false" ht="12" hidden="false" customHeight="false" outlineLevel="0" collapsed="false">
      <c r="A33" s="0" t="n">
        <v>14.5</v>
      </c>
      <c r="B33" s="0" t="n">
        <v>99.12</v>
      </c>
      <c r="C33" s="0" t="n">
        <v>0.38</v>
      </c>
      <c r="D33" s="0" t="n">
        <v>-458.716857858453</v>
      </c>
      <c r="E33" s="0" t="n">
        <v>118630.074385795</v>
      </c>
      <c r="F33" s="0" t="n">
        <v>11734.17517733</v>
      </c>
      <c r="G33" s="0" t="n">
        <v>3.54177949402936</v>
      </c>
      <c r="I33" s="0" t="n">
        <v>-462.041259615114</v>
      </c>
      <c r="J33" s="0" t="n">
        <v>118745.312262726</v>
      </c>
      <c r="K33" s="0" t="n">
        <v>11849.4130542616</v>
      </c>
      <c r="M33" s="0" t="n">
        <f aca="false">A33*C33</f>
        <v>5.51</v>
      </c>
      <c r="N33" s="0" t="n">
        <f aca="false">G33</f>
        <v>3.54177949402936</v>
      </c>
      <c r="O33" s="0" t="n">
        <f aca="false">N33+M33</f>
        <v>9.05177949402936</v>
      </c>
    </row>
    <row r="34" customFormat="false" ht="12" hidden="false" customHeight="false" outlineLevel="0" collapsed="false">
      <c r="A34" s="0" t="n">
        <v>15</v>
      </c>
      <c r="B34" s="0" t="n">
        <v>99.64</v>
      </c>
      <c r="C34" s="0" t="n">
        <v>0.28</v>
      </c>
      <c r="D34" s="0" t="n">
        <v>-418.213091793649</v>
      </c>
      <c r="E34" s="0" t="n">
        <v>107794.878515378</v>
      </c>
      <c r="F34" s="0" t="n">
        <v>10671.0943611576</v>
      </c>
      <c r="G34" s="0" t="n">
        <v>2.38915355793103</v>
      </c>
      <c r="I34" s="0" t="n">
        <v>-420.403130790362</v>
      </c>
      <c r="J34" s="0" t="n">
        <v>107898.923042184</v>
      </c>
      <c r="K34" s="0" t="n">
        <v>10775.1388879642</v>
      </c>
      <c r="M34" s="0" t="n">
        <f aca="false">A34*C34</f>
        <v>4.2</v>
      </c>
      <c r="N34" s="0" t="n">
        <f aca="false">G34</f>
        <v>2.38915355793103</v>
      </c>
      <c r="O34" s="0" t="n">
        <f aca="false">N34+M34</f>
        <v>6.58915355793103</v>
      </c>
    </row>
    <row r="35" customFormat="false" ht="12" hidden="false" customHeight="false" outlineLevel="0" collapsed="false">
      <c r="A35" s="0" t="n">
        <v>15.5</v>
      </c>
      <c r="B35" s="0" t="n">
        <v>100.12</v>
      </c>
      <c r="C35" s="0" t="n">
        <v>0.32</v>
      </c>
      <c r="D35" s="0" t="n">
        <v>-462.506886205742</v>
      </c>
      <c r="E35" s="0" t="n">
        <v>117887.263232109</v>
      </c>
      <c r="F35" s="0" t="n">
        <v>11714.6647681029</v>
      </c>
      <c r="G35" s="0" t="n">
        <v>3.8535277964867</v>
      </c>
      <c r="I35" s="0" t="n">
        <v>-466.178983455612</v>
      </c>
      <c r="J35" s="0" t="n">
        <v>118014.281056936</v>
      </c>
      <c r="K35" s="0" t="n">
        <v>11841.682592929</v>
      </c>
      <c r="M35" s="0" t="n">
        <f aca="false">A35*C35</f>
        <v>4.96</v>
      </c>
      <c r="N35" s="0" t="n">
        <f aca="false">G35</f>
        <v>3.8535277964867</v>
      </c>
      <c r="O35" s="0" t="n">
        <f aca="false">N35+M35</f>
        <v>8.81352779648671</v>
      </c>
    </row>
    <row r="36" customFormat="false" ht="12" hidden="false" customHeight="false" outlineLevel="0" collapsed="false">
      <c r="A36" s="0" t="n">
        <v>16</v>
      </c>
      <c r="B36" s="0" t="n">
        <v>99.6</v>
      </c>
      <c r="C36" s="0" t="n">
        <v>0.56</v>
      </c>
      <c r="D36" s="0" t="n">
        <v>-477.938343568958</v>
      </c>
      <c r="E36" s="0" t="n">
        <v>121858.265866878</v>
      </c>
      <c r="F36" s="0" t="n">
        <v>11766.7430248505</v>
      </c>
      <c r="G36" s="0" t="n">
        <v>6.10158795614979</v>
      </c>
      <c r="I36" s="0" t="n">
        <v>-483.700124645225</v>
      </c>
      <c r="J36" s="0" t="n">
        <v>122064.878585441</v>
      </c>
      <c r="K36" s="0" t="n">
        <v>11973.355743414</v>
      </c>
      <c r="M36" s="0" t="n">
        <f aca="false">A36*C36</f>
        <v>8.96</v>
      </c>
      <c r="N36" s="0" t="n">
        <f aca="false">G36</f>
        <v>6.10158795614979</v>
      </c>
      <c r="O36" s="0" t="n">
        <f aca="false">N36+M36</f>
        <v>15.0615879561498</v>
      </c>
    </row>
    <row r="37" customFormat="false" ht="12" hidden="false" customHeight="false" outlineLevel="0" collapsed="false">
      <c r="A37" s="0" t="n">
        <v>16.5</v>
      </c>
      <c r="B37" s="0" t="n">
        <v>104.72</v>
      </c>
      <c r="C37" s="0" t="n">
        <v>0.4</v>
      </c>
      <c r="D37" s="0" t="n">
        <v>-460.496575133863</v>
      </c>
      <c r="E37" s="0" t="n">
        <v>117363.959572921</v>
      </c>
      <c r="F37" s="0" t="n">
        <v>12330.0494642307</v>
      </c>
      <c r="G37" s="0" t="n">
        <v>3.90311617765276</v>
      </c>
      <c r="I37" s="0" t="n">
        <v>-464.221402296247</v>
      </c>
      <c r="J37" s="0" t="n">
        <v>117502.491458298</v>
      </c>
      <c r="K37" s="0" t="n">
        <v>12468.5813496076</v>
      </c>
      <c r="M37" s="0" t="n">
        <f aca="false">A37*C37</f>
        <v>6.6</v>
      </c>
      <c r="N37" s="0" t="n">
        <f aca="false">G37</f>
        <v>3.90311617765276</v>
      </c>
      <c r="O37" s="0" t="n">
        <f aca="false">N37+M37</f>
        <v>10.5031161776528</v>
      </c>
    </row>
    <row r="38" customFormat="false" ht="12" hidden="false" customHeight="false" outlineLevel="0" collapsed="false">
      <c r="A38" s="0" t="n">
        <v>17</v>
      </c>
      <c r="B38" s="0" t="n">
        <v>100.68</v>
      </c>
      <c r="C38" s="0" t="n">
        <v>0.22</v>
      </c>
      <c r="D38" s="0" t="n">
        <v>-469.349798481615</v>
      </c>
      <c r="E38" s="0" t="n">
        <v>120803.565655421</v>
      </c>
      <c r="F38" s="0" t="n">
        <v>12147.9359883197</v>
      </c>
      <c r="G38" s="0" t="n">
        <v>3.64420296601199</v>
      </c>
      <c r="I38" s="0" t="n">
        <v>-472.908678675217</v>
      </c>
      <c r="J38" s="0" t="n">
        <v>120886.536010888</v>
      </c>
      <c r="K38" s="0" t="n">
        <v>12230.9063437868</v>
      </c>
      <c r="M38" s="0" t="n">
        <f aca="false">A38*C38</f>
        <v>3.74</v>
      </c>
      <c r="N38" s="0" t="n">
        <f aca="false">G38</f>
        <v>3.64420296601199</v>
      </c>
      <c r="O38" s="0" t="n">
        <f aca="false">N38+M38</f>
        <v>7.38420296601199</v>
      </c>
    </row>
    <row r="39" customFormat="false" ht="12" hidden="false" customHeight="false" outlineLevel="0" collapsed="false">
      <c r="A39" s="0" t="n">
        <v>17.5</v>
      </c>
      <c r="B39" s="0" t="n">
        <v>101.38</v>
      </c>
      <c r="C39" s="0" t="n">
        <v>0.22</v>
      </c>
      <c r="D39" s="0" t="n">
        <v>-439.05146171176</v>
      </c>
      <c r="E39" s="0" t="n">
        <v>112741.634532507</v>
      </c>
      <c r="F39" s="0" t="n">
        <v>11347.6780839856</v>
      </c>
      <c r="G39" s="0" t="n">
        <v>3.11469848968671</v>
      </c>
      <c r="I39" s="0" t="n">
        <v>-442.102296546271</v>
      </c>
      <c r="J39" s="0" t="n">
        <v>112822.833885435</v>
      </c>
      <c r="K39" s="0" t="n">
        <v>11428.8774369138</v>
      </c>
      <c r="M39" s="0" t="n">
        <f aca="false">A39*C39</f>
        <v>3.85</v>
      </c>
      <c r="N39" s="0" t="n">
        <f aca="false">G39</f>
        <v>3.11469848968671</v>
      </c>
      <c r="O39" s="0" t="n">
        <f aca="false">N39+M39</f>
        <v>6.96469848968672</v>
      </c>
    </row>
    <row r="40" customFormat="false" ht="12" hidden="false" customHeight="false" outlineLevel="0" collapsed="false">
      <c r="A40" s="0" t="n">
        <v>18</v>
      </c>
      <c r="B40" s="0" t="n">
        <v>101.08</v>
      </c>
      <c r="C40" s="0" t="n">
        <v>0.26</v>
      </c>
      <c r="D40" s="0" t="n">
        <v>-473.732451579062</v>
      </c>
      <c r="E40" s="0" t="n">
        <v>120779.346158882</v>
      </c>
      <c r="F40" s="0" t="n">
        <v>12365.7581984664</v>
      </c>
      <c r="G40" s="0" t="n">
        <v>2.25361706586208</v>
      </c>
      <c r="I40" s="0" t="n">
        <v>-475.921477610032</v>
      </c>
      <c r="J40" s="0" t="n">
        <v>120874.428579098</v>
      </c>
      <c r="K40" s="0" t="n">
        <v>12460.8406186817</v>
      </c>
      <c r="M40" s="0" t="n">
        <f aca="false">A40*C40</f>
        <v>4.68</v>
      </c>
      <c r="N40" s="0" t="n">
        <f aca="false">G40</f>
        <v>2.25361706586208</v>
      </c>
      <c r="O40" s="0" t="n">
        <f aca="false">N40+M40</f>
        <v>6.93361706586208</v>
      </c>
    </row>
    <row r="41" customFormat="false" ht="12" hidden="false" customHeight="false" outlineLevel="0" collapsed="false">
      <c r="A41" s="0" t="n">
        <v>18.5</v>
      </c>
      <c r="B41" s="0" t="n">
        <v>103.26</v>
      </c>
      <c r="C41" s="0" t="n">
        <v>0.26</v>
      </c>
      <c r="D41" s="0" t="n">
        <v>-489.967673422522</v>
      </c>
      <c r="E41" s="0" t="n">
        <v>123922.427742261</v>
      </c>
      <c r="F41" s="0" t="n">
        <v>12993.7220407598</v>
      </c>
      <c r="G41" s="0" t="n">
        <v>1.88151523139395</v>
      </c>
      <c r="I41" s="0" t="n">
        <v>-491.742146979371</v>
      </c>
      <c r="J41" s="0" t="n">
        <v>124017.003313764</v>
      </c>
      <c r="K41" s="0" t="n">
        <v>13088.2976122625</v>
      </c>
      <c r="M41" s="0" t="n">
        <f aca="false">A41*C41</f>
        <v>4.81</v>
      </c>
      <c r="N41" s="0" t="n">
        <f aca="false">G41</f>
        <v>1.88151523139395</v>
      </c>
      <c r="O41" s="0" t="n">
        <f aca="false">N41+M41</f>
        <v>6.69151523139395</v>
      </c>
    </row>
    <row r="42" customFormat="false" ht="12" hidden="false" customHeight="false" outlineLevel="0" collapsed="false">
      <c r="A42" s="0" t="n">
        <v>19</v>
      </c>
      <c r="B42" s="0" t="n">
        <v>99.72</v>
      </c>
      <c r="C42" s="0" t="n">
        <v>0.38</v>
      </c>
      <c r="D42" s="0" t="n">
        <v>-484.075908245487</v>
      </c>
      <c r="E42" s="0" t="n">
        <v>123394.021823543</v>
      </c>
      <c r="F42" s="0" t="n">
        <v>11857.1322876047</v>
      </c>
      <c r="G42" s="0" t="n">
        <v>2.63437703125609</v>
      </c>
      <c r="I42" s="0" t="n">
        <v>-486.626655086152</v>
      </c>
      <c r="J42" s="0" t="n">
        <v>123546.745202389</v>
      </c>
      <c r="K42" s="0" t="n">
        <v>12009.8556664502</v>
      </c>
      <c r="M42" s="0" t="n">
        <f aca="false">A42*C42</f>
        <v>7.22</v>
      </c>
      <c r="N42" s="0" t="n">
        <f aca="false">G42</f>
        <v>2.63437703125609</v>
      </c>
      <c r="O42" s="0" t="n">
        <f aca="false">N42+M42</f>
        <v>9.85437703125609</v>
      </c>
    </row>
    <row r="43" customFormat="false" ht="12" hidden="false" customHeight="false" outlineLevel="0" collapsed="false">
      <c r="A43" s="0" t="n">
        <v>19.5</v>
      </c>
      <c r="B43" s="0" t="n">
        <v>100.4</v>
      </c>
      <c r="C43" s="0" t="n">
        <v>0.26</v>
      </c>
      <c r="D43" s="0" t="n">
        <v>-468.884621555696</v>
      </c>
      <c r="E43" s="0" t="n">
        <v>119907.492466088</v>
      </c>
      <c r="F43" s="0" t="n">
        <v>12088.9190706061</v>
      </c>
      <c r="G43" s="0" t="n">
        <v>1.15946082513154</v>
      </c>
      <c r="I43" s="0" t="n">
        <v>-469.89894526452</v>
      </c>
      <c r="J43" s="0" t="n">
        <v>120005.043394552</v>
      </c>
      <c r="K43" s="0" t="n">
        <v>12186.4699990702</v>
      </c>
      <c r="M43" s="0" t="n">
        <f aca="false">A43*C43</f>
        <v>5.07</v>
      </c>
      <c r="N43" s="0" t="n">
        <f aca="false">G43</f>
        <v>1.15946082513154</v>
      </c>
      <c r="O43" s="0" t="n">
        <f aca="false">N43+M43</f>
        <v>6.22946082513154</v>
      </c>
    </row>
    <row r="45" customFormat="false" ht="12" hidden="false" customHeight="false" outlineLevel="0" collapsed="false">
      <c r="I45" s="0" t="n">
        <f aca="false">AVERAGE(I4:I43)</f>
        <v>-462.874512462345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3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N2" activeCellId="0" sqref="N2"/>
    </sheetView>
  </sheetViews>
  <sheetFormatPr defaultColWidth="8.82421875" defaultRowHeight="12" customHeight="false" zeroHeight="false" outlineLevelRow="0" outlineLevelCol="0"/>
  <cols>
    <col collapsed="false" customWidth="true" hidden="false" outlineLevel="0" max="3" min="3" style="0" width="10.32"/>
  </cols>
  <sheetData>
    <row r="1" customFormat="false" ht="12" hidden="false" customHeight="false" outlineLevel="0" collapsed="false">
      <c r="A1" s="0" t="s">
        <v>12</v>
      </c>
      <c r="B1" s="0" t="n">
        <v>2</v>
      </c>
    </row>
    <row r="3" customFormat="false" ht="12" hidden="false" customHeight="false" outlineLevel="0" collapsed="false">
      <c r="A3" s="0" t="s">
        <v>0</v>
      </c>
      <c r="B3" s="0" t="s">
        <v>1</v>
      </c>
      <c r="C3" s="0" t="s">
        <v>2</v>
      </c>
      <c r="D3" s="0" t="s">
        <v>3</v>
      </c>
      <c r="E3" s="0" t="s">
        <v>4</v>
      </c>
      <c r="F3" s="0" t="s">
        <v>5</v>
      </c>
      <c r="G3" s="0" t="s">
        <v>6</v>
      </c>
      <c r="I3" s="0" t="s">
        <v>3</v>
      </c>
      <c r="J3" s="0" t="s">
        <v>7</v>
      </c>
      <c r="K3" s="0" t="s">
        <v>8</v>
      </c>
      <c r="M3" s="0" t="s">
        <v>9</v>
      </c>
      <c r="N3" s="0" t="s">
        <v>10</v>
      </c>
      <c r="O3" s="0" t="s">
        <v>11</v>
      </c>
    </row>
    <row r="4" customFormat="false" ht="12" hidden="false" customHeight="false" outlineLevel="0" collapsed="false">
      <c r="A4" s="0" t="n">
        <v>0</v>
      </c>
      <c r="B4" s="0" t="n">
        <v>98.06</v>
      </c>
      <c r="C4" s="0" t="n">
        <v>65.48</v>
      </c>
      <c r="D4" s="0" t="n">
        <v>-610.757499165035</v>
      </c>
      <c r="E4" s="0" t="n">
        <v>172845.93839929</v>
      </c>
      <c r="F4" s="0" t="n">
        <v>3587.49436039269</v>
      </c>
      <c r="G4" s="0" t="n">
        <v>180.090859514768</v>
      </c>
      <c r="I4" s="0" t="n">
        <v>-756.719072351804</v>
      </c>
      <c r="J4" s="0" t="n">
        <v>194172.136665921</v>
      </c>
      <c r="K4" s="0" t="n">
        <v>19103.0425458542</v>
      </c>
      <c r="M4" s="0" t="n">
        <f aca="false">A4*C4</f>
        <v>0</v>
      </c>
      <c r="N4" s="0" t="n">
        <f aca="false">G4</f>
        <v>180.090859514768</v>
      </c>
      <c r="O4" s="0" t="n">
        <f aca="false">N4+M4</f>
        <v>180.090859514768</v>
      </c>
    </row>
    <row r="5" customFormat="false" ht="12" hidden="false" customHeight="false" outlineLevel="0" collapsed="false">
      <c r="A5" s="0" t="n">
        <v>0.5</v>
      </c>
      <c r="B5" s="0" t="n">
        <v>100.66</v>
      </c>
      <c r="C5" s="0" t="n">
        <v>57.54</v>
      </c>
      <c r="D5" s="0" t="n">
        <v>-700.45905736686</v>
      </c>
      <c r="E5" s="0" t="n">
        <v>190561.663616775</v>
      </c>
      <c r="F5" s="0" t="n">
        <v>5724.86328235063</v>
      </c>
      <c r="G5" s="0" t="n">
        <v>180.812700063459</v>
      </c>
      <c r="I5" s="0" t="n">
        <v>-843.102410471968</v>
      </c>
      <c r="J5" s="0" t="n">
        <v>212569.37833642</v>
      </c>
      <c r="K5" s="0" t="n">
        <v>22427.4817165424</v>
      </c>
      <c r="M5" s="0" t="n">
        <f aca="false">A5*C5</f>
        <v>28.77</v>
      </c>
      <c r="N5" s="0" t="n">
        <f aca="false">G5</f>
        <v>180.812700063459</v>
      </c>
      <c r="O5" s="0" t="n">
        <f aca="false">N5+M5</f>
        <v>209.582700063459</v>
      </c>
    </row>
    <row r="6" customFormat="false" ht="12" hidden="false" customHeight="false" outlineLevel="0" collapsed="false">
      <c r="A6" s="0" t="n">
        <v>1</v>
      </c>
      <c r="B6" s="0" t="n">
        <v>101.42</v>
      </c>
      <c r="C6" s="0" t="n">
        <v>47.22</v>
      </c>
      <c r="D6" s="0" t="n">
        <v>-741.716010387325</v>
      </c>
      <c r="E6" s="0" t="n">
        <v>196969.106260982</v>
      </c>
      <c r="F6" s="0" t="n">
        <v>7320.02092992624</v>
      </c>
      <c r="G6" s="0" t="n">
        <v>149.811125548057</v>
      </c>
      <c r="I6" s="0" t="n">
        <v>-850.691813621545</v>
      </c>
      <c r="J6" s="0" t="n">
        <v>215741.696390033</v>
      </c>
      <c r="K6" s="0" t="n">
        <v>22015.812976957</v>
      </c>
      <c r="M6" s="0" t="n">
        <f aca="false">A6*C6</f>
        <v>47.22</v>
      </c>
      <c r="N6" s="0" t="n">
        <f aca="false">G6</f>
        <v>149.811125548057</v>
      </c>
      <c r="O6" s="0" t="n">
        <f aca="false">N6+M6</f>
        <v>197.031125548057</v>
      </c>
    </row>
    <row r="7" customFormat="false" ht="12" hidden="false" customHeight="false" outlineLevel="0" collapsed="false">
      <c r="A7" s="0" t="n">
        <v>1.5</v>
      </c>
      <c r="B7" s="0" t="n">
        <v>99.68</v>
      </c>
      <c r="C7" s="0" t="n">
        <v>36</v>
      </c>
      <c r="D7" s="0" t="n">
        <v>-714.275903377531</v>
      </c>
      <c r="E7" s="0" t="n">
        <v>187717.634370112</v>
      </c>
      <c r="F7" s="0" t="n">
        <v>8902.07142527855</v>
      </c>
      <c r="G7" s="0" t="n">
        <v>108.822633174275</v>
      </c>
      <c r="I7" s="0" t="n">
        <v>-783.163134982649</v>
      </c>
      <c r="J7" s="0" t="n">
        <v>201882.066209118</v>
      </c>
      <c r="K7" s="0" t="n">
        <v>20145.3024845495</v>
      </c>
      <c r="M7" s="0" t="n">
        <f aca="false">A7*C7</f>
        <v>54</v>
      </c>
      <c r="N7" s="0" t="n">
        <f aca="false">G7</f>
        <v>108.822633174275</v>
      </c>
      <c r="O7" s="0" t="n">
        <f aca="false">N7+M7</f>
        <v>162.822633174275</v>
      </c>
    </row>
    <row r="8" customFormat="false" ht="12" hidden="false" customHeight="false" outlineLevel="0" collapsed="false">
      <c r="A8" s="0" t="n">
        <v>2</v>
      </c>
      <c r="B8" s="0" t="n">
        <v>99.48</v>
      </c>
      <c r="C8" s="0" t="n">
        <v>30.64</v>
      </c>
      <c r="D8" s="0" t="n">
        <v>-801.52810425034</v>
      </c>
      <c r="E8" s="0" t="n">
        <v>210251.521216459</v>
      </c>
      <c r="F8" s="0" t="n">
        <v>10644.3856924379</v>
      </c>
      <c r="G8" s="0" t="n">
        <v>109.098785528139</v>
      </c>
      <c r="I8" s="0" t="n">
        <v>-874.887046963839</v>
      </c>
      <c r="J8" s="0" t="n">
        <v>223681.407420204</v>
      </c>
      <c r="K8" s="0" t="n">
        <v>22175.9068372674</v>
      </c>
      <c r="M8" s="0" t="n">
        <f aca="false">A8*C8</f>
        <v>61.28</v>
      </c>
      <c r="N8" s="0" t="n">
        <f aca="false">G8</f>
        <v>109.098785528139</v>
      </c>
      <c r="O8" s="0" t="n">
        <f aca="false">N8+M8</f>
        <v>170.378785528139</v>
      </c>
    </row>
    <row r="9" customFormat="false" ht="12" hidden="false" customHeight="false" outlineLevel="0" collapsed="false">
      <c r="A9" s="0" t="n">
        <v>2.5</v>
      </c>
      <c r="B9" s="0" t="n">
        <v>101.08</v>
      </c>
      <c r="C9" s="0" t="n">
        <v>25.9</v>
      </c>
      <c r="D9" s="0" t="n">
        <v>-770.836702988412</v>
      </c>
      <c r="E9" s="0" t="n">
        <v>199189.657331814</v>
      </c>
      <c r="F9" s="0" t="n">
        <v>12047.6030015508</v>
      </c>
      <c r="G9" s="0" t="n">
        <v>98.6874915212763</v>
      </c>
      <c r="I9" s="0" t="n">
        <v>-837.608879126202</v>
      </c>
      <c r="J9" s="0" t="n">
        <v>210300.021369713</v>
      </c>
      <c r="K9" s="0" t="n">
        <v>21641.7460774488</v>
      </c>
      <c r="M9" s="0" t="n">
        <f aca="false">A9*C9</f>
        <v>64.75</v>
      </c>
      <c r="N9" s="0" t="n">
        <f aca="false">G9</f>
        <v>98.6874915212763</v>
      </c>
      <c r="O9" s="0" t="n">
        <f aca="false">N9+M9</f>
        <v>163.437491521276</v>
      </c>
    </row>
    <row r="10" customFormat="false" ht="12" hidden="false" customHeight="false" outlineLevel="0" collapsed="false">
      <c r="A10" s="0" t="n">
        <v>3</v>
      </c>
      <c r="B10" s="0" t="n">
        <v>101.62</v>
      </c>
      <c r="C10" s="0" t="n">
        <v>21.22</v>
      </c>
      <c r="D10" s="0" t="n">
        <v>-832.987442328026</v>
      </c>
      <c r="E10" s="0" t="n">
        <v>217274.707209945</v>
      </c>
      <c r="F10" s="0" t="n">
        <v>14692.9088408312</v>
      </c>
      <c r="G10" s="0" t="n">
        <v>95.8552506954489</v>
      </c>
      <c r="I10" s="0" t="n">
        <v>-902.673334692299</v>
      </c>
      <c r="J10" s="0" t="n">
        <v>227777.620060915</v>
      </c>
      <c r="K10" s="0" t="n">
        <v>23923.801212683</v>
      </c>
      <c r="M10" s="0" t="n">
        <f aca="false">A10*C10</f>
        <v>63.66</v>
      </c>
      <c r="N10" s="0" t="n">
        <f aca="false">G10</f>
        <v>95.8552506954489</v>
      </c>
      <c r="O10" s="0" t="n">
        <f aca="false">N10+M10</f>
        <v>159.515250695449</v>
      </c>
    </row>
    <row r="11" customFormat="false" ht="12" hidden="false" customHeight="false" outlineLevel="0" collapsed="false">
      <c r="A11" s="0" t="n">
        <v>3.5</v>
      </c>
      <c r="B11" s="0" t="n">
        <v>99.56</v>
      </c>
      <c r="C11" s="0" t="n">
        <v>14.72</v>
      </c>
      <c r="D11" s="0" t="n">
        <v>-735.158941527016</v>
      </c>
      <c r="E11" s="0" t="n">
        <v>191530.007362127</v>
      </c>
      <c r="F11" s="0" t="n">
        <v>13454.9806903043</v>
      </c>
      <c r="G11" s="0" t="n">
        <v>65.2812789225453</v>
      </c>
      <c r="I11" s="0" t="n">
        <v>-780.264332880434</v>
      </c>
      <c r="J11" s="0" t="n">
        <v>198516.960287974</v>
      </c>
      <c r="K11" s="0" t="n">
        <v>19635.2031387649</v>
      </c>
      <c r="M11" s="0" t="n">
        <f aca="false">A11*C11</f>
        <v>51.52</v>
      </c>
      <c r="N11" s="0" t="n">
        <f aca="false">G11</f>
        <v>65.2812789225453</v>
      </c>
      <c r="O11" s="0" t="n">
        <f aca="false">N11+M11</f>
        <v>116.801278922545</v>
      </c>
    </row>
    <row r="12" customFormat="false" ht="12" hidden="false" customHeight="false" outlineLevel="0" collapsed="false">
      <c r="A12" s="0" t="n">
        <v>4</v>
      </c>
      <c r="B12" s="0" t="n">
        <v>99.24</v>
      </c>
      <c r="C12" s="0" t="n">
        <v>13.48</v>
      </c>
      <c r="D12" s="0" t="n">
        <v>-833.848778586128</v>
      </c>
      <c r="E12" s="0" t="n">
        <v>218674.324407497</v>
      </c>
      <c r="F12" s="0" t="n">
        <v>15993.06154158</v>
      </c>
      <c r="G12" s="0" t="n">
        <v>67.1375548842601</v>
      </c>
      <c r="I12" s="0" t="n">
        <v>-884.243696998867</v>
      </c>
      <c r="J12" s="0" t="n">
        <v>225789.504351677</v>
      </c>
      <c r="K12" s="0" t="n">
        <v>22532.6288464727</v>
      </c>
      <c r="M12" s="0" t="n">
        <f aca="false">A12*C12</f>
        <v>53.92</v>
      </c>
      <c r="N12" s="0" t="n">
        <f aca="false">G12</f>
        <v>67.1375548842601</v>
      </c>
      <c r="O12" s="0" t="n">
        <f aca="false">N12+M12</f>
        <v>121.05755488426</v>
      </c>
    </row>
    <row r="13" customFormat="false" ht="12" hidden="false" customHeight="false" outlineLevel="0" collapsed="false">
      <c r="A13" s="0" t="n">
        <v>4.5</v>
      </c>
      <c r="B13" s="0" t="n">
        <v>100.18</v>
      </c>
      <c r="C13" s="0" t="n">
        <v>11.68</v>
      </c>
      <c r="D13" s="0" t="n">
        <v>-795.634623079586</v>
      </c>
      <c r="E13" s="0" t="n">
        <v>206881.157305356</v>
      </c>
      <c r="F13" s="0" t="n">
        <v>16099.5584073587</v>
      </c>
      <c r="G13" s="0" t="n">
        <v>56.8755820719603</v>
      </c>
      <c r="I13" s="0" t="n">
        <v>-837.812104126906</v>
      </c>
      <c r="J13" s="0" t="n">
        <v>212700.341422304</v>
      </c>
      <c r="K13" s="0" t="n">
        <v>21580.0960535838</v>
      </c>
      <c r="M13" s="0" t="n">
        <f aca="false">A13*C13</f>
        <v>52.56</v>
      </c>
      <c r="N13" s="0" t="n">
        <f aca="false">G13</f>
        <v>56.8755820719603</v>
      </c>
      <c r="O13" s="0" t="n">
        <f aca="false">N13+M13</f>
        <v>109.43558207196</v>
      </c>
    </row>
    <row r="14" customFormat="false" ht="12" hidden="false" customHeight="false" outlineLevel="0" collapsed="false">
      <c r="A14" s="0" t="n">
        <v>5</v>
      </c>
      <c r="B14" s="0" t="n">
        <v>100.36</v>
      </c>
      <c r="C14" s="0" t="n">
        <v>9.38</v>
      </c>
      <c r="D14" s="0" t="n">
        <v>-790.129447067163</v>
      </c>
      <c r="E14" s="0" t="n">
        <v>207367.437033978</v>
      </c>
      <c r="F14" s="0" t="n">
        <v>16672.2629984338</v>
      </c>
      <c r="G14" s="0" t="n">
        <v>50.3936517901683</v>
      </c>
      <c r="I14" s="0" t="n">
        <v>-829.773153955066</v>
      </c>
      <c r="J14" s="0" t="n">
        <v>212671.802473854</v>
      </c>
      <c r="K14" s="0" t="n">
        <v>21562.9459284792</v>
      </c>
      <c r="M14" s="0" t="n">
        <f aca="false">A14*C14</f>
        <v>46.9</v>
      </c>
      <c r="N14" s="0" t="n">
        <f aca="false">G14</f>
        <v>50.3936517901683</v>
      </c>
      <c r="O14" s="0" t="n">
        <f aca="false">N14+M14</f>
        <v>97.2936517901683</v>
      </c>
    </row>
    <row r="15" customFormat="false" ht="12" hidden="false" customHeight="false" outlineLevel="0" collapsed="false">
      <c r="A15" s="0" t="n">
        <v>5.5</v>
      </c>
      <c r="B15" s="0" t="n">
        <v>100.82</v>
      </c>
      <c r="C15" s="0" t="n">
        <v>7.96</v>
      </c>
      <c r="D15" s="0" t="n">
        <v>-780.965430767174</v>
      </c>
      <c r="E15" s="0" t="n">
        <v>205168.72839416</v>
      </c>
      <c r="F15" s="0" t="n">
        <v>16966.6568593438</v>
      </c>
      <c r="G15" s="0" t="n">
        <v>45.9094329687767</v>
      </c>
      <c r="I15" s="0" t="n">
        <v>-818.298939792366</v>
      </c>
      <c r="J15" s="0" t="n">
        <v>209367.209117312</v>
      </c>
      <c r="K15" s="0" t="n">
        <v>20939.2907099206</v>
      </c>
      <c r="M15" s="0" t="n">
        <f aca="false">A15*C15</f>
        <v>43.78</v>
      </c>
      <c r="N15" s="0" t="n">
        <f aca="false">G15</f>
        <v>45.9094329687767</v>
      </c>
      <c r="O15" s="0" t="n">
        <f aca="false">N15+M15</f>
        <v>89.6894329687767</v>
      </c>
    </row>
    <row r="16" customFormat="false" ht="12" hidden="false" customHeight="false" outlineLevel="0" collapsed="false">
      <c r="A16" s="0" t="n">
        <v>6</v>
      </c>
      <c r="B16" s="0" t="n">
        <v>100.38</v>
      </c>
      <c r="C16" s="0" t="n">
        <v>7.28</v>
      </c>
      <c r="D16" s="0" t="n">
        <v>-836.110800556074</v>
      </c>
      <c r="E16" s="0" t="n">
        <v>218819.536867056</v>
      </c>
      <c r="F16" s="0" t="n">
        <v>18250.5946902911</v>
      </c>
      <c r="G16" s="0" t="n">
        <v>47.1437601216494</v>
      </c>
      <c r="I16" s="0" t="n">
        <v>-877.155765784734</v>
      </c>
      <c r="J16" s="0" t="n">
        <v>223041.778266485</v>
      </c>
      <c r="K16" s="0" t="n">
        <v>22143.322244044</v>
      </c>
      <c r="M16" s="0" t="n">
        <f aca="false">A16*C16</f>
        <v>43.68</v>
      </c>
      <c r="N16" s="0" t="n">
        <f aca="false">G16</f>
        <v>47.1437601216494</v>
      </c>
      <c r="O16" s="0" t="n">
        <f aca="false">N16+M16</f>
        <v>90.8237601216494</v>
      </c>
    </row>
    <row r="17" customFormat="false" ht="12" hidden="false" customHeight="false" outlineLevel="0" collapsed="false">
      <c r="A17" s="0" t="n">
        <v>6.5</v>
      </c>
      <c r="B17" s="0" t="n">
        <v>100.02</v>
      </c>
      <c r="C17" s="0" t="n">
        <v>6.34</v>
      </c>
      <c r="D17" s="0" t="n">
        <v>-786.479498395495</v>
      </c>
      <c r="E17" s="0" t="n">
        <v>204609.50048401</v>
      </c>
      <c r="F17" s="0" t="n">
        <v>17707.7777582865</v>
      </c>
      <c r="G17" s="0" t="n">
        <v>53.8361658676123</v>
      </c>
      <c r="I17" s="0" t="n">
        <v>-835.279006394817</v>
      </c>
      <c r="J17" s="0" t="n">
        <v>208189.247766884</v>
      </c>
      <c r="K17" s="0" t="n">
        <v>21115.5233038078</v>
      </c>
      <c r="M17" s="0" t="n">
        <f aca="false">A17*C17</f>
        <v>41.21</v>
      </c>
      <c r="N17" s="0" t="n">
        <f aca="false">G17</f>
        <v>53.8361658676123</v>
      </c>
      <c r="O17" s="0" t="n">
        <f aca="false">N17+M17</f>
        <v>95.0461658676123</v>
      </c>
    </row>
    <row r="18" customFormat="false" ht="12" hidden="false" customHeight="false" outlineLevel="0" collapsed="false">
      <c r="A18" s="0" t="n">
        <v>7</v>
      </c>
      <c r="B18" s="0" t="n">
        <v>98.3</v>
      </c>
      <c r="C18" s="0" t="n">
        <v>5.02</v>
      </c>
      <c r="D18" s="0" t="n">
        <v>-789.121884933869</v>
      </c>
      <c r="E18" s="0" t="n">
        <v>207357.575918055</v>
      </c>
      <c r="F18" s="0" t="n">
        <v>17211.9697981845</v>
      </c>
      <c r="G18" s="0" t="n">
        <v>36.0246134904274</v>
      </c>
      <c r="I18" s="0" t="n">
        <v>-820.757115925159</v>
      </c>
      <c r="J18" s="0" t="n">
        <v>210178.060309916</v>
      </c>
      <c r="K18" s="0" t="n">
        <v>19932.6395761409</v>
      </c>
      <c r="M18" s="0" t="n">
        <f aca="false">A18*C18</f>
        <v>35.14</v>
      </c>
      <c r="N18" s="0" t="n">
        <f aca="false">G18</f>
        <v>36.0246134904274</v>
      </c>
      <c r="O18" s="0" t="n">
        <f aca="false">N18+M18</f>
        <v>71.1646134904274</v>
      </c>
    </row>
    <row r="19" customFormat="false" ht="12" hidden="false" customHeight="false" outlineLevel="0" collapsed="false">
      <c r="A19" s="0" t="n">
        <v>7.5</v>
      </c>
      <c r="B19" s="0" t="n">
        <v>98.16</v>
      </c>
      <c r="C19" s="0" t="n">
        <v>5.34</v>
      </c>
      <c r="D19" s="0" t="n">
        <v>-806.854137760895</v>
      </c>
      <c r="E19" s="0" t="n">
        <v>209668.076006538</v>
      </c>
      <c r="F19" s="0" t="n">
        <v>17928.5232454281</v>
      </c>
      <c r="G19" s="0" t="n">
        <v>42.9321481606323</v>
      </c>
      <c r="I19" s="0" t="n">
        <v>-845.924947282952</v>
      </c>
      <c r="J19" s="0" t="n">
        <v>212921.704779381</v>
      </c>
      <c r="K19" s="0" t="n">
        <v>20989.4761881801</v>
      </c>
      <c r="M19" s="0" t="n">
        <f aca="false">A19*C19</f>
        <v>40.05</v>
      </c>
      <c r="N19" s="0" t="n">
        <f aca="false">G19</f>
        <v>42.9321481606323</v>
      </c>
      <c r="O19" s="0" t="n">
        <f aca="false">N19+M19</f>
        <v>82.9821481606323</v>
      </c>
    </row>
    <row r="20" customFormat="false" ht="12" hidden="false" customHeight="false" outlineLevel="0" collapsed="false">
      <c r="A20" s="0" t="n">
        <v>8</v>
      </c>
      <c r="B20" s="0" t="n">
        <v>101.24</v>
      </c>
      <c r="C20" s="0" t="n">
        <v>4.14</v>
      </c>
      <c r="D20" s="0" t="n">
        <v>-750.280147069013</v>
      </c>
      <c r="E20" s="0" t="n">
        <v>194197.321988209</v>
      </c>
      <c r="F20" s="0" t="n">
        <v>18209.6615463692</v>
      </c>
      <c r="G20" s="0" t="n">
        <v>28.9821138073976</v>
      </c>
      <c r="I20" s="0" t="n">
        <v>-776.043371371718</v>
      </c>
      <c r="J20" s="0" t="n">
        <v>196347.790026352</v>
      </c>
      <c r="K20" s="0" t="n">
        <v>20336.4609778496</v>
      </c>
      <c r="M20" s="0" t="n">
        <f aca="false">A20*C20</f>
        <v>33.12</v>
      </c>
      <c r="N20" s="0" t="n">
        <f aca="false">G20</f>
        <v>28.9821138073976</v>
      </c>
      <c r="O20" s="0" t="n">
        <f aca="false">N20+M20</f>
        <v>62.1021138073976</v>
      </c>
    </row>
    <row r="21" customFormat="false" ht="12" hidden="false" customHeight="false" outlineLevel="0" collapsed="false">
      <c r="A21" s="0" t="n">
        <v>8.5</v>
      </c>
      <c r="B21" s="0" t="n">
        <v>99.24</v>
      </c>
      <c r="C21" s="0" t="n">
        <v>3.48</v>
      </c>
      <c r="D21" s="0" t="n">
        <v>-769.520549828151</v>
      </c>
      <c r="E21" s="0" t="n">
        <v>200107.692440556</v>
      </c>
      <c r="F21" s="0" t="n">
        <v>17835.2566091044</v>
      </c>
      <c r="G21" s="0" t="n">
        <v>30.9883888834002</v>
      </c>
      <c r="I21" s="0" t="n">
        <v>-798.215742155748</v>
      </c>
      <c r="J21" s="0" t="n">
        <v>202302.040025262</v>
      </c>
      <c r="K21" s="0" t="n">
        <v>19872.2075271447</v>
      </c>
      <c r="M21" s="0" t="n">
        <f aca="false">A21*C21</f>
        <v>29.58</v>
      </c>
      <c r="N21" s="0" t="n">
        <f aca="false">G21</f>
        <v>30.9883888834002</v>
      </c>
      <c r="O21" s="0" t="n">
        <f aca="false">N21+M21</f>
        <v>60.5683888834002</v>
      </c>
    </row>
    <row r="22" customFormat="false" ht="12" hidden="false" customHeight="false" outlineLevel="0" collapsed="false">
      <c r="A22" s="0" t="n">
        <v>9</v>
      </c>
      <c r="B22" s="0" t="n">
        <v>100.44</v>
      </c>
      <c r="C22" s="0" t="n">
        <v>3.42</v>
      </c>
      <c r="D22" s="0" t="n">
        <v>-842.396508134155</v>
      </c>
      <c r="E22" s="0" t="n">
        <v>220419.787268433</v>
      </c>
      <c r="F22" s="0" t="n">
        <v>20370.0957866252</v>
      </c>
      <c r="G22" s="0" t="n">
        <v>29.1109796001041</v>
      </c>
      <c r="I22" s="0" t="n">
        <v>-868.898771304488</v>
      </c>
      <c r="J22" s="0" t="n">
        <v>222458.711119073</v>
      </c>
      <c r="K22" s="0" t="n">
        <v>22320.6946893069</v>
      </c>
      <c r="M22" s="0" t="n">
        <f aca="false">A22*C22</f>
        <v>30.78</v>
      </c>
      <c r="N22" s="0" t="n">
        <f aca="false">G22</f>
        <v>29.1109796001041</v>
      </c>
      <c r="O22" s="0" t="n">
        <f aca="false">N22+M22</f>
        <v>59.8909796001041</v>
      </c>
    </row>
    <row r="23" customFormat="false" ht="12" hidden="false" customHeight="false" outlineLevel="0" collapsed="false">
      <c r="A23" s="0" t="n">
        <v>9.5</v>
      </c>
      <c r="B23" s="0" t="n">
        <v>99.46</v>
      </c>
      <c r="C23" s="0" t="n">
        <v>3</v>
      </c>
      <c r="D23" s="0" t="n">
        <v>-791.687373535247</v>
      </c>
      <c r="E23" s="0" t="n">
        <v>205080.393904676</v>
      </c>
      <c r="F23" s="0" t="n">
        <v>19422.606638853</v>
      </c>
      <c r="G23" s="0" t="n">
        <v>23.9253098452378</v>
      </c>
      <c r="I23" s="0" t="n">
        <v>-813.457433843917</v>
      </c>
      <c r="J23" s="0" t="n">
        <v>206764.303305231</v>
      </c>
      <c r="K23" s="0" t="n">
        <v>21060.3160394078</v>
      </c>
      <c r="M23" s="0" t="n">
        <f aca="false">A23*C23</f>
        <v>28.5</v>
      </c>
      <c r="N23" s="0" t="n">
        <f aca="false">G23</f>
        <v>23.9253098452378</v>
      </c>
      <c r="O23" s="0" t="n">
        <f aca="false">N23+M23</f>
        <v>52.4253098452378</v>
      </c>
    </row>
    <row r="24" customFormat="false" ht="12" hidden="false" customHeight="false" outlineLevel="0" collapsed="false">
      <c r="A24" s="0" t="n">
        <v>10</v>
      </c>
      <c r="B24" s="0" t="n">
        <v>98.62</v>
      </c>
      <c r="C24" s="0" t="n">
        <v>2.98</v>
      </c>
      <c r="D24" s="0" t="n">
        <v>-811.309440189476</v>
      </c>
      <c r="E24" s="0" t="n">
        <v>212375.557018419</v>
      </c>
      <c r="F24" s="0" t="n">
        <v>19174.8126527721</v>
      </c>
      <c r="G24" s="0" t="n">
        <v>25.0520785734261</v>
      </c>
      <c r="I24" s="0" t="n">
        <v>-835.260292013648</v>
      </c>
      <c r="J24" s="0" t="n">
        <v>214373.016542045</v>
      </c>
      <c r="K24" s="0" t="n">
        <v>20933.5766385565</v>
      </c>
      <c r="M24" s="0" t="n">
        <f aca="false">A24*C24</f>
        <v>29.8</v>
      </c>
      <c r="N24" s="0" t="n">
        <f aca="false">G24</f>
        <v>25.0520785734261</v>
      </c>
      <c r="O24" s="0" t="n">
        <f aca="false">N24+M24</f>
        <v>54.8520785734261</v>
      </c>
    </row>
    <row r="25" customFormat="false" ht="12" hidden="false" customHeight="false" outlineLevel="0" collapsed="false">
      <c r="A25" s="0" t="n">
        <v>10.5</v>
      </c>
      <c r="B25" s="0" t="n">
        <v>100.18</v>
      </c>
      <c r="C25" s="0" t="n">
        <v>2.26</v>
      </c>
      <c r="D25" s="0" t="n">
        <v>-797.625644853255</v>
      </c>
      <c r="E25" s="0" t="n">
        <v>209083.068343145</v>
      </c>
      <c r="F25" s="0" t="n">
        <v>19442.3852608865</v>
      </c>
      <c r="G25" s="0" t="n">
        <v>17.7209605969565</v>
      </c>
      <c r="I25" s="0" t="n">
        <v>-814.139723452669</v>
      </c>
      <c r="J25" s="0" t="n">
        <v>210352.763573009</v>
      </c>
      <c r="K25" s="0" t="n">
        <v>20681.680490751</v>
      </c>
      <c r="M25" s="0" t="n">
        <f aca="false">A25*C25</f>
        <v>23.73</v>
      </c>
      <c r="N25" s="0" t="n">
        <f aca="false">G25</f>
        <v>17.7209605969565</v>
      </c>
      <c r="O25" s="0" t="n">
        <f aca="false">N25+M25</f>
        <v>41.4509605969565</v>
      </c>
    </row>
    <row r="26" customFormat="false" ht="12" hidden="false" customHeight="false" outlineLevel="0" collapsed="false">
      <c r="A26" s="0" t="n">
        <v>11</v>
      </c>
      <c r="B26" s="0" t="n">
        <v>100.7</v>
      </c>
      <c r="C26" s="0" t="n">
        <v>2.04</v>
      </c>
      <c r="D26" s="0" t="n">
        <v>-782.415934721282</v>
      </c>
      <c r="E26" s="0" t="n">
        <v>203870.693909831</v>
      </c>
      <c r="F26" s="0" t="n">
        <v>19601.1595634556</v>
      </c>
      <c r="G26" s="0" t="n">
        <v>16.7385020148363</v>
      </c>
      <c r="I26" s="0" t="n">
        <v>-797.85597797741</v>
      </c>
      <c r="J26" s="0" t="n">
        <v>205012.274928245</v>
      </c>
      <c r="K26" s="0" t="n">
        <v>20742.7405818699</v>
      </c>
      <c r="M26" s="0" t="n">
        <f aca="false">A26*C26</f>
        <v>22.44</v>
      </c>
      <c r="N26" s="0" t="n">
        <f aca="false">G26</f>
        <v>16.7385020148363</v>
      </c>
      <c r="O26" s="0" t="n">
        <f aca="false">N26+M26</f>
        <v>39.1785020148363</v>
      </c>
    </row>
    <row r="27" customFormat="false" ht="12" hidden="false" customHeight="false" outlineLevel="0" collapsed="false">
      <c r="A27" s="0" t="n">
        <v>11.5</v>
      </c>
      <c r="B27" s="0" t="n">
        <v>99.54</v>
      </c>
      <c r="C27" s="0" t="n">
        <v>1.94</v>
      </c>
      <c r="D27" s="0" t="n">
        <v>-710.096533652982</v>
      </c>
      <c r="E27" s="0" t="n">
        <v>183211.233768269</v>
      </c>
      <c r="F27" s="0" t="n">
        <v>17587.9214575378</v>
      </c>
      <c r="G27" s="0" t="n">
        <v>15.5781709032477</v>
      </c>
      <c r="I27" s="0" t="n">
        <v>-724.807240891375</v>
      </c>
      <c r="J27" s="0" t="n">
        <v>184258.284643402</v>
      </c>
      <c r="K27" s="0" t="n">
        <v>18593.1723326709</v>
      </c>
      <c r="M27" s="0" t="n">
        <f aca="false">A27*C27</f>
        <v>22.31</v>
      </c>
      <c r="N27" s="0" t="n">
        <f aca="false">G27</f>
        <v>15.5781709032477</v>
      </c>
      <c r="O27" s="0" t="n">
        <f aca="false">N27+M27</f>
        <v>37.8881709032477</v>
      </c>
    </row>
    <row r="28" customFormat="false" ht="12" hidden="false" customHeight="false" outlineLevel="0" collapsed="false">
      <c r="A28" s="0" t="n">
        <v>12</v>
      </c>
      <c r="B28" s="0" t="n">
        <v>98.12</v>
      </c>
      <c r="C28" s="0" t="n">
        <v>2.06</v>
      </c>
      <c r="D28" s="0" t="n">
        <v>-770.501516953823</v>
      </c>
      <c r="E28" s="0" t="n">
        <v>199233.647057638</v>
      </c>
      <c r="F28" s="0" t="n">
        <v>18358.1167813697</v>
      </c>
      <c r="G28" s="0" t="n">
        <v>29.9300184778559</v>
      </c>
      <c r="I28" s="0" t="n">
        <v>-799.702553277961</v>
      </c>
      <c r="J28" s="0" t="n">
        <v>200445.313005319</v>
      </c>
      <c r="K28" s="0" t="n">
        <v>19569.7827290501</v>
      </c>
      <c r="M28" s="0" t="n">
        <f aca="false">A28*C28</f>
        <v>24.72</v>
      </c>
      <c r="N28" s="0" t="n">
        <f aca="false">G28</f>
        <v>29.9300184778559</v>
      </c>
      <c r="O28" s="0" t="n">
        <f aca="false">N28+M28</f>
        <v>54.6500184778559</v>
      </c>
    </row>
    <row r="29" customFormat="false" ht="12" hidden="false" customHeight="false" outlineLevel="0" collapsed="false">
      <c r="A29" s="0" t="n">
        <v>12.5</v>
      </c>
      <c r="B29" s="0" t="n">
        <v>99.62</v>
      </c>
      <c r="C29" s="0" t="n">
        <v>1.54</v>
      </c>
      <c r="D29" s="0" t="n">
        <v>-741.21392271221</v>
      </c>
      <c r="E29" s="0" t="n">
        <v>193144.621425428</v>
      </c>
      <c r="F29" s="0" t="n">
        <v>18782.6129374457</v>
      </c>
      <c r="G29" s="0" t="n">
        <v>18.1055922670569</v>
      </c>
      <c r="I29" s="0" t="n">
        <v>-758.769261269851</v>
      </c>
      <c r="J29" s="0" t="n">
        <v>194010.934210181</v>
      </c>
      <c r="K29" s="0" t="n">
        <v>19648.9257221979</v>
      </c>
      <c r="M29" s="0" t="n">
        <f aca="false">A29*C29</f>
        <v>19.25</v>
      </c>
      <c r="N29" s="0" t="n">
        <f aca="false">G29</f>
        <v>18.1055922670569</v>
      </c>
      <c r="O29" s="0" t="n">
        <f aca="false">N29+M29</f>
        <v>37.3555922670569</v>
      </c>
    </row>
    <row r="30" customFormat="false" ht="12" hidden="false" customHeight="false" outlineLevel="0" collapsed="false">
      <c r="A30" s="0" t="n">
        <v>13</v>
      </c>
      <c r="B30" s="0" t="n">
        <v>103.18</v>
      </c>
      <c r="C30" s="0" t="n">
        <v>2</v>
      </c>
      <c r="D30" s="0" t="n">
        <v>-776.259088680906</v>
      </c>
      <c r="E30" s="0" t="n">
        <v>200418.978147228</v>
      </c>
      <c r="F30" s="0" t="n">
        <v>19277.8294360007</v>
      </c>
      <c r="G30" s="0" t="n">
        <v>22.1637667012222</v>
      </c>
      <c r="I30" s="0" t="n">
        <v>-797.358330067061</v>
      </c>
      <c r="J30" s="0" t="n">
        <v>201594.411755073</v>
      </c>
      <c r="K30" s="0" t="n">
        <v>20453.2630438448</v>
      </c>
      <c r="M30" s="0" t="n">
        <f aca="false">A30*C30</f>
        <v>26</v>
      </c>
      <c r="N30" s="0" t="n">
        <f aca="false">G30</f>
        <v>22.1637667012222</v>
      </c>
      <c r="O30" s="0" t="n">
        <f aca="false">N30+M30</f>
        <v>48.1637667012222</v>
      </c>
    </row>
    <row r="31" customFormat="false" ht="12" hidden="false" customHeight="false" outlineLevel="0" collapsed="false">
      <c r="A31" s="0" t="n">
        <v>13.5</v>
      </c>
      <c r="B31" s="0" t="n">
        <v>100.5</v>
      </c>
      <c r="C31" s="0" t="n">
        <v>1.64</v>
      </c>
      <c r="D31" s="0" t="n">
        <v>-794.073920115376</v>
      </c>
      <c r="E31" s="0" t="n">
        <v>205743.436078171</v>
      </c>
      <c r="F31" s="0" t="n">
        <v>19576.6211046076</v>
      </c>
      <c r="G31" s="0" t="n">
        <v>22.7140027972381</v>
      </c>
      <c r="I31" s="0" t="n">
        <v>-816.274334674558</v>
      </c>
      <c r="J31" s="0" t="n">
        <v>206861.742241803</v>
      </c>
      <c r="K31" s="0" t="n">
        <v>20668.72726824</v>
      </c>
      <c r="M31" s="0" t="n">
        <f aca="false">A31*C31</f>
        <v>22.14</v>
      </c>
      <c r="N31" s="0" t="n">
        <f aca="false">G31</f>
        <v>22.7140027972381</v>
      </c>
      <c r="O31" s="0" t="n">
        <f aca="false">N31+M31</f>
        <v>44.8540027972381</v>
      </c>
    </row>
    <row r="32" customFormat="false" ht="12" hidden="false" customHeight="false" outlineLevel="0" collapsed="false">
      <c r="A32" s="0" t="n">
        <v>14</v>
      </c>
      <c r="B32" s="0" t="n">
        <v>98.4</v>
      </c>
      <c r="C32" s="0" t="n">
        <v>1.58</v>
      </c>
      <c r="D32" s="0" t="n">
        <v>-809.623799260041</v>
      </c>
      <c r="E32" s="0" t="n">
        <v>211103.759959393</v>
      </c>
      <c r="F32" s="0" t="n">
        <v>19452.0985330275</v>
      </c>
      <c r="G32" s="0" t="n">
        <v>14.5492339252555</v>
      </c>
      <c r="I32" s="0" t="n">
        <v>-823.498661688445</v>
      </c>
      <c r="J32" s="0" t="n">
        <v>212137.278766261</v>
      </c>
      <c r="K32" s="0" t="n">
        <v>20485.617339896</v>
      </c>
      <c r="M32" s="0" t="n">
        <f aca="false">A32*C32</f>
        <v>22.12</v>
      </c>
      <c r="N32" s="0" t="n">
        <f aca="false">G32</f>
        <v>14.5492339252555</v>
      </c>
      <c r="O32" s="0" t="n">
        <f aca="false">N32+M32</f>
        <v>36.6692339252555</v>
      </c>
    </row>
    <row r="33" customFormat="false" ht="12" hidden="false" customHeight="false" outlineLevel="0" collapsed="false">
      <c r="A33" s="0" t="n">
        <v>14.5</v>
      </c>
      <c r="B33" s="0" t="n">
        <v>99.78</v>
      </c>
      <c r="C33" s="0" t="n">
        <v>1.48</v>
      </c>
      <c r="D33" s="0" t="n">
        <v>-809.497037219891</v>
      </c>
      <c r="E33" s="0" t="n">
        <v>209752.444664437</v>
      </c>
      <c r="F33" s="0" t="n">
        <v>19874.3589624536</v>
      </c>
      <c r="G33" s="0" t="n">
        <v>18.8684573526799</v>
      </c>
      <c r="I33" s="0" t="n">
        <v>-827.697306864645</v>
      </c>
      <c r="J33" s="0" t="n">
        <v>210688.747406981</v>
      </c>
      <c r="K33" s="0" t="n">
        <v>20810.6617049969</v>
      </c>
      <c r="M33" s="0" t="n">
        <f aca="false">A33*C33</f>
        <v>21.46</v>
      </c>
      <c r="N33" s="0" t="n">
        <f aca="false">G33</f>
        <v>18.8684573526799</v>
      </c>
      <c r="O33" s="0" t="n">
        <f aca="false">N33+M33</f>
        <v>40.3284573526799</v>
      </c>
    </row>
    <row r="34" customFormat="false" ht="12" hidden="false" customHeight="false" outlineLevel="0" collapsed="false">
      <c r="A34" s="0" t="n">
        <v>15</v>
      </c>
      <c r="B34" s="0" t="n">
        <v>98.38</v>
      </c>
      <c r="C34" s="0" t="n">
        <v>1.1</v>
      </c>
      <c r="D34" s="0" t="n">
        <v>-809.338628776597</v>
      </c>
      <c r="E34" s="0" t="n">
        <v>209808.117560062</v>
      </c>
      <c r="F34" s="0" t="n">
        <v>19866.9906950036</v>
      </c>
      <c r="G34" s="0" t="n">
        <v>10.9816695727548</v>
      </c>
      <c r="I34" s="0" t="n">
        <v>-819.792794301557</v>
      </c>
      <c r="J34" s="0" t="n">
        <v>210529.673717058</v>
      </c>
      <c r="K34" s="0" t="n">
        <v>20588.5468519995</v>
      </c>
      <c r="M34" s="0" t="n">
        <f aca="false">A34*C34</f>
        <v>16.5</v>
      </c>
      <c r="N34" s="0" t="n">
        <f aca="false">G34</f>
        <v>10.9816695727548</v>
      </c>
      <c r="O34" s="0" t="n">
        <f aca="false">N34+M34</f>
        <v>27.4816695727548</v>
      </c>
    </row>
    <row r="35" customFormat="false" ht="12" hidden="false" customHeight="false" outlineLevel="0" collapsed="false">
      <c r="A35" s="0" t="n">
        <v>15.5</v>
      </c>
      <c r="B35" s="0" t="n">
        <v>97.74</v>
      </c>
      <c r="C35" s="0" t="n">
        <v>1.74</v>
      </c>
      <c r="D35" s="0" t="n">
        <v>-875.778295680703</v>
      </c>
      <c r="E35" s="0" t="n">
        <v>225976.52888601</v>
      </c>
      <c r="F35" s="0" t="n">
        <v>21189.3004015419</v>
      </c>
      <c r="G35" s="0" t="n">
        <v>24.7893427537309</v>
      </c>
      <c r="I35" s="0" t="n">
        <v>-899.859727808893</v>
      </c>
      <c r="J35" s="0" t="n">
        <v>226996.062748737</v>
      </c>
      <c r="K35" s="0" t="n">
        <v>22208.8342642691</v>
      </c>
      <c r="M35" s="0" t="n">
        <f aca="false">A35*C35</f>
        <v>26.97</v>
      </c>
      <c r="N35" s="0" t="n">
        <f aca="false">G35</f>
        <v>24.7893427537309</v>
      </c>
      <c r="O35" s="0" t="n">
        <f aca="false">N35+M35</f>
        <v>51.7593427537309</v>
      </c>
    </row>
    <row r="36" customFormat="false" ht="12" hidden="false" customHeight="false" outlineLevel="0" collapsed="false">
      <c r="A36" s="0" t="n">
        <v>16</v>
      </c>
      <c r="B36" s="0" t="n">
        <v>99.44</v>
      </c>
      <c r="C36" s="0" t="n">
        <v>1.32</v>
      </c>
      <c r="D36" s="0" t="n">
        <v>-792.097857826711</v>
      </c>
      <c r="E36" s="0" t="n">
        <v>202067.774189792</v>
      </c>
      <c r="F36" s="0" t="n">
        <v>20112.1846580113</v>
      </c>
      <c r="G36" s="0" t="n">
        <v>14.7286443980408</v>
      </c>
      <c r="I36" s="0" t="n">
        <v>-806.202068597744</v>
      </c>
      <c r="J36" s="0" t="n">
        <v>202781.948423798</v>
      </c>
      <c r="K36" s="0" t="n">
        <v>20826.3588920178</v>
      </c>
      <c r="M36" s="0" t="n">
        <f aca="false">A36*C36</f>
        <v>21.12</v>
      </c>
      <c r="N36" s="0" t="n">
        <f aca="false">G36</f>
        <v>14.7286443980408</v>
      </c>
      <c r="O36" s="0" t="n">
        <f aca="false">N36+M36</f>
        <v>35.8486443980408</v>
      </c>
    </row>
    <row r="37" customFormat="false" ht="12" hidden="false" customHeight="false" outlineLevel="0" collapsed="false">
      <c r="A37" s="0" t="n">
        <v>16.5</v>
      </c>
      <c r="B37" s="0" t="n">
        <v>101.04</v>
      </c>
      <c r="C37" s="0" t="n">
        <v>1.48</v>
      </c>
      <c r="D37" s="0" t="n">
        <v>-866.158096105392</v>
      </c>
      <c r="E37" s="0" t="n">
        <v>222241.137058981</v>
      </c>
      <c r="F37" s="0" t="n">
        <v>21300.4522827018</v>
      </c>
      <c r="G37" s="0" t="n">
        <v>17.7998837611159</v>
      </c>
      <c r="I37" s="0" t="n">
        <v>-883.502057237013</v>
      </c>
      <c r="J37" s="0" t="n">
        <v>223208.66913706</v>
      </c>
      <c r="K37" s="0" t="n">
        <v>22249.0721537157</v>
      </c>
      <c r="M37" s="0" t="n">
        <f aca="false">A37*C37</f>
        <v>24.42</v>
      </c>
      <c r="N37" s="0" t="n">
        <f aca="false">G37</f>
        <v>17.7998837611159</v>
      </c>
      <c r="O37" s="0" t="n">
        <f aca="false">N37+M37</f>
        <v>42.2198837611159</v>
      </c>
    </row>
    <row r="38" customFormat="false" ht="12" hidden="false" customHeight="false" outlineLevel="0" collapsed="false">
      <c r="A38" s="0" t="n">
        <v>17</v>
      </c>
      <c r="B38" s="0" t="n">
        <v>98.54</v>
      </c>
      <c r="C38" s="0" t="n">
        <v>1.04</v>
      </c>
      <c r="D38" s="0" t="n">
        <v>-818.812434379323</v>
      </c>
      <c r="E38" s="0" t="n">
        <v>211643.09409879</v>
      </c>
      <c r="F38" s="0" t="n">
        <v>20579.5005198741</v>
      </c>
      <c r="G38" s="0" t="n">
        <v>12.8734267503245</v>
      </c>
      <c r="I38" s="0" t="n">
        <v>-831.442470046759</v>
      </c>
      <c r="J38" s="0" t="n">
        <v>212274.305682093</v>
      </c>
      <c r="K38" s="0" t="n">
        <v>21210.7121031767</v>
      </c>
      <c r="M38" s="0" t="n">
        <f aca="false">A38*C38</f>
        <v>17.68</v>
      </c>
      <c r="N38" s="0" t="n">
        <f aca="false">G38</f>
        <v>12.8734267503245</v>
      </c>
      <c r="O38" s="0" t="n">
        <f aca="false">N38+M38</f>
        <v>30.5534267503244</v>
      </c>
    </row>
    <row r="39" customFormat="false" ht="12" hidden="false" customHeight="false" outlineLevel="0" collapsed="false">
      <c r="A39" s="0" t="n">
        <v>17.5</v>
      </c>
      <c r="B39" s="0" t="n">
        <v>101.04</v>
      </c>
      <c r="C39" s="0" t="n">
        <v>1.02</v>
      </c>
      <c r="D39" s="0" t="n">
        <v>-817.881957234272</v>
      </c>
      <c r="E39" s="0" t="n">
        <v>210247.381414813</v>
      </c>
      <c r="F39" s="0" t="n">
        <v>20869.3942977091</v>
      </c>
      <c r="G39" s="0" t="n">
        <v>14.6692494079169</v>
      </c>
      <c r="I39" s="0" t="n">
        <v>-832.089817433889</v>
      </c>
      <c r="J39" s="0" t="n">
        <v>210899.872205374</v>
      </c>
      <c r="K39" s="0" t="n">
        <v>21521.8850882697</v>
      </c>
      <c r="M39" s="0" t="n">
        <f aca="false">A39*C39</f>
        <v>17.85</v>
      </c>
      <c r="N39" s="0" t="n">
        <f aca="false">G39</f>
        <v>14.6692494079169</v>
      </c>
      <c r="O39" s="0" t="n">
        <f aca="false">N39+M39</f>
        <v>32.5192494079169</v>
      </c>
    </row>
    <row r="40" customFormat="false" ht="12" hidden="false" customHeight="false" outlineLevel="0" collapsed="false">
      <c r="A40" s="0" t="n">
        <v>18</v>
      </c>
      <c r="B40" s="0" t="n">
        <v>100.26</v>
      </c>
      <c r="C40" s="0" t="n">
        <v>0.82</v>
      </c>
      <c r="D40" s="0" t="n">
        <v>-848.038223004235</v>
      </c>
      <c r="E40" s="0" t="n">
        <v>218696.135787324</v>
      </c>
      <c r="F40" s="0" t="n">
        <v>21038.5016106245</v>
      </c>
      <c r="G40" s="0" t="n">
        <v>8.03468234042324</v>
      </c>
      <c r="I40" s="0" t="n">
        <v>-855.337711814847</v>
      </c>
      <c r="J40" s="0" t="n">
        <v>219205.506140687</v>
      </c>
      <c r="K40" s="0" t="n">
        <v>21547.8719639878</v>
      </c>
      <c r="M40" s="0" t="n">
        <f aca="false">A40*C40</f>
        <v>14.76</v>
      </c>
      <c r="N40" s="0" t="n">
        <f aca="false">G40</f>
        <v>8.03468234042324</v>
      </c>
      <c r="O40" s="0" t="n">
        <f aca="false">N40+M40</f>
        <v>22.7946823404232</v>
      </c>
    </row>
    <row r="41" customFormat="false" ht="12" hidden="false" customHeight="false" outlineLevel="0" collapsed="false">
      <c r="A41" s="0" t="n">
        <v>18.5</v>
      </c>
      <c r="B41" s="0" t="n">
        <v>100.48</v>
      </c>
      <c r="C41" s="0" t="n">
        <v>0.8</v>
      </c>
      <c r="D41" s="0" t="n">
        <v>-759.079043064125</v>
      </c>
      <c r="E41" s="0" t="n">
        <v>194663.204312377</v>
      </c>
      <c r="F41" s="0" t="n">
        <v>19012.5623998121</v>
      </c>
      <c r="G41" s="0" t="n">
        <v>12.2958563412209</v>
      </c>
      <c r="I41" s="0" t="n">
        <v>-771.075155457306</v>
      </c>
      <c r="J41" s="0" t="n">
        <v>195123.683016504</v>
      </c>
      <c r="K41" s="0" t="n">
        <v>19473.0411039398</v>
      </c>
      <c r="M41" s="0" t="n">
        <f aca="false">A41*C41</f>
        <v>14.8</v>
      </c>
      <c r="N41" s="0" t="n">
        <f aca="false">G41</f>
        <v>12.2958563412209</v>
      </c>
      <c r="O41" s="0" t="n">
        <f aca="false">N41+M41</f>
        <v>27.0958563412209</v>
      </c>
    </row>
    <row r="42" customFormat="false" ht="12" hidden="false" customHeight="false" outlineLevel="0" collapsed="false">
      <c r="A42" s="0" t="n">
        <v>19</v>
      </c>
      <c r="B42" s="0" t="n">
        <v>99.18</v>
      </c>
      <c r="C42" s="0" t="n">
        <v>0.86</v>
      </c>
      <c r="D42" s="0" t="n">
        <v>-766.585371465647</v>
      </c>
      <c r="E42" s="0" t="n">
        <v>197647.574751611</v>
      </c>
      <c r="F42" s="0" t="n">
        <v>19045.2602946766</v>
      </c>
      <c r="G42" s="0" t="n">
        <v>8.86677974986345</v>
      </c>
      <c r="I42" s="0" t="n">
        <v>-775.12522375881</v>
      </c>
      <c r="J42" s="0" t="n">
        <v>198165.674591455</v>
      </c>
      <c r="K42" s="0" t="n">
        <v>19563.3601345196</v>
      </c>
      <c r="M42" s="0" t="n">
        <f aca="false">A42*C42</f>
        <v>16.34</v>
      </c>
      <c r="N42" s="0" t="n">
        <f aca="false">G42</f>
        <v>8.86677974986345</v>
      </c>
      <c r="O42" s="0" t="n">
        <f aca="false">N42+M42</f>
        <v>25.2067797498635</v>
      </c>
    </row>
    <row r="43" customFormat="false" ht="12" hidden="false" customHeight="false" outlineLevel="0" collapsed="false">
      <c r="A43" s="0" t="n">
        <v>19.5</v>
      </c>
      <c r="B43" s="0" t="n">
        <v>99</v>
      </c>
      <c r="C43" s="0" t="n">
        <v>0.72</v>
      </c>
      <c r="D43" s="0" t="n">
        <v>-788.294822208403</v>
      </c>
      <c r="E43" s="0" t="n">
        <v>204327.254009398</v>
      </c>
      <c r="F43" s="0" t="n">
        <v>19741.6080203034</v>
      </c>
      <c r="G43" s="0" t="n">
        <v>11.797500487756</v>
      </c>
      <c r="I43" s="0" t="n">
        <v>-799.771251045176</v>
      </c>
      <c r="J43" s="0" t="n">
        <v>204773.220634845</v>
      </c>
      <c r="K43" s="0" t="n">
        <v>20187.574645751</v>
      </c>
      <c r="M43" s="0" t="n">
        <f aca="false">A43*C43</f>
        <v>14.04</v>
      </c>
      <c r="N43" s="0" t="n">
        <f aca="false">G43</f>
        <v>11.797500487756</v>
      </c>
      <c r="O43" s="0" t="n">
        <f aca="false">N43+M43</f>
        <v>25.837500487756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9" activeCellId="0" sqref="H29"/>
    </sheetView>
  </sheetViews>
  <sheetFormatPr defaultColWidth="8.82421875" defaultRowHeight="12" customHeight="false" zeroHeight="false" outlineLevelRow="0" outlineLevelCol="0"/>
  <cols>
    <col collapsed="false" customWidth="true" hidden="false" outlineLevel="0" max="3" min="3" style="0" width="10.32"/>
  </cols>
  <sheetData>
    <row r="1" customFormat="false" ht="12" hidden="false" customHeight="false" outlineLevel="0" collapsed="false">
      <c r="A1" s="0" t="s">
        <v>13</v>
      </c>
      <c r="B1" s="0" t="n">
        <v>3</v>
      </c>
    </row>
    <row r="3" customFormat="false" ht="12" hidden="false" customHeight="false" outlineLevel="0" collapsed="false">
      <c r="A3" s="0" t="s">
        <v>0</v>
      </c>
      <c r="B3" s="0" t="s">
        <v>1</v>
      </c>
      <c r="C3" s="0" t="s">
        <v>2</v>
      </c>
      <c r="D3" s="0" t="s">
        <v>3</v>
      </c>
      <c r="E3" s="0" t="s">
        <v>4</v>
      </c>
      <c r="F3" s="0" t="s">
        <v>5</v>
      </c>
      <c r="G3" s="0" t="s">
        <v>6</v>
      </c>
      <c r="I3" s="0" t="s">
        <v>3</v>
      </c>
      <c r="J3" s="0" t="s">
        <v>7</v>
      </c>
      <c r="K3" s="0" t="s">
        <v>8</v>
      </c>
      <c r="M3" s="0" t="s">
        <v>9</v>
      </c>
      <c r="N3" s="0" t="s">
        <v>10</v>
      </c>
      <c r="O3" s="0" t="s">
        <v>11</v>
      </c>
    </row>
    <row r="4" customFormat="false" ht="12" hidden="false" customHeight="false" outlineLevel="0" collapsed="false">
      <c r="A4" s="0" t="n">
        <v>0</v>
      </c>
      <c r="B4" s="0" t="n">
        <v>101.6</v>
      </c>
      <c r="C4" s="0" t="n">
        <v>69.46</v>
      </c>
      <c r="D4" s="0" t="n">
        <v>-1022.57195660235</v>
      </c>
      <c r="E4" s="0" t="n">
        <v>289686.620413408</v>
      </c>
      <c r="F4" s="0" t="n">
        <v>4060.05543566698</v>
      </c>
      <c r="G4" s="0" t="n">
        <v>294.489507631997</v>
      </c>
      <c r="I4" s="0" t="n">
        <v>-1291.07591833262</v>
      </c>
      <c r="J4" s="0" t="n">
        <v>326239.615501563</v>
      </c>
      <c r="K4" s="0" t="n">
        <v>33044.1884010427</v>
      </c>
      <c r="M4" s="0" t="n">
        <f aca="false">A4*C4</f>
        <v>0</v>
      </c>
      <c r="N4" s="0" t="n">
        <f aca="false">G4</f>
        <v>294.489507631997</v>
      </c>
      <c r="O4" s="0" t="n">
        <f aca="false">N4+M4</f>
        <v>294.489507631997</v>
      </c>
    </row>
    <row r="5" customFormat="false" ht="12" hidden="false" customHeight="false" outlineLevel="0" collapsed="false">
      <c r="A5" s="0" t="n">
        <v>0.5</v>
      </c>
      <c r="B5" s="0" t="n">
        <v>99.38</v>
      </c>
      <c r="C5" s="0" t="n">
        <v>59.1</v>
      </c>
      <c r="D5" s="0" t="n">
        <v>-1055.36304661266</v>
      </c>
      <c r="E5" s="0" t="n">
        <v>291369.841075087</v>
      </c>
      <c r="F5" s="0" t="n">
        <v>5312.41239896273</v>
      </c>
      <c r="G5" s="0" t="n">
        <v>247.956021916226</v>
      </c>
      <c r="I5" s="0" t="n">
        <v>-1274.42622099185</v>
      </c>
      <c r="J5" s="0" t="n">
        <v>325179.114801598</v>
      </c>
      <c r="K5" s="0" t="n">
        <v>32265.2001534013</v>
      </c>
      <c r="M5" s="0" t="n">
        <f aca="false">A5*C5</f>
        <v>29.55</v>
      </c>
      <c r="N5" s="0" t="n">
        <f aca="false">G5</f>
        <v>247.956021916226</v>
      </c>
      <c r="O5" s="0" t="n">
        <f aca="false">N5+M5</f>
        <v>277.506021916226</v>
      </c>
    </row>
    <row r="6" customFormat="false" ht="12" hidden="false" customHeight="false" outlineLevel="0" collapsed="false">
      <c r="A6" s="0" t="n">
        <v>1</v>
      </c>
      <c r="B6" s="0" t="n">
        <v>102.3</v>
      </c>
      <c r="C6" s="0" t="n">
        <v>51.34</v>
      </c>
      <c r="D6" s="0" t="n">
        <v>-1074.33291747207</v>
      </c>
      <c r="E6" s="0" t="n">
        <v>290629.781467726</v>
      </c>
      <c r="F6" s="0" t="n">
        <v>7608.70787375334</v>
      </c>
      <c r="G6" s="0" t="n">
        <v>222.008580688386</v>
      </c>
      <c r="I6" s="0" t="n">
        <v>-1263.64131598772</v>
      </c>
      <c r="J6" s="0" t="n">
        <v>322057.91826991</v>
      </c>
      <c r="K6" s="0" t="n">
        <v>33102.0458578113</v>
      </c>
      <c r="M6" s="0" t="n">
        <f aca="false">A6*C6</f>
        <v>51.34</v>
      </c>
      <c r="N6" s="0" t="n">
        <f aca="false">G6</f>
        <v>222.008580688386</v>
      </c>
      <c r="O6" s="0" t="n">
        <f aca="false">N6+M6</f>
        <v>273.348580688386</v>
      </c>
    </row>
    <row r="7" customFormat="false" ht="12" hidden="false" customHeight="false" outlineLevel="0" collapsed="false">
      <c r="A7" s="0" t="n">
        <v>1.5</v>
      </c>
      <c r="B7" s="0" t="n">
        <v>102.46</v>
      </c>
      <c r="C7" s="0" t="n">
        <v>41.76</v>
      </c>
      <c r="D7" s="0" t="n">
        <v>-1137.65267816628</v>
      </c>
      <c r="E7" s="0" t="n">
        <v>305870.568685693</v>
      </c>
      <c r="F7" s="0" t="n">
        <v>9629.4234246074</v>
      </c>
      <c r="G7" s="0" t="n">
        <v>191.468965887532</v>
      </c>
      <c r="I7" s="0" t="n">
        <v>-1298.73506891554</v>
      </c>
      <c r="J7" s="0" t="n">
        <v>334682.026178509</v>
      </c>
      <c r="K7" s="0" t="n">
        <v>33607.6546687204</v>
      </c>
      <c r="M7" s="0" t="n">
        <f aca="false">A7*C7</f>
        <v>62.64</v>
      </c>
      <c r="N7" s="0" t="n">
        <f aca="false">G7</f>
        <v>191.468965887532</v>
      </c>
      <c r="O7" s="0" t="n">
        <f aca="false">N7+M7</f>
        <v>254.108965887532</v>
      </c>
    </row>
    <row r="8" customFormat="false" ht="12" hidden="false" customHeight="false" outlineLevel="0" collapsed="false">
      <c r="A8" s="0" t="n">
        <v>2</v>
      </c>
      <c r="B8" s="0" t="n">
        <v>96.6</v>
      </c>
      <c r="C8" s="0" t="n">
        <v>32.86</v>
      </c>
      <c r="D8" s="0" t="n">
        <v>-1146.82870415451</v>
      </c>
      <c r="E8" s="0" t="n">
        <v>307596.036946813</v>
      </c>
      <c r="F8" s="0" t="n">
        <v>11802.9461815265</v>
      </c>
      <c r="G8" s="0" t="n">
        <v>174.211743402645</v>
      </c>
      <c r="I8" s="0" t="n">
        <v>-1292.93112375967</v>
      </c>
      <c r="J8" s="0" t="n">
        <v>330630.236888958</v>
      </c>
      <c r="K8" s="0" t="n">
        <v>31550.6293459217</v>
      </c>
      <c r="M8" s="0" t="n">
        <f aca="false">A8*C8</f>
        <v>65.72</v>
      </c>
      <c r="N8" s="0" t="n">
        <f aca="false">G8</f>
        <v>174.211743402645</v>
      </c>
      <c r="O8" s="0" t="n">
        <f aca="false">N8+M8</f>
        <v>239.931743402645</v>
      </c>
    </row>
    <row r="9" customFormat="false" ht="12" hidden="false" customHeight="false" outlineLevel="0" collapsed="false">
      <c r="A9" s="0" t="n">
        <v>2.5</v>
      </c>
      <c r="B9" s="0" t="n">
        <v>99.78</v>
      </c>
      <c r="C9" s="0" t="n">
        <v>27.8</v>
      </c>
      <c r="D9" s="0" t="n">
        <v>-1127.73270778253</v>
      </c>
      <c r="E9" s="0" t="n">
        <v>300644.138465635</v>
      </c>
      <c r="F9" s="0" t="n">
        <v>13510.556933625</v>
      </c>
      <c r="G9" s="0" t="n">
        <v>176.144929381951</v>
      </c>
      <c r="I9" s="0" t="n">
        <v>-1279.78267037491</v>
      </c>
      <c r="J9" s="0" t="n">
        <v>321942.604984588</v>
      </c>
      <c r="K9" s="0" t="n">
        <v>32097.128318207</v>
      </c>
      <c r="M9" s="0" t="n">
        <f aca="false">A9*C9</f>
        <v>69.5</v>
      </c>
      <c r="N9" s="0" t="n">
        <f aca="false">G9</f>
        <v>176.144929381951</v>
      </c>
      <c r="O9" s="0" t="n">
        <f aca="false">N9+M9</f>
        <v>245.644929381951</v>
      </c>
    </row>
    <row r="10" customFormat="false" ht="12" hidden="false" customHeight="false" outlineLevel="0" collapsed="false">
      <c r="A10" s="0" t="n">
        <v>3</v>
      </c>
      <c r="B10" s="0" t="n">
        <v>100.56</v>
      </c>
      <c r="C10" s="0" t="n">
        <v>25.08</v>
      </c>
      <c r="D10" s="0" t="n">
        <v>-1176.6037917184</v>
      </c>
      <c r="E10" s="0" t="n">
        <v>314275.264199192</v>
      </c>
      <c r="F10" s="0" t="n">
        <v>15424.0553263525</v>
      </c>
      <c r="G10" s="0" t="n">
        <v>157.756552943254</v>
      </c>
      <c r="I10" s="0" t="n">
        <v>-1314.50581127442</v>
      </c>
      <c r="J10" s="0" t="n">
        <v>335347.000464564</v>
      </c>
      <c r="K10" s="0" t="n">
        <v>33969.6365877792</v>
      </c>
      <c r="M10" s="0" t="n">
        <f aca="false">A10*C10</f>
        <v>75.24</v>
      </c>
      <c r="N10" s="0" t="n">
        <f aca="false">G10</f>
        <v>157.756552943254</v>
      </c>
      <c r="O10" s="0" t="n">
        <f aca="false">N10+M10</f>
        <v>232.996552943254</v>
      </c>
    </row>
    <row r="11" customFormat="false" ht="12" hidden="false" customHeight="false" outlineLevel="0" collapsed="false">
      <c r="A11" s="0" t="n">
        <v>3.5</v>
      </c>
      <c r="B11" s="0" t="n">
        <v>100.12</v>
      </c>
      <c r="C11" s="0" t="n">
        <v>20.6</v>
      </c>
      <c r="D11" s="0" t="n">
        <v>-1145.41074721108</v>
      </c>
      <c r="E11" s="0" t="n">
        <v>305337.974235662</v>
      </c>
      <c r="F11" s="0" t="n">
        <v>16777.4092687581</v>
      </c>
      <c r="G11" s="0" t="n">
        <v>160.412133378996</v>
      </c>
      <c r="I11" s="0" t="n">
        <v>-1288.59615023006</v>
      </c>
      <c r="J11" s="0" t="n">
        <v>322393.535370123</v>
      </c>
      <c r="K11" s="0" t="n">
        <v>32365.2629920268</v>
      </c>
      <c r="M11" s="0" t="n">
        <f aca="false">A11*C11</f>
        <v>72.1</v>
      </c>
      <c r="N11" s="0" t="n">
        <f aca="false">G11</f>
        <v>160.412133378996</v>
      </c>
      <c r="O11" s="0" t="n">
        <f aca="false">N11+M11</f>
        <v>232.512133378996</v>
      </c>
    </row>
    <row r="12" customFormat="false" ht="12" hidden="false" customHeight="false" outlineLevel="0" collapsed="false">
      <c r="A12" s="0" t="n">
        <v>4</v>
      </c>
      <c r="B12" s="0" t="n">
        <v>99.28</v>
      </c>
      <c r="C12" s="0" t="n">
        <v>17.54</v>
      </c>
      <c r="D12" s="0" t="n">
        <v>-1160.96758180037</v>
      </c>
      <c r="E12" s="0" t="n">
        <v>309955.518306537</v>
      </c>
      <c r="F12" s="0" t="n">
        <v>18279.0408031715</v>
      </c>
      <c r="G12" s="0" t="n">
        <v>126.587934363098</v>
      </c>
      <c r="I12" s="0" t="n">
        <v>-1274.07082390725</v>
      </c>
      <c r="J12" s="0" t="n">
        <v>325566.609476818</v>
      </c>
      <c r="K12" s="0" t="n">
        <v>32497.6484092342</v>
      </c>
      <c r="M12" s="0" t="n">
        <f aca="false">A12*C12</f>
        <v>70.16</v>
      </c>
      <c r="N12" s="0" t="n">
        <f aca="false">G12</f>
        <v>126.587934363098</v>
      </c>
      <c r="O12" s="0" t="n">
        <f aca="false">N12+M12</f>
        <v>196.747934363098</v>
      </c>
    </row>
    <row r="13" customFormat="false" ht="12" hidden="false" customHeight="false" outlineLevel="0" collapsed="false">
      <c r="A13" s="0" t="n">
        <v>4.5</v>
      </c>
      <c r="B13" s="0" t="n">
        <v>99.66</v>
      </c>
      <c r="C13" s="0" t="n">
        <v>14.78</v>
      </c>
      <c r="D13" s="0" t="n">
        <v>-1189.55448523574</v>
      </c>
      <c r="E13" s="0" t="n">
        <v>318033.104448983</v>
      </c>
      <c r="F13" s="0" t="n">
        <v>20102.0166925137</v>
      </c>
      <c r="G13" s="0" t="n">
        <v>121.289279893661</v>
      </c>
      <c r="I13" s="0" t="n">
        <v>-1299.42062454822</v>
      </c>
      <c r="J13" s="0" t="n">
        <v>331647.471969302</v>
      </c>
      <c r="K13" s="0" t="n">
        <v>32733.639043036</v>
      </c>
      <c r="M13" s="0" t="n">
        <f aca="false">A13*C13</f>
        <v>66.51</v>
      </c>
      <c r="N13" s="0" t="n">
        <f aca="false">G13</f>
        <v>121.289279893661</v>
      </c>
      <c r="O13" s="0" t="n">
        <f aca="false">N13+M13</f>
        <v>187.799279893661</v>
      </c>
    </row>
    <row r="14" customFormat="false" ht="12" hidden="false" customHeight="false" outlineLevel="0" collapsed="false">
      <c r="A14" s="0" t="n">
        <v>5</v>
      </c>
      <c r="B14" s="0" t="n">
        <v>99.74</v>
      </c>
      <c r="C14" s="0" t="n">
        <v>13</v>
      </c>
      <c r="D14" s="0" t="n">
        <v>-1146.46095651823</v>
      </c>
      <c r="E14" s="0" t="n">
        <v>306135.527559928</v>
      </c>
      <c r="F14" s="0" t="n">
        <v>20654.5285099188</v>
      </c>
      <c r="G14" s="0" t="n">
        <v>108.619577848977</v>
      </c>
      <c r="I14" s="0" t="n">
        <v>-1248.91331558396</v>
      </c>
      <c r="J14" s="0" t="n">
        <v>319261.757606676</v>
      </c>
      <c r="K14" s="0" t="n">
        <v>32315.0309276062</v>
      </c>
      <c r="M14" s="0" t="n">
        <f aca="false">A14*C14</f>
        <v>65</v>
      </c>
      <c r="N14" s="0" t="n">
        <f aca="false">G14</f>
        <v>108.619577848977</v>
      </c>
      <c r="O14" s="0" t="n">
        <f aca="false">N14+M14</f>
        <v>173.619577848977</v>
      </c>
    </row>
    <row r="15" customFormat="false" ht="12" hidden="false" customHeight="false" outlineLevel="0" collapsed="false">
      <c r="A15" s="0" t="n">
        <v>5.5</v>
      </c>
      <c r="B15" s="0" t="n">
        <v>99.84</v>
      </c>
      <c r="C15" s="0" t="n">
        <v>13.4</v>
      </c>
      <c r="D15" s="0" t="n">
        <v>-1223.43797627115</v>
      </c>
      <c r="E15" s="0" t="n">
        <v>324767.597581647</v>
      </c>
      <c r="F15" s="0" t="n">
        <v>21429.6761516762</v>
      </c>
      <c r="G15" s="0" t="n">
        <v>109.997921775337</v>
      </c>
      <c r="I15" s="0" t="n">
        <v>-1326.76584340818</v>
      </c>
      <c r="J15" s="0" t="n">
        <v>337906.539214633</v>
      </c>
      <c r="K15" s="0" t="n">
        <v>33572.7798201608</v>
      </c>
      <c r="M15" s="0" t="n">
        <f aca="false">A15*C15</f>
        <v>73.7</v>
      </c>
      <c r="N15" s="0" t="n">
        <f aca="false">G15</f>
        <v>109.997921775337</v>
      </c>
      <c r="O15" s="0" t="n">
        <f aca="false">N15+M15</f>
        <v>183.697921775337</v>
      </c>
    </row>
    <row r="16" customFormat="false" ht="12" hidden="false" customHeight="false" outlineLevel="0" collapsed="false">
      <c r="A16" s="0" t="n">
        <v>6</v>
      </c>
      <c r="B16" s="0" t="n">
        <v>99.84</v>
      </c>
      <c r="C16" s="0" t="n">
        <v>11.66</v>
      </c>
      <c r="D16" s="0" t="n">
        <v>-1197.06621979688</v>
      </c>
      <c r="E16" s="0" t="n">
        <v>318397.277888681</v>
      </c>
      <c r="F16" s="0" t="n">
        <v>22247.8163473849</v>
      </c>
      <c r="G16" s="0" t="n">
        <v>100.099715290195</v>
      </c>
      <c r="I16" s="0" t="n">
        <v>-1290.21722352403</v>
      </c>
      <c r="J16" s="0" t="n">
        <v>329442.127141859</v>
      </c>
      <c r="K16" s="0" t="n">
        <v>32791.4130289821</v>
      </c>
      <c r="M16" s="0" t="n">
        <f aca="false">A16*C16</f>
        <v>69.96</v>
      </c>
      <c r="N16" s="0" t="n">
        <f aca="false">G16</f>
        <v>100.099715290195</v>
      </c>
      <c r="O16" s="0" t="n">
        <f aca="false">N16+M16</f>
        <v>170.059715290195</v>
      </c>
    </row>
    <row r="17" customFormat="false" ht="12" hidden="false" customHeight="false" outlineLevel="0" collapsed="false">
      <c r="A17" s="0" t="n">
        <v>6.5</v>
      </c>
      <c r="B17" s="0" t="n">
        <v>101.12</v>
      </c>
      <c r="C17" s="0" t="n">
        <v>10.32</v>
      </c>
      <c r="D17" s="0" t="n">
        <v>-1165.27373526664</v>
      </c>
      <c r="E17" s="0" t="n">
        <v>308415.030481695</v>
      </c>
      <c r="F17" s="0" t="n">
        <v>23046.5843842257</v>
      </c>
      <c r="G17" s="0" t="n">
        <v>99.1096366413296</v>
      </c>
      <c r="I17" s="0" t="n">
        <v>-1260.95627058962</v>
      </c>
      <c r="J17" s="0" t="n">
        <v>318645.401872662</v>
      </c>
      <c r="K17" s="0" t="n">
        <v>32473.3350338334</v>
      </c>
      <c r="M17" s="0" t="n">
        <f aca="false">A17*C17</f>
        <v>67.08</v>
      </c>
      <c r="N17" s="0" t="n">
        <f aca="false">G17</f>
        <v>99.1096366413296</v>
      </c>
      <c r="O17" s="0" t="n">
        <f aca="false">N17+M17</f>
        <v>166.18963664133</v>
      </c>
    </row>
    <row r="18" customFormat="false" ht="12" hidden="false" customHeight="false" outlineLevel="0" collapsed="false">
      <c r="A18" s="0" t="n">
        <v>7</v>
      </c>
      <c r="B18" s="0" t="n">
        <v>100.72</v>
      </c>
      <c r="C18" s="0" t="n">
        <v>9.56</v>
      </c>
      <c r="D18" s="0" t="n">
        <v>-1224.88782164875</v>
      </c>
      <c r="E18" s="0" t="n">
        <v>325475.861786318</v>
      </c>
      <c r="F18" s="0" t="n">
        <v>24214.265745291</v>
      </c>
      <c r="G18" s="0" t="n">
        <v>100.432467313279</v>
      </c>
      <c r="I18" s="0" t="n">
        <v>-1320.5557925605</v>
      </c>
      <c r="J18" s="0" t="n">
        <v>335301.614592572</v>
      </c>
      <c r="K18" s="0" t="n">
        <v>33612.2089354579</v>
      </c>
      <c r="M18" s="0" t="n">
        <f aca="false">A18*C18</f>
        <v>66.92</v>
      </c>
      <c r="N18" s="0" t="n">
        <f aca="false">G18</f>
        <v>100.432467313279</v>
      </c>
      <c r="O18" s="0" t="n">
        <f aca="false">N18+M18</f>
        <v>167.352467313279</v>
      </c>
    </row>
    <row r="19" customFormat="false" ht="12" hidden="false" customHeight="false" outlineLevel="0" collapsed="false">
      <c r="A19" s="0" t="n">
        <v>7.5</v>
      </c>
      <c r="B19" s="0" t="n">
        <v>100.08</v>
      </c>
      <c r="C19" s="0" t="n">
        <v>8.92</v>
      </c>
      <c r="D19" s="0" t="n">
        <v>-1205.49483149971</v>
      </c>
      <c r="E19" s="0" t="n">
        <v>318643.398600218</v>
      </c>
      <c r="F19" s="0" t="n">
        <v>23381.6206132322</v>
      </c>
      <c r="G19" s="0" t="n">
        <v>82.1486963136143</v>
      </c>
      <c r="I19" s="0" t="n">
        <v>-1285.11241066665</v>
      </c>
      <c r="J19" s="0" t="n">
        <v>327857.106876274</v>
      </c>
      <c r="K19" s="0" t="n">
        <v>31936.5642388832</v>
      </c>
      <c r="M19" s="0" t="n">
        <f aca="false">A19*C19</f>
        <v>66.9</v>
      </c>
      <c r="N19" s="0" t="n">
        <f aca="false">G19</f>
        <v>82.1486963136143</v>
      </c>
      <c r="O19" s="0" t="n">
        <f aca="false">N19+M19</f>
        <v>149.048696313614</v>
      </c>
    </row>
    <row r="20" customFormat="false" ht="12" hidden="false" customHeight="false" outlineLevel="0" collapsed="false">
      <c r="A20" s="0" t="n">
        <v>8</v>
      </c>
      <c r="B20" s="0" t="n">
        <v>97.92</v>
      </c>
      <c r="C20" s="0" t="n">
        <v>7.66</v>
      </c>
      <c r="D20" s="0" t="n">
        <v>-1198.31855997015</v>
      </c>
      <c r="E20" s="0" t="n">
        <v>317746.007120297</v>
      </c>
      <c r="F20" s="0" t="n">
        <v>23792.3637679455</v>
      </c>
      <c r="G20" s="0" t="n">
        <v>83.8446400761253</v>
      </c>
      <c r="I20" s="0" t="n">
        <v>-1279.27897874013</v>
      </c>
      <c r="J20" s="0" t="n">
        <v>325523.940671157</v>
      </c>
      <c r="K20" s="0" t="n">
        <v>31095.7046629984</v>
      </c>
      <c r="M20" s="0" t="n">
        <f aca="false">A20*C20</f>
        <v>61.28</v>
      </c>
      <c r="N20" s="0" t="n">
        <f aca="false">G20</f>
        <v>83.8446400761253</v>
      </c>
      <c r="O20" s="0" t="n">
        <f aca="false">N20+M20</f>
        <v>145.124640076125</v>
      </c>
    </row>
    <row r="21" customFormat="false" ht="12" hidden="false" customHeight="false" outlineLevel="0" collapsed="false">
      <c r="A21" s="0" t="n">
        <v>8.5</v>
      </c>
      <c r="B21" s="0" t="n">
        <v>98.78</v>
      </c>
      <c r="C21" s="0" t="n">
        <v>7.12</v>
      </c>
      <c r="D21" s="0" t="n">
        <v>-1168.5613407434</v>
      </c>
      <c r="E21" s="0" t="n">
        <v>307826.551706955</v>
      </c>
      <c r="F21" s="0" t="n">
        <v>25038.3845449428</v>
      </c>
      <c r="G21" s="0" t="n">
        <v>86.8923094978343</v>
      </c>
      <c r="I21" s="0" t="n">
        <v>-1252.38126188831</v>
      </c>
      <c r="J21" s="0" t="n">
        <v>314753.848915304</v>
      </c>
      <c r="K21" s="0" t="n">
        <v>31734.4200138456</v>
      </c>
      <c r="M21" s="0" t="n">
        <f aca="false">A21*C21</f>
        <v>60.52</v>
      </c>
      <c r="N21" s="0" t="n">
        <f aca="false">G21</f>
        <v>86.8923094978343</v>
      </c>
      <c r="O21" s="0" t="n">
        <f aca="false">N21+M21</f>
        <v>147.412309497834</v>
      </c>
    </row>
    <row r="22" customFormat="false" ht="12" hidden="false" customHeight="false" outlineLevel="0" collapsed="false">
      <c r="A22" s="0" t="n">
        <v>9</v>
      </c>
      <c r="B22" s="0" t="n">
        <v>102.1</v>
      </c>
      <c r="C22" s="0" t="n">
        <v>7</v>
      </c>
      <c r="D22" s="0" t="n">
        <v>-1217.3003529746</v>
      </c>
      <c r="E22" s="0" t="n">
        <v>321581.469378594</v>
      </c>
      <c r="F22" s="0" t="n">
        <v>27618.0964637195</v>
      </c>
      <c r="G22" s="0" t="n">
        <v>80.0847736761305</v>
      </c>
      <c r="I22" s="0" t="n">
        <v>-1294.33945915442</v>
      </c>
      <c r="J22" s="0" t="n">
        <v>328638.066061846</v>
      </c>
      <c r="K22" s="0" t="n">
        <v>34518.2273736344</v>
      </c>
      <c r="M22" s="0" t="n">
        <f aca="false">A22*C22</f>
        <v>63</v>
      </c>
      <c r="N22" s="0" t="n">
        <f aca="false">G22</f>
        <v>80.0847736761305</v>
      </c>
      <c r="O22" s="0" t="n">
        <f aca="false">N22+M22</f>
        <v>143.084773676131</v>
      </c>
    </row>
    <row r="23" customFormat="false" ht="12" hidden="false" customHeight="false" outlineLevel="0" collapsed="false">
      <c r="A23" s="0" t="n">
        <v>9.5</v>
      </c>
      <c r="B23" s="0" t="n">
        <v>98.46</v>
      </c>
      <c r="C23" s="0" t="n">
        <v>6.08</v>
      </c>
      <c r="D23" s="0" t="n">
        <v>-1205.91901231466</v>
      </c>
      <c r="E23" s="0" t="n">
        <v>319322.488688695</v>
      </c>
      <c r="F23" s="0" t="n">
        <v>26432.7933529802</v>
      </c>
      <c r="G23" s="0" t="n">
        <v>75.1221265080917</v>
      </c>
      <c r="I23" s="0" t="n">
        <v>-1279.91642569417</v>
      </c>
      <c r="J23" s="0" t="n">
        <v>325913.467636978</v>
      </c>
      <c r="K23" s="0" t="n">
        <v>32572.9040399711</v>
      </c>
      <c r="M23" s="0" t="n">
        <f aca="false">A23*C23</f>
        <v>57.76</v>
      </c>
      <c r="N23" s="0" t="n">
        <f aca="false">G23</f>
        <v>75.1221265080917</v>
      </c>
      <c r="O23" s="0" t="n">
        <f aca="false">N23+M23</f>
        <v>132.882126508092</v>
      </c>
    </row>
    <row r="24" customFormat="false" ht="12" hidden="false" customHeight="false" outlineLevel="0" collapsed="false">
      <c r="A24" s="0" t="n">
        <v>10</v>
      </c>
      <c r="B24" s="0" t="n">
        <v>100.34</v>
      </c>
      <c r="C24" s="0" t="n">
        <v>5.72</v>
      </c>
      <c r="D24" s="0" t="n">
        <v>-1201.93046490878</v>
      </c>
      <c r="E24" s="0" t="n">
        <v>317208.885771414</v>
      </c>
      <c r="F24" s="0" t="n">
        <v>26045.1784547527</v>
      </c>
      <c r="G24" s="0" t="n">
        <v>65.7111963010827</v>
      </c>
      <c r="I24" s="0" t="n">
        <v>-1265.20931679802</v>
      </c>
      <c r="J24" s="0" t="n">
        <v>323007.551588856</v>
      </c>
      <c r="K24" s="0" t="n">
        <v>31772.7442721949</v>
      </c>
      <c r="M24" s="0" t="n">
        <f aca="false">A24*C24</f>
        <v>57.2</v>
      </c>
      <c r="N24" s="0" t="n">
        <f aca="false">G24</f>
        <v>65.7111963010827</v>
      </c>
      <c r="O24" s="0" t="n">
        <f aca="false">N24+M24</f>
        <v>122.911196301083</v>
      </c>
    </row>
    <row r="25" customFormat="false" ht="12" hidden="false" customHeight="false" outlineLevel="0" collapsed="false">
      <c r="A25" s="0" t="n">
        <v>10.5</v>
      </c>
      <c r="B25" s="0" t="n">
        <v>100.32</v>
      </c>
      <c r="C25" s="0" t="n">
        <v>5.82</v>
      </c>
      <c r="D25" s="0" t="n">
        <v>-1212.31908735142</v>
      </c>
      <c r="E25" s="0" t="n">
        <v>319065.04217689</v>
      </c>
      <c r="F25" s="0" t="n">
        <v>27446.2712828475</v>
      </c>
      <c r="G25" s="0" t="n">
        <v>59.8316928908795</v>
      </c>
      <c r="I25" s="0" t="n">
        <v>-1270.11904862521</v>
      </c>
      <c r="J25" s="0" t="n">
        <v>325151.514805592</v>
      </c>
      <c r="K25" s="0" t="n">
        <v>33390.4046376435</v>
      </c>
      <c r="M25" s="0" t="n">
        <f aca="false">A25*C25</f>
        <v>61.11</v>
      </c>
      <c r="N25" s="0" t="n">
        <f aca="false">G25</f>
        <v>59.8316928908795</v>
      </c>
      <c r="O25" s="0" t="n">
        <f aca="false">N25+M25</f>
        <v>120.941692890879</v>
      </c>
    </row>
    <row r="26" customFormat="false" ht="12" hidden="false" customHeight="false" outlineLevel="0" collapsed="false">
      <c r="A26" s="0" t="n">
        <v>11</v>
      </c>
      <c r="B26" s="0" t="n">
        <v>100.72</v>
      </c>
      <c r="C26" s="0" t="n">
        <v>4.72</v>
      </c>
      <c r="D26" s="0" t="n">
        <v>-1210.89904121729</v>
      </c>
      <c r="E26" s="0" t="n">
        <v>318848.309395508</v>
      </c>
      <c r="F26" s="0" t="n">
        <v>27339.2322823837</v>
      </c>
      <c r="G26" s="0" t="n">
        <v>56.9571197992975</v>
      </c>
      <c r="I26" s="0" t="n">
        <v>-1265.88115661589</v>
      </c>
      <c r="J26" s="0" t="n">
        <v>323779.558980631</v>
      </c>
      <c r="K26" s="0" t="n">
        <v>32115.381867507</v>
      </c>
      <c r="M26" s="0" t="n">
        <f aca="false">A26*C26</f>
        <v>51.92</v>
      </c>
      <c r="N26" s="0" t="n">
        <f aca="false">G26</f>
        <v>56.9571197992975</v>
      </c>
      <c r="O26" s="0" t="n">
        <f aca="false">N26+M26</f>
        <v>108.877119799297</v>
      </c>
    </row>
    <row r="27" customFormat="false" ht="12" hidden="false" customHeight="false" outlineLevel="0" collapsed="false">
      <c r="A27" s="0" t="n">
        <v>11.5</v>
      </c>
      <c r="B27" s="0" t="n">
        <v>99.02</v>
      </c>
      <c r="C27" s="0" t="n">
        <v>4.66</v>
      </c>
      <c r="D27" s="0" t="n">
        <v>-1217.0868356374</v>
      </c>
      <c r="E27" s="0" t="n">
        <v>321073.770079201</v>
      </c>
      <c r="F27" s="0" t="n">
        <v>27468.4595253805</v>
      </c>
      <c r="G27" s="0" t="n">
        <v>51.6972715029337</v>
      </c>
      <c r="I27" s="0" t="n">
        <v>-1266.98528901248</v>
      </c>
      <c r="J27" s="0" t="n">
        <v>325881.800765566</v>
      </c>
      <c r="K27" s="0" t="n">
        <v>32162.4424080555</v>
      </c>
      <c r="M27" s="0" t="n">
        <f aca="false">A27*C27</f>
        <v>53.59</v>
      </c>
      <c r="N27" s="0" t="n">
        <f aca="false">G27</f>
        <v>51.6972715029337</v>
      </c>
      <c r="O27" s="0" t="n">
        <f aca="false">N27+M27</f>
        <v>105.287271502934</v>
      </c>
    </row>
    <row r="28" customFormat="false" ht="12" hidden="false" customHeight="false" outlineLevel="0" collapsed="false">
      <c r="A28" s="0" t="n">
        <v>12</v>
      </c>
      <c r="B28" s="0" t="n">
        <v>100.26</v>
      </c>
      <c r="C28" s="0" t="n">
        <v>4.32</v>
      </c>
      <c r="D28" s="0" t="n">
        <v>-1213.7921640293</v>
      </c>
      <c r="E28" s="0" t="n">
        <v>320191.896885182</v>
      </c>
      <c r="F28" s="0" t="n">
        <v>28200.7667897367</v>
      </c>
      <c r="G28" s="0" t="n">
        <v>61.7983282300477</v>
      </c>
      <c r="I28" s="0" t="n">
        <v>-1273.48123767864</v>
      </c>
      <c r="J28" s="0" t="n">
        <v>324772.472086098</v>
      </c>
      <c r="K28" s="0" t="n">
        <v>32781.3419906528</v>
      </c>
      <c r="M28" s="0" t="n">
        <f aca="false">A28*C28</f>
        <v>51.84</v>
      </c>
      <c r="N28" s="0" t="n">
        <f aca="false">G28</f>
        <v>61.7983282300477</v>
      </c>
      <c r="O28" s="0" t="n">
        <f aca="false">N28+M28</f>
        <v>113.638328230048</v>
      </c>
    </row>
    <row r="29" customFormat="false" ht="12" hidden="false" customHeight="false" outlineLevel="0" collapsed="false">
      <c r="A29" s="0" t="n">
        <v>12.5</v>
      </c>
      <c r="B29" s="0" t="n">
        <v>101.62</v>
      </c>
      <c r="C29" s="0" t="n">
        <v>4.34</v>
      </c>
      <c r="D29" s="0" t="n">
        <v>-1179.65883598476</v>
      </c>
      <c r="E29" s="0" t="n">
        <v>310078.778777354</v>
      </c>
      <c r="F29" s="0" t="n">
        <v>28394.5781559174</v>
      </c>
      <c r="G29" s="0" t="n">
        <v>55.8907206816975</v>
      </c>
      <c r="I29" s="0" t="n">
        <v>-1234.92488667478</v>
      </c>
      <c r="J29" s="0" t="n">
        <v>314825.047998016</v>
      </c>
      <c r="K29" s="0" t="n">
        <v>32954.3535663436</v>
      </c>
      <c r="M29" s="0" t="n">
        <f aca="false">A29*C29</f>
        <v>54.25</v>
      </c>
      <c r="N29" s="0" t="n">
        <f aca="false">G29</f>
        <v>55.8907206816975</v>
      </c>
      <c r="O29" s="0" t="n">
        <f aca="false">N29+M29</f>
        <v>110.140720681698</v>
      </c>
    </row>
    <row r="30" customFormat="false" ht="12" hidden="false" customHeight="false" outlineLevel="0" collapsed="false">
      <c r="A30" s="0" t="n">
        <v>13</v>
      </c>
      <c r="B30" s="0" t="n">
        <v>98.62</v>
      </c>
      <c r="C30" s="0" t="n">
        <v>4.34</v>
      </c>
      <c r="D30" s="0" t="n">
        <v>-1241.73141584056</v>
      </c>
      <c r="E30" s="0" t="n">
        <v>325821.05205267</v>
      </c>
      <c r="F30" s="0" t="n">
        <v>27907.7231709417</v>
      </c>
      <c r="G30" s="0" t="n">
        <v>62.8830668739248</v>
      </c>
      <c r="I30" s="0" t="n">
        <v>-1303.15182187422</v>
      </c>
      <c r="J30" s="0" t="n">
        <v>330353.75919552</v>
      </c>
      <c r="K30" s="0" t="n">
        <v>32346.2303137918</v>
      </c>
      <c r="M30" s="0" t="n">
        <f aca="false">A30*C30</f>
        <v>56.42</v>
      </c>
      <c r="N30" s="0" t="n">
        <f aca="false">G30</f>
        <v>62.8830668739248</v>
      </c>
      <c r="O30" s="0" t="n">
        <f aca="false">N30+M30</f>
        <v>119.303066873925</v>
      </c>
    </row>
    <row r="31" customFormat="false" ht="12" hidden="false" customHeight="false" outlineLevel="0" collapsed="false">
      <c r="A31" s="0" t="n">
        <v>13.5</v>
      </c>
      <c r="B31" s="0" t="n">
        <v>101.2</v>
      </c>
      <c r="C31" s="0" t="n">
        <v>4.08</v>
      </c>
      <c r="D31" s="0" t="n">
        <v>-1246.07973891061</v>
      </c>
      <c r="E31" s="0" t="n">
        <v>326133.689915876</v>
      </c>
      <c r="F31" s="0" t="n">
        <v>28692.0130962301</v>
      </c>
      <c r="G31" s="0" t="n">
        <v>68.4566244172331</v>
      </c>
      <c r="I31" s="0" t="n">
        <v>-1313.46799935072</v>
      </c>
      <c r="J31" s="0" t="n">
        <v>330456.696924349</v>
      </c>
      <c r="K31" s="0" t="n">
        <v>32869.5667723185</v>
      </c>
      <c r="M31" s="0" t="n">
        <f aca="false">A31*C31</f>
        <v>55.08</v>
      </c>
      <c r="N31" s="0" t="n">
        <f aca="false">G31</f>
        <v>68.4566244172331</v>
      </c>
      <c r="O31" s="0" t="n">
        <f aca="false">N31+M31</f>
        <v>123.536624417233</v>
      </c>
    </row>
    <row r="32" customFormat="false" ht="12" hidden="false" customHeight="false" outlineLevel="0" collapsed="false">
      <c r="A32" s="0" t="n">
        <v>14</v>
      </c>
      <c r="B32" s="0" t="n">
        <v>99.64</v>
      </c>
      <c r="C32" s="0" t="n">
        <v>4.14</v>
      </c>
      <c r="D32" s="0" t="n">
        <v>-1256.99291058465</v>
      </c>
      <c r="E32" s="0" t="n">
        <v>330468.79860911</v>
      </c>
      <c r="F32" s="0" t="n">
        <v>28637.671024059</v>
      </c>
      <c r="G32" s="0" t="n">
        <v>69.3927411690608</v>
      </c>
      <c r="I32" s="0" t="n">
        <v>-1325.66220508321</v>
      </c>
      <c r="J32" s="0" t="n">
        <v>335077.338446393</v>
      </c>
      <c r="K32" s="0" t="n">
        <v>33143.0468949662</v>
      </c>
      <c r="M32" s="0" t="n">
        <f aca="false">A32*C32</f>
        <v>57.96</v>
      </c>
      <c r="N32" s="0" t="n">
        <f aca="false">G32</f>
        <v>69.3927411690608</v>
      </c>
      <c r="O32" s="0" t="n">
        <f aca="false">N32+M32</f>
        <v>127.352741169061</v>
      </c>
    </row>
    <row r="33" customFormat="false" ht="12" hidden="false" customHeight="false" outlineLevel="0" collapsed="false">
      <c r="A33" s="0" t="n">
        <v>14.5</v>
      </c>
      <c r="B33" s="0" t="n">
        <v>98.8</v>
      </c>
      <c r="C33" s="0" t="n">
        <v>3.26</v>
      </c>
      <c r="D33" s="0" t="n">
        <v>-1239.63049070289</v>
      </c>
      <c r="E33" s="0" t="n">
        <v>327051.354183825</v>
      </c>
      <c r="F33" s="0" t="n">
        <v>28526.1475872279</v>
      </c>
      <c r="G33" s="0" t="n">
        <v>45.3181779713814</v>
      </c>
      <c r="I33" s="0" t="n">
        <v>-1284.39858195599</v>
      </c>
      <c r="J33" s="0" t="n">
        <v>330508.694193309</v>
      </c>
      <c r="K33" s="0" t="n">
        <v>31846.3875967118</v>
      </c>
      <c r="M33" s="0" t="n">
        <f aca="false">A33*C33</f>
        <v>47.27</v>
      </c>
      <c r="N33" s="0" t="n">
        <f aca="false">G33</f>
        <v>45.3181779713814</v>
      </c>
      <c r="O33" s="0" t="n">
        <f aca="false">N33+M33</f>
        <v>92.5881779713814</v>
      </c>
    </row>
    <row r="34" customFormat="false" ht="12" hidden="false" customHeight="false" outlineLevel="0" collapsed="false">
      <c r="A34" s="0" t="n">
        <v>15</v>
      </c>
      <c r="B34" s="0" t="n">
        <v>101.98</v>
      </c>
      <c r="C34" s="0" t="n">
        <v>3.74</v>
      </c>
      <c r="D34" s="0" t="n">
        <v>-1237.97560505635</v>
      </c>
      <c r="E34" s="0" t="n">
        <v>321722.189675084</v>
      </c>
      <c r="F34" s="0" t="n">
        <v>29726.7755767862</v>
      </c>
      <c r="G34" s="0" t="n">
        <v>60.8725707602745</v>
      </c>
      <c r="I34" s="0" t="n">
        <v>-1297.97548499958</v>
      </c>
      <c r="J34" s="0" t="n">
        <v>325661.018831953</v>
      </c>
      <c r="K34" s="0" t="n">
        <v>33630.0116881095</v>
      </c>
      <c r="M34" s="0" t="n">
        <f aca="false">A34*C34</f>
        <v>56.1</v>
      </c>
      <c r="N34" s="0" t="n">
        <f aca="false">G34</f>
        <v>60.8725707602745</v>
      </c>
      <c r="O34" s="0" t="n">
        <f aca="false">N34+M34</f>
        <v>116.972570760275</v>
      </c>
    </row>
    <row r="35" customFormat="false" ht="12" hidden="false" customHeight="false" outlineLevel="0" collapsed="false">
      <c r="A35" s="0" t="n">
        <v>15.5</v>
      </c>
      <c r="B35" s="0" t="n">
        <v>99.7</v>
      </c>
      <c r="C35" s="0" t="n">
        <v>3.28</v>
      </c>
      <c r="D35" s="0" t="n">
        <v>-1239.20766116193</v>
      </c>
      <c r="E35" s="0" t="n">
        <v>323305.137735587</v>
      </c>
      <c r="F35" s="0" t="n">
        <v>29198.3785046642</v>
      </c>
      <c r="G35" s="0" t="n">
        <v>65.6164024880163</v>
      </c>
      <c r="I35" s="0" t="n">
        <v>-1304.09950670576</v>
      </c>
      <c r="J35" s="0" t="n">
        <v>327016.0112386</v>
      </c>
      <c r="K35" s="0" t="n">
        <v>32812.6698177677</v>
      </c>
      <c r="M35" s="0" t="n">
        <f aca="false">A35*C35</f>
        <v>50.84</v>
      </c>
      <c r="N35" s="0" t="n">
        <f aca="false">G35</f>
        <v>65.6164024880163</v>
      </c>
      <c r="O35" s="0" t="n">
        <f aca="false">N35+M35</f>
        <v>116.456402488016</v>
      </c>
    </row>
    <row r="36" customFormat="false" ht="12" hidden="false" customHeight="false" outlineLevel="0" collapsed="false">
      <c r="A36" s="0" t="n">
        <v>16</v>
      </c>
      <c r="B36" s="0" t="n">
        <v>100.02</v>
      </c>
      <c r="C36" s="0" t="n">
        <v>3.08</v>
      </c>
      <c r="D36" s="0" t="n">
        <v>-1244.15893293821</v>
      </c>
      <c r="E36" s="0" t="n">
        <v>324747.096999923</v>
      </c>
      <c r="F36" s="0" t="n">
        <v>29132.8097463177</v>
      </c>
      <c r="G36" s="0" t="n">
        <v>55.515475620367</v>
      </c>
      <c r="I36" s="0" t="n">
        <v>-1298.90046834295</v>
      </c>
      <c r="J36" s="0" t="n">
        <v>328240.958217776</v>
      </c>
      <c r="K36" s="0" t="n">
        <v>32580.4493825924</v>
      </c>
      <c r="M36" s="0" t="n">
        <f aca="false">A36*C36</f>
        <v>49.28</v>
      </c>
      <c r="N36" s="0" t="n">
        <f aca="false">G36</f>
        <v>55.515475620367</v>
      </c>
      <c r="O36" s="0" t="n">
        <f aca="false">N36+M36</f>
        <v>104.795475620367</v>
      </c>
    </row>
    <row r="37" customFormat="false" ht="12" hidden="false" customHeight="false" outlineLevel="0" collapsed="false">
      <c r="A37" s="0" t="n">
        <v>16.5</v>
      </c>
      <c r="B37" s="0" t="n">
        <v>99.5</v>
      </c>
      <c r="C37" s="0" t="n">
        <v>3.1</v>
      </c>
      <c r="D37" s="0" t="n">
        <v>-1223.1944802008</v>
      </c>
      <c r="E37" s="0" t="n">
        <v>317823.300699119</v>
      </c>
      <c r="F37" s="0" t="n">
        <v>28762.3852601181</v>
      </c>
      <c r="G37" s="0" t="n">
        <v>38.997306216402</v>
      </c>
      <c r="I37" s="0" t="n">
        <v>-1261.31653819307</v>
      </c>
      <c r="J37" s="0" t="n">
        <v>321070.707093129</v>
      </c>
      <c r="K37" s="0" t="n">
        <v>31985.372806018</v>
      </c>
      <c r="M37" s="0" t="n">
        <f aca="false">A37*C37</f>
        <v>51.15</v>
      </c>
      <c r="N37" s="0" t="n">
        <f aca="false">G37</f>
        <v>38.997306216402</v>
      </c>
      <c r="O37" s="0" t="n">
        <f aca="false">N37+M37</f>
        <v>90.147306216402</v>
      </c>
    </row>
    <row r="38" customFormat="false" ht="12" hidden="false" customHeight="false" outlineLevel="0" collapsed="false">
      <c r="A38" s="0" t="n">
        <v>17</v>
      </c>
      <c r="B38" s="0" t="n">
        <v>100.2</v>
      </c>
      <c r="C38" s="0" t="n">
        <v>2.66</v>
      </c>
      <c r="D38" s="0" t="n">
        <v>-1240.47715949907</v>
      </c>
      <c r="E38" s="0" t="n">
        <v>323915.022983552</v>
      </c>
      <c r="F38" s="0" t="n">
        <v>29831.0589358533</v>
      </c>
      <c r="G38" s="0" t="n">
        <v>38.9975448109044</v>
      </c>
      <c r="I38" s="0" t="n">
        <v>-1279.11661652314</v>
      </c>
      <c r="J38" s="0" t="n">
        <v>326935.024442643</v>
      </c>
      <c r="K38" s="0" t="n">
        <v>32767.960394944</v>
      </c>
      <c r="M38" s="0" t="n">
        <f aca="false">A38*C38</f>
        <v>45.22</v>
      </c>
      <c r="N38" s="0" t="n">
        <f aca="false">G38</f>
        <v>38.9975448109044</v>
      </c>
      <c r="O38" s="0" t="n">
        <f aca="false">N38+M38</f>
        <v>84.2175448109044</v>
      </c>
    </row>
    <row r="39" customFormat="false" ht="12" hidden="false" customHeight="false" outlineLevel="0" collapsed="false">
      <c r="A39" s="0" t="n">
        <v>17.5</v>
      </c>
      <c r="B39" s="0" t="n">
        <v>100.56</v>
      </c>
      <c r="C39" s="0" t="n">
        <v>2.86</v>
      </c>
      <c r="D39" s="0" t="n">
        <v>-1264.35963098116</v>
      </c>
      <c r="E39" s="0" t="n">
        <v>328573.935715713</v>
      </c>
      <c r="F39" s="0" t="n">
        <v>29898.8659735844</v>
      </c>
      <c r="G39" s="0" t="n">
        <v>41.5551769037897</v>
      </c>
      <c r="I39" s="0" t="n">
        <v>-1305.46198378035</v>
      </c>
      <c r="J39" s="0" t="n">
        <v>331865.707873413</v>
      </c>
      <c r="K39" s="0" t="n">
        <v>33097.686766931</v>
      </c>
      <c r="M39" s="0" t="n">
        <f aca="false">A39*C39</f>
        <v>50.05</v>
      </c>
      <c r="N39" s="0" t="n">
        <f aca="false">G39</f>
        <v>41.5551769037897</v>
      </c>
      <c r="O39" s="0" t="n">
        <f aca="false">N39+M39</f>
        <v>91.6051769037897</v>
      </c>
    </row>
    <row r="40" customFormat="false" ht="12" hidden="false" customHeight="false" outlineLevel="0" collapsed="false">
      <c r="A40" s="0" t="n">
        <v>18</v>
      </c>
      <c r="B40" s="0" t="n">
        <v>100.66</v>
      </c>
      <c r="C40" s="0" t="n">
        <v>2.88</v>
      </c>
      <c r="D40" s="0" t="n">
        <v>-1236.74395530473</v>
      </c>
      <c r="E40" s="0" t="n">
        <v>320586.910275664</v>
      </c>
      <c r="F40" s="0" t="n">
        <v>29421.1732550911</v>
      </c>
      <c r="G40" s="0" t="n">
        <v>46.9373130523354</v>
      </c>
      <c r="I40" s="0" t="n">
        <v>-1282.97806907934</v>
      </c>
      <c r="J40" s="0" t="n">
        <v>323505.835673667</v>
      </c>
      <c r="K40" s="0" t="n">
        <v>32340.0986530941</v>
      </c>
      <c r="M40" s="0" t="n">
        <f aca="false">A40*C40</f>
        <v>51.84</v>
      </c>
      <c r="N40" s="0" t="n">
        <f aca="false">G40</f>
        <v>46.9373130523354</v>
      </c>
      <c r="O40" s="0" t="n">
        <f aca="false">N40+M40</f>
        <v>98.7773130523354</v>
      </c>
    </row>
    <row r="41" customFormat="false" ht="12" hidden="false" customHeight="false" outlineLevel="0" collapsed="false">
      <c r="A41" s="0" t="n">
        <v>18.5</v>
      </c>
      <c r="B41" s="0" t="n">
        <v>98.48</v>
      </c>
      <c r="C41" s="0" t="n">
        <v>2.66</v>
      </c>
      <c r="D41" s="0" t="n">
        <v>-1309.8931306122</v>
      </c>
      <c r="E41" s="0" t="n">
        <v>342239.013254384</v>
      </c>
      <c r="F41" s="0" t="n">
        <v>31675.2332768898</v>
      </c>
      <c r="G41" s="0" t="n">
        <v>42.0378088397025</v>
      </c>
      <c r="I41" s="0" t="n">
        <v>-1351.73812150028</v>
      </c>
      <c r="J41" s="0" t="n">
        <v>345296.996375721</v>
      </c>
      <c r="K41" s="0" t="n">
        <v>34648.6163982273</v>
      </c>
      <c r="M41" s="0" t="n">
        <f aca="false">A41*C41</f>
        <v>49.21</v>
      </c>
      <c r="N41" s="0" t="n">
        <f aca="false">G41</f>
        <v>42.0378088397025</v>
      </c>
      <c r="O41" s="0" t="n">
        <f aca="false">N41+M41</f>
        <v>91.2478088397025</v>
      </c>
    </row>
    <row r="42" customFormat="false" ht="12" hidden="false" customHeight="false" outlineLevel="0" collapsed="false">
      <c r="A42" s="0" t="n">
        <v>19</v>
      </c>
      <c r="B42" s="0" t="n">
        <v>99.5</v>
      </c>
      <c r="C42" s="0" t="n">
        <v>2.5</v>
      </c>
      <c r="D42" s="0" t="n">
        <v>-1260.2733800235</v>
      </c>
      <c r="E42" s="0" t="n">
        <v>326133.690753082</v>
      </c>
      <c r="F42" s="0" t="n">
        <v>30999.4088725489</v>
      </c>
      <c r="G42" s="0" t="n">
        <v>36.9713109398497</v>
      </c>
      <c r="I42" s="0" t="n">
        <v>-1296.46654263244</v>
      </c>
      <c r="J42" s="0" t="n">
        <v>328874.771172611</v>
      </c>
      <c r="K42" s="0" t="n">
        <v>33700.8892920781</v>
      </c>
      <c r="M42" s="0" t="n">
        <f aca="false">A42*C42</f>
        <v>47.5</v>
      </c>
      <c r="N42" s="0" t="n">
        <f aca="false">G42</f>
        <v>36.9713109398497</v>
      </c>
      <c r="O42" s="0" t="n">
        <f aca="false">N42+M42</f>
        <v>84.4713109398497</v>
      </c>
    </row>
    <row r="43" customFormat="false" ht="12" hidden="false" customHeight="false" outlineLevel="0" collapsed="false">
      <c r="A43" s="0" t="n">
        <v>19.5</v>
      </c>
      <c r="B43" s="0" t="n">
        <v>100.9</v>
      </c>
      <c r="C43" s="0" t="n">
        <v>2.34</v>
      </c>
      <c r="D43" s="0" t="n">
        <v>-1228.13156737455</v>
      </c>
      <c r="E43" s="0" t="n">
        <v>317720.517980735</v>
      </c>
      <c r="F43" s="0" t="n">
        <v>29582.6932207978</v>
      </c>
      <c r="G43" s="0" t="n">
        <v>35.165609244452</v>
      </c>
      <c r="I43" s="0" t="n">
        <v>-1262.79715449241</v>
      </c>
      <c r="J43" s="0" t="n">
        <v>320013.958696208</v>
      </c>
      <c r="K43" s="0" t="n">
        <v>31847.6339362704</v>
      </c>
      <c r="M43" s="0" t="n">
        <f aca="false">A43*C43</f>
        <v>45.63</v>
      </c>
      <c r="N43" s="0" t="n">
        <f aca="false">G43</f>
        <v>35.165609244452</v>
      </c>
      <c r="O43" s="0" t="n">
        <f aca="false">N43+M43</f>
        <v>80.795609244452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2001-11-15T14:53:29Z</dcterms:created>
  <dc:creator>David M Levinson</dc:creator>
  <dc:description/>
  <dc:language>en-AU</dc:language>
  <cp:lastModifiedBy>David Levinson</cp:lastModifiedBy>
  <dcterms:modified xsi:type="dcterms:W3CDTF">2001-11-16T04:37:23Z</dcterms:modified>
  <cp:revision>0</cp:revision>
  <dc:subject/>
  <dc:title/>
</cp:coreProperties>
</file>