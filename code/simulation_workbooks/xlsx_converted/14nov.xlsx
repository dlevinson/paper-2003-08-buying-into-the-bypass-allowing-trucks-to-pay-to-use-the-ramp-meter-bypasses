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ll" sheetId="1" state="visible" r:id="rId3"/>
    <sheet name="comp" sheetId="2" state="visible" r:id="rId4"/>
    <sheet name="resul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<sst xmlns="http://schemas.openxmlformats.org/spreadsheetml/2006/main" count="119" uniqueCount="77">
  <si>
    <t xml:space="preserve">free way conditions</t>
  </si>
  <si>
    <t xml:space="preserve">%vehicles</t>
  </si>
  <si>
    <t xml:space="preserve">total</t>
  </si>
  <si>
    <t xml:space="preserve">statistix</t>
  </si>
  <si>
    <t xml:space="preserve">max</t>
  </si>
  <si>
    <t xml:space="preserve">CS</t>
  </si>
  <si>
    <t xml:space="preserve">total d</t>
  </si>
  <si>
    <t xml:space="preserve">current</t>
  </si>
  <si>
    <t xml:space="preserve">freeway flow</t>
  </si>
  <si>
    <t xml:space="preserve">ramp meter rate</t>
  </si>
  <si>
    <t xml:space="preserve">by pass rate</t>
  </si>
  <si>
    <t xml:space="preserve">car</t>
  </si>
  <si>
    <t xml:space="preserve">toll veh</t>
  </si>
  <si>
    <t xml:space="preserve">q</t>
  </si>
  <si>
    <t xml:space="preserve">total u</t>
  </si>
  <si>
    <t xml:space="preserve">speed</t>
  </si>
  <si>
    <t xml:space="preserve">Q</t>
  </si>
  <si>
    <t xml:space="preserve">q1</t>
  </si>
  <si>
    <t xml:space="preserve">q2</t>
  </si>
  <si>
    <t xml:space="preserve">truck</t>
  </si>
  <si>
    <t xml:space="preserve">delay</t>
  </si>
  <si>
    <t xml:space="preserve">trucks-d</t>
  </si>
  <si>
    <t xml:space="preserve">density</t>
  </si>
  <si>
    <t xml:space="preserve">q1+q2</t>
  </si>
  <si>
    <t xml:space="preserve">vps</t>
  </si>
  <si>
    <t xml:space="preserve">total delay</t>
  </si>
  <si>
    <t xml:space="preserve">avg-q</t>
  </si>
  <si>
    <t xml:space="preserve"># lanes</t>
  </si>
  <si>
    <t xml:space="preserve">service time (max) (sec)</t>
  </si>
  <si>
    <t xml:space="preserve">(trucks)</t>
  </si>
  <si>
    <t xml:space="preserve">d-nothing</t>
  </si>
  <si>
    <t xml:space="preserve">Value of Time($)</t>
  </si>
  <si>
    <t xml:space="preserve">ramp-meter</t>
  </si>
  <si>
    <t xml:space="preserve">expected departure</t>
  </si>
  <si>
    <t xml:space="preserve">expected delay</t>
  </si>
  <si>
    <t xml:space="preserve">ramp</t>
  </si>
  <si>
    <t xml:space="preserve">Utility </t>
  </si>
  <si>
    <t xml:space="preserve">expected</t>
  </si>
  <si>
    <t xml:space="preserve">utilities</t>
  </si>
  <si>
    <t xml:space="preserve">trucks</t>
  </si>
  <si>
    <t xml:space="preserve">veh #</t>
  </si>
  <si>
    <t xml:space="preserve">avg-h</t>
  </si>
  <si>
    <t xml:space="preserve">rnd</t>
  </si>
  <si>
    <t xml:space="preserve">truck tag</t>
  </si>
  <si>
    <t xml:space="preserve">car tag</t>
  </si>
  <si>
    <t xml:space="preserve">Car</t>
  </si>
  <si>
    <t xml:space="preserve">toll</t>
  </si>
  <si>
    <t xml:space="preserve"> headway</t>
  </si>
  <si>
    <t xml:space="preserve">arrival time</t>
  </si>
  <si>
    <t xml:space="preserve">service time</t>
  </si>
  <si>
    <t xml:space="preserve">bypass</t>
  </si>
  <si>
    <t xml:space="preserve">queue#</t>
  </si>
  <si>
    <t xml:space="preserve">tolled</t>
  </si>
  <si>
    <t xml:space="preserve">untolled</t>
  </si>
  <si>
    <t xml:space="preserve">util diff</t>
  </si>
  <si>
    <t xml:space="preserve">prob</t>
  </si>
  <si>
    <t xml:space="preserve">rand</t>
  </si>
  <si>
    <t xml:space="preserve">choice</t>
  </si>
  <si>
    <t xml:space="preserve">departure</t>
  </si>
  <si>
    <t xml:space="preserve">actual q#</t>
  </si>
  <si>
    <t xml:space="preserve">toll trucks</t>
  </si>
  <si>
    <t xml:space="preserve">q2 (vps)</t>
  </si>
  <si>
    <t xml:space="preserve"> util (veh)</t>
  </si>
  <si>
    <t xml:space="preserve">total (delay)</t>
  </si>
  <si>
    <t xml:space="preserve">delay(cars)</t>
  </si>
  <si>
    <t xml:space="preserve">delay(trucks)</t>
  </si>
  <si>
    <t xml:space="preserve">CS (toll)</t>
  </si>
  <si>
    <t xml:space="preserve">CS (dn)</t>
  </si>
  <si>
    <t xml:space="preserve">delta(CS)</t>
  </si>
  <si>
    <t xml:space="preserve">tolled units</t>
  </si>
  <si>
    <t xml:space="preserve">utility</t>
  </si>
  <si>
    <t xml:space="preserve">delay </t>
  </si>
  <si>
    <t xml:space="preserve">truckes-d</t>
  </si>
  <si>
    <t xml:space="preserve">truckers-d</t>
  </si>
  <si>
    <t xml:space="preserve">iter</t>
  </si>
  <si>
    <t xml:space="preserve">mean</t>
  </si>
  <si>
    <t xml:space="preserve">stdev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</si>
</sst>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)"/>
    <numFmt numFmtId="166" formatCode="0.000000000000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cols>
    <col collapsed="false" customWidth="true" hidden="false" outlineLevel="0" max="6" min="5" style="0" width="11.32"/>
    <col collapsed="false" customWidth="true" hidden="false" outlineLevel="0" max="11" min="11" style="0" width="11.15"/>
    <col collapsed="false" customWidth="true" hidden="false" outlineLevel="0" max="12" min="12" style="0" width="11.82"/>
    <col collapsed="false" customWidth="true" hidden="false" outlineLevel="0" max="31" min="31" style="0" width="10.15"/>
    <col collapsed="false" customWidth="true" hidden="false" outlineLevel="0" max="32" min="32" style="0" width="9.99"/>
    <col collapsed="false" customWidth="true" hidden="false" outlineLevel="0" max="33" min="33" style="0" width="11.99"/>
    <col collapsed="false" customWidth="true" hidden="false" outlineLevel="0" max="38" min="38" style="0" width="18.15"/>
    <col collapsed="false" customWidth="true" hidden="false" outlineLevel="0" max="42" min="42" style="0" width="10.99"/>
  </cols>
  <sheetData>
    <row r="1" customFormat="false" ht="12" hidden="false" customHeight="false" outlineLevel="0" collapsed="false">
      <c r="A1" s="0" t="s">
        <v>0</v>
      </c>
      <c r="G1" s="1"/>
      <c r="H1" s="1"/>
      <c r="L1" s="0" t="s">
        <v>1</v>
      </c>
      <c r="N1" s="0" t="s">
        <v>2</v>
      </c>
      <c r="Q1" s="0" t="s">
        <v>3</v>
      </c>
      <c r="T1" s="0" t="s">
        <v>4</v>
      </c>
      <c r="W1" s="0" t="s">
        <v>5</v>
      </c>
      <c r="X1" s="0" t="n">
        <f aca="false">SUM(AS10:AS1009)</f>
        <v>3.60948032968099</v>
      </c>
      <c r="AN1" s="0" t="s">
        <v>6</v>
      </c>
      <c r="AO1" s="0" t="n">
        <f aca="false">SUM(AL10:AL1009)</f>
        <v>147854.679305261</v>
      </c>
    </row>
    <row r="2" customFormat="false" ht="12" hidden="false" customHeight="false" outlineLevel="0" collapsed="false">
      <c r="B2" s="0" t="s">
        <v>4</v>
      </c>
      <c r="C2" s="0" t="s">
        <v>7</v>
      </c>
      <c r="E2" s="0" t="s">
        <v>8</v>
      </c>
      <c r="G2" s="2" t="s">
        <v>9</v>
      </c>
      <c r="H2" s="2"/>
      <c r="I2" s="0" t="s">
        <v>10</v>
      </c>
      <c r="L2" s="0" t="s">
        <v>11</v>
      </c>
      <c r="M2" s="0" t="n">
        <v>0.9</v>
      </c>
      <c r="N2" s="0" t="n">
        <f aca="false">SUM(E10:E1009)</f>
        <v>906</v>
      </c>
      <c r="Q2" s="0" t="s">
        <v>12</v>
      </c>
      <c r="R2" s="0" t="n">
        <f aca="false">SUM(AB9:AB1009)</f>
        <v>1</v>
      </c>
      <c r="T2" s="0" t="s">
        <v>13</v>
      </c>
      <c r="U2" s="0" t="n">
        <f aca="false">MAX(AA10:AA1009)</f>
        <v>67</v>
      </c>
      <c r="AN2" s="0" t="s">
        <v>14</v>
      </c>
      <c r="AO2" s="0" t="n">
        <f aca="false">SUM(AO10:AO1009)</f>
        <v>-591.05944864617</v>
      </c>
    </row>
    <row r="3" customFormat="false" ht="12" hidden="false" customHeight="false" outlineLevel="0" collapsed="false">
      <c r="A3" s="0" t="s">
        <v>15</v>
      </c>
      <c r="B3" s="0" t="n">
        <v>65</v>
      </c>
      <c r="C3" s="0" t="n">
        <v>25</v>
      </c>
      <c r="E3" s="0" t="s">
        <v>16</v>
      </c>
      <c r="G3" s="1" t="s">
        <v>17</v>
      </c>
      <c r="H3" s="1"/>
      <c r="I3" s="0" t="s">
        <v>18</v>
      </c>
      <c r="L3" s="0" t="s">
        <v>19</v>
      </c>
      <c r="M3" s="0" t="n">
        <f aca="false">1-M2</f>
        <v>0.1</v>
      </c>
      <c r="N3" s="0" t="n">
        <f aca="false">SUM(D10:D1009)</f>
        <v>94</v>
      </c>
      <c r="Q3" s="0" t="s">
        <v>14</v>
      </c>
      <c r="R3" s="0" t="n">
        <f aca="false">SUM(AD10:AD1009)</f>
        <v>-587.609382815455</v>
      </c>
      <c r="T3" s="0" t="s">
        <v>20</v>
      </c>
      <c r="U3" s="0" t="n">
        <f aca="false">MAX(AE10:AE1009)</f>
        <v>672.096790023004</v>
      </c>
      <c r="AN3" s="0" t="s">
        <v>21</v>
      </c>
      <c r="AO3" s="0" t="n">
        <f aca="false">SUM(AP10:AP1009)</f>
        <v>17585.236108813</v>
      </c>
    </row>
    <row r="4" customFormat="false" ht="12" hidden="false" customHeight="false" outlineLevel="0" collapsed="false">
      <c r="A4" s="0" t="s">
        <v>22</v>
      </c>
      <c r="B4" s="0" t="n">
        <v>120</v>
      </c>
      <c r="C4" s="0" t="n">
        <v>75</v>
      </c>
      <c r="G4" s="1"/>
      <c r="H4" s="1"/>
      <c r="I4" s="0" t="s">
        <v>23</v>
      </c>
      <c r="J4" s="0" t="n">
        <f aca="false">1/10</f>
        <v>0.1</v>
      </c>
      <c r="K4" s="0" t="s">
        <v>24</v>
      </c>
      <c r="N4" s="0" t="n">
        <f aca="false">SUM(N2:N3)</f>
        <v>1000</v>
      </c>
      <c r="Q4" s="0" t="s">
        <v>25</v>
      </c>
      <c r="R4" s="0" t="n">
        <f aca="false">SUM(AE10:AE1009)</f>
        <v>147177.208779751</v>
      </c>
      <c r="T4" s="0" t="s">
        <v>26</v>
      </c>
      <c r="U4" s="0" t="n">
        <f aca="false">AVERAGE(AA10:AA1009)</f>
        <v>14.232</v>
      </c>
    </row>
    <row r="5" customFormat="false" ht="12" hidden="false" customHeight="false" outlineLevel="0" collapsed="false">
      <c r="A5" s="0" t="s">
        <v>27</v>
      </c>
      <c r="B5" s="0" t="n">
        <v>3</v>
      </c>
      <c r="G5" s="0" t="s">
        <v>28</v>
      </c>
      <c r="J5" s="0" t="n">
        <v>10</v>
      </c>
      <c r="Q5" s="0" t="s">
        <v>29</v>
      </c>
      <c r="R5" s="0" t="n">
        <f aca="false">SUM(AG10:AG1009)</f>
        <v>16907.7655833028</v>
      </c>
    </row>
    <row r="6" customFormat="false" ht="12" hidden="false" customHeight="false" outlineLevel="0" collapsed="false">
      <c r="G6" s="1"/>
      <c r="H6" s="1"/>
      <c r="AJ6" s="0" t="s">
        <v>30</v>
      </c>
    </row>
    <row r="7" customFormat="false" ht="12" hidden="false" customHeight="false" outlineLevel="0" collapsed="false">
      <c r="G7" s="0" t="s">
        <v>31</v>
      </c>
      <c r="L7" s="0" t="s">
        <v>32</v>
      </c>
      <c r="M7" s="0" t="s">
        <v>33</v>
      </c>
      <c r="O7" s="0" t="s">
        <v>34</v>
      </c>
      <c r="Q7" s="0" t="s">
        <v>35</v>
      </c>
      <c r="S7" s="0" t="s">
        <v>36</v>
      </c>
      <c r="AK7" s="0" t="s">
        <v>37</v>
      </c>
      <c r="AL7" s="0" t="s">
        <v>37</v>
      </c>
      <c r="AM7" s="0" t="s">
        <v>38</v>
      </c>
      <c r="AO7" s="0" t="s">
        <v>36</v>
      </c>
      <c r="AP7" s="0" t="s">
        <v>39</v>
      </c>
    </row>
    <row r="8" customFormat="false" ht="12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42</v>
      </c>
      <c r="G8" s="0" t="s">
        <v>45</v>
      </c>
      <c r="H8" s="0" t="s">
        <v>19</v>
      </c>
      <c r="I8" s="0" t="s">
        <v>46</v>
      </c>
      <c r="J8" s="0" t="s">
        <v>47</v>
      </c>
      <c r="K8" s="0" t="s">
        <v>48</v>
      </c>
      <c r="L8" s="0" t="s">
        <v>49</v>
      </c>
      <c r="M8" s="0" t="s">
        <v>35</v>
      </c>
      <c r="N8" s="0" t="s">
        <v>50</v>
      </c>
      <c r="O8" s="0" t="s">
        <v>35</v>
      </c>
      <c r="P8" s="0" t="s">
        <v>50</v>
      </c>
      <c r="Q8" s="0" t="s">
        <v>51</v>
      </c>
      <c r="R8" s="0" t="s">
        <v>11</v>
      </c>
      <c r="S8" s="0" t="s">
        <v>52</v>
      </c>
      <c r="T8" s="0" t="s">
        <v>53</v>
      </c>
      <c r="U8" s="0" t="s">
        <v>54</v>
      </c>
      <c r="V8" s="0" t="s">
        <v>55</v>
      </c>
      <c r="W8" s="0" t="s">
        <v>56</v>
      </c>
      <c r="X8" s="0" t="s">
        <v>57</v>
      </c>
      <c r="Y8" s="0" t="s">
        <v>58</v>
      </c>
      <c r="Z8" s="0" t="s">
        <v>20</v>
      </c>
      <c r="AA8" s="0" t="s">
        <v>59</v>
      </c>
      <c r="AB8" s="0" t="s">
        <v>60</v>
      </c>
      <c r="AC8" s="0" t="s">
        <v>61</v>
      </c>
      <c r="AD8" s="0" t="s">
        <v>62</v>
      </c>
      <c r="AE8" s="0" t="s">
        <v>63</v>
      </c>
      <c r="AF8" s="0" t="s">
        <v>64</v>
      </c>
      <c r="AG8" s="0" t="s">
        <v>65</v>
      </c>
      <c r="AH8" s="0" t="s">
        <v>66</v>
      </c>
      <c r="AJ8" s="0" t="s">
        <v>49</v>
      </c>
      <c r="AK8" s="0" t="s">
        <v>58</v>
      </c>
      <c r="AL8" s="0" t="s">
        <v>20</v>
      </c>
      <c r="AM8" s="0" t="s">
        <v>11</v>
      </c>
      <c r="AN8" s="0" t="s">
        <v>19</v>
      </c>
      <c r="AO8" s="0" t="s">
        <v>62</v>
      </c>
      <c r="AP8" s="0" t="s">
        <v>20</v>
      </c>
      <c r="AR8" s="0" t="s">
        <v>67</v>
      </c>
      <c r="AS8" s="0" t="s">
        <v>68</v>
      </c>
    </row>
    <row r="9" customFormat="false" ht="12" hidden="false" customHeight="false" outlineLevel="0" collapsed="false">
      <c r="A9" s="0" t="n">
        <v>0</v>
      </c>
      <c r="K9" s="0" t="n">
        <v>0</v>
      </c>
      <c r="L9" s="0" t="n">
        <v>0</v>
      </c>
      <c r="M9" s="0" t="n">
        <v>0</v>
      </c>
      <c r="O9" s="0" t="n">
        <v>0</v>
      </c>
      <c r="Q9" s="0" t="n">
        <v>0</v>
      </c>
      <c r="AA9" s="0" t="n">
        <v>0</v>
      </c>
      <c r="AB9" s="0" t="n">
        <v>0</v>
      </c>
      <c r="AC9" s="0" t="n">
        <v>0</v>
      </c>
    </row>
    <row r="10" customFormat="false" ht="12" hidden="false" customHeight="false" outlineLevel="0" collapsed="false">
      <c r="A10" s="3" t="n">
        <v>1</v>
      </c>
      <c r="B10" s="3" t="n">
        <f aca="false">IF(A10&lt;$N$4/3,0.1,(IF(A10&gt;2*$N$4/3,0.05,0.12)))</f>
        <v>0.1</v>
      </c>
      <c r="C10" s="4" t="n">
        <f aca="true">RAND()</f>
        <v>0.495817521340687</v>
      </c>
      <c r="D10" s="0" t="n">
        <f aca="false">IF((C10&gt;$M$2),1,0)</f>
        <v>0</v>
      </c>
      <c r="E10" s="0" t="n">
        <f aca="false">1-D10</f>
        <v>1</v>
      </c>
      <c r="F10" s="0" t="n">
        <f aca="true">RAND()</f>
        <v>0.808825586938335</v>
      </c>
      <c r="G10" s="0" t="n">
        <f aca="false">7.75+F10*10</f>
        <v>15.8382558693834</v>
      </c>
      <c r="H10" s="0" t="n">
        <f aca="false">LOGINV(F10,2.64,1.139)</f>
        <v>37.9019987337572</v>
      </c>
      <c r="I10" s="0" t="n">
        <v>19.5</v>
      </c>
      <c r="J10" s="4" t="n">
        <v>0</v>
      </c>
      <c r="K10" s="4" t="n">
        <v>0</v>
      </c>
      <c r="L10" s="4" t="n">
        <f aca="false">1/$J$4</f>
        <v>10</v>
      </c>
      <c r="M10" s="4" t="n">
        <f aca="false">L10</f>
        <v>10</v>
      </c>
      <c r="N10" s="4" t="n">
        <f aca="false">K10</f>
        <v>0</v>
      </c>
      <c r="O10" s="4" t="n">
        <f aca="false">M10-K10</f>
        <v>10</v>
      </c>
      <c r="P10" s="4" t="n">
        <f aca="false">N10-K10</f>
        <v>0</v>
      </c>
      <c r="Q10" s="4" t="n">
        <v>0</v>
      </c>
      <c r="R10" s="0" t="n">
        <f aca="false">-G10*(O10/3600)</f>
        <v>-0.0439951551927315</v>
      </c>
      <c r="S10" s="0" t="n">
        <f aca="false">-1*I10-(H10*(P10/3600))</f>
        <v>-19.5</v>
      </c>
      <c r="T10" s="0" t="n">
        <f aca="false">-H10*(O10/3600)</f>
        <v>-0.105283329815992</v>
      </c>
      <c r="U10" s="0" t="n">
        <f aca="false">T10-S10</f>
        <v>19.394716670184</v>
      </c>
      <c r="V10" s="0" t="n">
        <f aca="false">1/(1+EXP(U10))</f>
        <v>3.77556168736207E-009</v>
      </c>
      <c r="W10" s="0" t="n">
        <f aca="true">RAND()</f>
        <v>0.33876423460161</v>
      </c>
      <c r="X10" s="0" t="n">
        <f aca="false">IF(W10&lt;V10,1,0)</f>
        <v>0</v>
      </c>
      <c r="Y10" s="0" t="n">
        <f aca="false">(M10*(1-X10)+N10*X10)*D10+M10*E10</f>
        <v>10</v>
      </c>
      <c r="Z10" s="0" t="n">
        <f aca="false">((1-X10)*O10+X10*P10)*D10+E10*O10</f>
        <v>10</v>
      </c>
      <c r="AA10" s="0" t="n">
        <f aca="false">IF(D10*X10&gt;0,AA9,Q10)</f>
        <v>0</v>
      </c>
      <c r="AB10" s="0" t="n">
        <f aca="false">(X10*D10)</f>
        <v>0</v>
      </c>
      <c r="AC10" s="0" t="n">
        <v>0</v>
      </c>
      <c r="AD10" s="0" t="n">
        <f aca="false">R10*E10+D10*(X10*S10+(1-X10)*T10)</f>
        <v>-0.0439951551927315</v>
      </c>
      <c r="AE10" s="0" t="n">
        <f aca="false">Z10</f>
        <v>10</v>
      </c>
      <c r="AF10" s="0" t="n">
        <f aca="false">E10*O10</f>
        <v>10</v>
      </c>
      <c r="AG10" s="0" t="n">
        <f aca="false">((1-X10)*O10+X10*P10)*D10</f>
        <v>0</v>
      </c>
      <c r="AH10" s="0" t="n">
        <f aca="false">D10*(LN(EXP(S10)+EXP(T10)))</f>
        <v>-0</v>
      </c>
      <c r="AJ10" s="0" t="n">
        <f aca="false">$J$5</f>
        <v>10</v>
      </c>
      <c r="AK10" s="0" t="n">
        <f aca="false">AJ10</f>
        <v>10</v>
      </c>
      <c r="AL10" s="0" t="n">
        <f aca="false">AJ10</f>
        <v>10</v>
      </c>
      <c r="AM10" s="0" t="n">
        <f aca="false">-G10*AL10/3600</f>
        <v>-0.0439951551927315</v>
      </c>
      <c r="AN10" s="0" t="n">
        <f aca="false">-H10*AL10/3600</f>
        <v>-0.105283329815992</v>
      </c>
      <c r="AO10" s="0" t="n">
        <f aca="false">AM10*E10+AN10*D10</f>
        <v>-0.0439951551927315</v>
      </c>
      <c r="AP10" s="0" t="n">
        <f aca="false">AL10*D10</f>
        <v>0</v>
      </c>
      <c r="AR10" s="0" t="n">
        <f aca="false">AN10*D10</f>
        <v>-0</v>
      </c>
      <c r="AS10" s="0" t="n">
        <f aca="false">AH10-AR10</f>
        <v>0</v>
      </c>
    </row>
    <row r="11" customFormat="false" ht="12" hidden="false" customHeight="false" outlineLevel="0" collapsed="false">
      <c r="A11" s="3" t="n">
        <f aca="false">A10+1</f>
        <v>2</v>
      </c>
      <c r="B11" s="3" t="n">
        <f aca="false">IF(A11&lt;$N$4/3,0.1,(IF(A11&gt;2*$N$4/3,0.05,0.12)))</f>
        <v>0.1</v>
      </c>
      <c r="C11" s="4" t="n">
        <f aca="true">RAND()</f>
        <v>0.869256722187199</v>
      </c>
      <c r="D11" s="0" t="n">
        <f aca="false">IF((C11&gt;$M$2),1,0)</f>
        <v>0</v>
      </c>
      <c r="E11" s="0" t="n">
        <f aca="false">1-D11</f>
        <v>1</v>
      </c>
      <c r="F11" s="0" t="n">
        <f aca="true">RAND()</f>
        <v>0.039183568122009</v>
      </c>
      <c r="G11" s="0" t="n">
        <f aca="false">7.75+F11*10</f>
        <v>8.14183568122009</v>
      </c>
      <c r="H11" s="0" t="n">
        <f aca="false">LOGINV(F11,2.64,1.139)</f>
        <v>1.8871858142628</v>
      </c>
      <c r="I11" s="0" t="n">
        <v>19.5</v>
      </c>
      <c r="J11" s="4" t="n">
        <f aca="true">-LN(RAND())/B11</f>
        <v>0.901609191091319</v>
      </c>
      <c r="K11" s="4" t="n">
        <f aca="false">K10+J11</f>
        <v>0.901609191091319</v>
      </c>
      <c r="L11" s="4" t="n">
        <f aca="false">(1/$J$4)*(1+AB10)</f>
        <v>10</v>
      </c>
      <c r="M11" s="4" t="n">
        <f aca="false">L11+MAX(K11,Y$10:Y10)</f>
        <v>20</v>
      </c>
      <c r="N11" s="4" t="n">
        <f aca="false">K11</f>
        <v>0.901609191091319</v>
      </c>
      <c r="O11" s="4" t="n">
        <f aca="false">M11-K11</f>
        <v>19.0983908089087</v>
      </c>
      <c r="P11" s="4" t="n">
        <f aca="false">N11-K11</f>
        <v>0</v>
      </c>
      <c r="Q11" s="4" t="n">
        <f aca="false">A11-MATCH(K11,$M$9:M10,1)</f>
        <v>1</v>
      </c>
      <c r="R11" s="0" t="n">
        <f aca="false">-G11*(O11/3600)</f>
        <v>-0.0431933221505163</v>
      </c>
      <c r="S11" s="0" t="n">
        <f aca="false">-1*I11-(H11*(P11/3600))</f>
        <v>-19.5</v>
      </c>
      <c r="T11" s="0" t="n">
        <f aca="false">-H11*(O11/3600)</f>
        <v>-0.0100117256138387</v>
      </c>
      <c r="U11" s="0" t="n">
        <f aca="false">T11-S11</f>
        <v>19.4899882743862</v>
      </c>
      <c r="V11" s="0" t="n">
        <f aca="false">1/(1+EXP(U11))</f>
        <v>3.43246121457485E-009</v>
      </c>
      <c r="W11" s="0" t="n">
        <f aca="true">RAND()</f>
        <v>0.718510281770356</v>
      </c>
      <c r="X11" s="0" t="n">
        <f aca="false">IF(W11&lt;V11,1,0)</f>
        <v>0</v>
      </c>
      <c r="Y11" s="0" t="n">
        <f aca="false">(M11*(1-X11)+N11*X11)*D11+M11*E11</f>
        <v>20</v>
      </c>
      <c r="Z11" s="0" t="n">
        <f aca="false">((1-X11)*O11+X11*P11)*D11+E11*O11</f>
        <v>19.0983908089087</v>
      </c>
      <c r="AA11" s="0" t="n">
        <f aca="false">IF(D11*X11&gt;0,AA10,Q11)</f>
        <v>1</v>
      </c>
      <c r="AB11" s="0" t="n">
        <f aca="false">(X11*D11)</f>
        <v>0</v>
      </c>
      <c r="AC11" s="0" t="n">
        <f aca="false">SUM(AB$10:AB10)/K11</f>
        <v>0</v>
      </c>
      <c r="AD11" s="0" t="n">
        <f aca="false">R11*E11+D11*(X11*S11+(1-X11)*T11)</f>
        <v>-0.0431933221505163</v>
      </c>
      <c r="AE11" s="0" t="n">
        <f aca="false">Z11</f>
        <v>19.0983908089087</v>
      </c>
      <c r="AF11" s="0" t="n">
        <f aca="false">E11*O11</f>
        <v>19.0983908089087</v>
      </c>
      <c r="AG11" s="0" t="n">
        <f aca="false">((1-X11)*O11+X11*P11)*D11</f>
        <v>0</v>
      </c>
      <c r="AH11" s="0" t="n">
        <f aca="false">D11*(LN(EXP(S11)+EXP(T11)))</f>
        <v>-0</v>
      </c>
      <c r="AJ11" s="0" t="n">
        <f aca="false">$J$5</f>
        <v>10</v>
      </c>
      <c r="AK11" s="4" t="n">
        <f aca="false">AJ11+MAX(K11,AK$10:AK10)</f>
        <v>20</v>
      </c>
      <c r="AL11" s="5" t="n">
        <f aca="false">AK11-K11</f>
        <v>19.0983908089087</v>
      </c>
      <c r="AM11" s="0" t="n">
        <f aca="false">-G11*AL11/3600</f>
        <v>-0.0431933221505163</v>
      </c>
      <c r="AN11" s="0" t="n">
        <f aca="false">-H11*AL11/3600</f>
        <v>-0.0100117256138387</v>
      </c>
      <c r="AO11" s="0" t="n">
        <f aca="false">AM11*E11+AN11*D11</f>
        <v>-0.0431933221505163</v>
      </c>
      <c r="AP11" s="0" t="n">
        <f aca="false">AL11*D11</f>
        <v>0</v>
      </c>
      <c r="AR11" s="0" t="n">
        <f aca="false">AN11*D11</f>
        <v>-0</v>
      </c>
      <c r="AS11" s="0" t="n">
        <f aca="false">AH11-AR11</f>
        <v>0</v>
      </c>
    </row>
    <row r="12" customFormat="false" ht="12" hidden="false" customHeight="false" outlineLevel="0" collapsed="false">
      <c r="A12" s="3" t="n">
        <f aca="false">A11+1</f>
        <v>3</v>
      </c>
      <c r="B12" s="3" t="n">
        <f aca="false">IF(A12&lt;$N$4/3,0.1,(IF(A12&gt;2*$N$4/3,0.05,0.12)))</f>
        <v>0.1</v>
      </c>
      <c r="C12" s="4" t="n">
        <f aca="true">RAND()</f>
        <v>0.718320586080932</v>
      </c>
      <c r="D12" s="0" t="n">
        <f aca="false">IF((C12&gt;$M$2),1,0)</f>
        <v>0</v>
      </c>
      <c r="E12" s="0" t="n">
        <f aca="false">1-D12</f>
        <v>1</v>
      </c>
      <c r="F12" s="0" t="n">
        <f aca="true">RAND()</f>
        <v>0.933708262966863</v>
      </c>
      <c r="G12" s="0" t="n">
        <f aca="false">7.75+F12*10</f>
        <v>17.0870826296686</v>
      </c>
      <c r="H12" s="0" t="n">
        <f aca="false">LOGINV(F12,2.64,1.139)</f>
        <v>77.7148748152015</v>
      </c>
      <c r="I12" s="0" t="n">
        <v>19.5</v>
      </c>
      <c r="J12" s="4" t="n">
        <f aca="true">-LN(RAND())/B12</f>
        <v>5.75507670980907</v>
      </c>
      <c r="K12" s="4" t="n">
        <f aca="false">K11+J12</f>
        <v>6.65668590090039</v>
      </c>
      <c r="L12" s="4" t="n">
        <f aca="false">(1/$J$4)*(1+AB11)</f>
        <v>10</v>
      </c>
      <c r="M12" s="4" t="n">
        <f aca="false">L12+MAX(K12,Y$10:Y11)</f>
        <v>30</v>
      </c>
      <c r="N12" s="4" t="n">
        <f aca="false">K12</f>
        <v>6.65668590090039</v>
      </c>
      <c r="O12" s="4" t="n">
        <f aca="false">M12-K12</f>
        <v>23.3433140990996</v>
      </c>
      <c r="P12" s="4" t="n">
        <f aca="false">N12-K12</f>
        <v>0</v>
      </c>
      <c r="Q12" s="4" t="n">
        <f aca="false">A12-MATCH(K12,$M$9:M11,1)</f>
        <v>2</v>
      </c>
      <c r="R12" s="0" t="n">
        <f aca="false">-G12*(O12/3600)</f>
        <v>-0.110796982461562</v>
      </c>
      <c r="S12" s="0" t="n">
        <f aca="false">-1*I12-(H12*(P12/3600))</f>
        <v>-19.5</v>
      </c>
      <c r="T12" s="0" t="n">
        <f aca="false">-H12*(O12/3600)</f>
        <v>-0.503922981384293</v>
      </c>
      <c r="U12" s="0" t="n">
        <f aca="false">T12-S12</f>
        <v>18.9960770186157</v>
      </c>
      <c r="V12" s="0" t="n">
        <f aca="false">1/(1+EXP(U12))</f>
        <v>5.62481924136602E-009</v>
      </c>
      <c r="W12" s="0" t="n">
        <f aca="true">RAND()</f>
        <v>0.974096326853048</v>
      </c>
      <c r="X12" s="0" t="n">
        <f aca="false">IF(W12&lt;V12,1,0)</f>
        <v>0</v>
      </c>
      <c r="Y12" s="0" t="n">
        <f aca="false">(M12*(1-X12)+N12*X12)*D12+M12*E12</f>
        <v>30</v>
      </c>
      <c r="Z12" s="0" t="n">
        <f aca="false">((1-X12)*O12+X12*P12)*D12+E12*O12</f>
        <v>23.3433140990996</v>
      </c>
      <c r="AA12" s="0" t="n">
        <f aca="false">IF(D12*X12&gt;0,AA11,Q12)</f>
        <v>2</v>
      </c>
      <c r="AB12" s="0" t="n">
        <f aca="false">(X12*D12)</f>
        <v>0</v>
      </c>
      <c r="AC12" s="0" t="n">
        <f aca="false">SUM(AB$10:AB11)/K12</f>
        <v>0</v>
      </c>
      <c r="AD12" s="0" t="n">
        <f aca="false">R12*E12+D12*(X12*S12+(1-X12)*T12)</f>
        <v>-0.110796982461562</v>
      </c>
      <c r="AE12" s="0" t="n">
        <f aca="false">Z12</f>
        <v>23.3433140990996</v>
      </c>
      <c r="AF12" s="0" t="n">
        <f aca="false">E12*O12</f>
        <v>23.3433140990996</v>
      </c>
      <c r="AG12" s="0" t="n">
        <f aca="false">((1-X12)*O12+X12*P12)*D12</f>
        <v>0</v>
      </c>
      <c r="AH12" s="0" t="n">
        <f aca="false">D12*(LN(EXP(S12)+EXP(T12)))</f>
        <v>-0</v>
      </c>
      <c r="AJ12" s="0" t="n">
        <f aca="false">$J$5</f>
        <v>10</v>
      </c>
      <c r="AK12" s="4" t="n">
        <f aca="false">AJ12+MAX(K12,AK$10:AK11)</f>
        <v>30</v>
      </c>
      <c r="AL12" s="5" t="n">
        <f aca="false">AK12-K12</f>
        <v>23.3433140990996</v>
      </c>
      <c r="AM12" s="0" t="n">
        <f aca="false">-G12*AL12/3600</f>
        <v>-0.110796982461562</v>
      </c>
      <c r="AN12" s="0" t="n">
        <f aca="false">-H12*AL12/3600</f>
        <v>-0.503922981384293</v>
      </c>
      <c r="AO12" s="0" t="n">
        <f aca="false">AM12*E12+AN12*D12</f>
        <v>-0.110796982461562</v>
      </c>
      <c r="AP12" s="0" t="n">
        <f aca="false">AL12*D12</f>
        <v>0</v>
      </c>
      <c r="AR12" s="0" t="n">
        <f aca="false">AN12*D12</f>
        <v>-0</v>
      </c>
      <c r="AS12" s="0" t="n">
        <f aca="false">AH12-AR12</f>
        <v>0</v>
      </c>
    </row>
    <row r="13" customFormat="false" ht="12" hidden="false" customHeight="false" outlineLevel="0" collapsed="false">
      <c r="A13" s="3" t="n">
        <f aca="false">A12+1</f>
        <v>4</v>
      </c>
      <c r="B13" s="3" t="n">
        <f aca="false">IF(A13&lt;$N$4/3,0.1,(IF(A13&gt;2*$N$4/3,0.05,0.12)))</f>
        <v>0.1</v>
      </c>
      <c r="C13" s="4" t="n">
        <f aca="true">RAND()</f>
        <v>0.99927925191944</v>
      </c>
      <c r="D13" s="0" t="n">
        <f aca="false">IF((C13&gt;$M$2),1,0)</f>
        <v>1</v>
      </c>
      <c r="E13" s="0" t="n">
        <f aca="false">1-D13</f>
        <v>0</v>
      </c>
      <c r="F13" s="0" t="n">
        <f aca="true">RAND()</f>
        <v>0.951329613705517</v>
      </c>
      <c r="G13" s="0" t="n">
        <f aca="false">7.75+F13*10</f>
        <v>17.2632961370552</v>
      </c>
      <c r="H13" s="0" t="n">
        <f aca="false">LOGINV(F13,2.64,1.139)</f>
        <v>92.6038293551123</v>
      </c>
      <c r="I13" s="0" t="n">
        <v>19.5</v>
      </c>
      <c r="J13" s="4" t="n">
        <f aca="true">-LN(RAND())/B13</f>
        <v>27.7663752190699</v>
      </c>
      <c r="K13" s="4" t="n">
        <f aca="false">K12+J13</f>
        <v>34.4230611199703</v>
      </c>
      <c r="L13" s="4" t="n">
        <f aca="false">(1/$J$4)*(1+AB12)</f>
        <v>10</v>
      </c>
      <c r="M13" s="4" t="n">
        <f aca="false">L13+MAX(K13,Y$10:Y12)</f>
        <v>44.4230611199703</v>
      </c>
      <c r="N13" s="4" t="n">
        <f aca="false">K13</f>
        <v>34.4230611199703</v>
      </c>
      <c r="O13" s="4" t="n">
        <f aca="false">M13-K13</f>
        <v>10</v>
      </c>
      <c r="P13" s="4" t="n">
        <f aca="false">N13-K13</f>
        <v>0</v>
      </c>
      <c r="Q13" s="4" t="n">
        <f aca="false">A13-MATCH(K13,$M$9:M12,1)</f>
        <v>0</v>
      </c>
      <c r="R13" s="0" t="n">
        <f aca="false">-G13*(O13/3600)</f>
        <v>-0.0479536003807088</v>
      </c>
      <c r="S13" s="0" t="n">
        <f aca="false">-1*I13-(H13*(P13/3600))</f>
        <v>-19.5</v>
      </c>
      <c r="T13" s="0" t="n">
        <f aca="false">-H13*(O13/3600)</f>
        <v>-0.257232859319757</v>
      </c>
      <c r="U13" s="0" t="n">
        <f aca="false">T13-S13</f>
        <v>19.2427671406802</v>
      </c>
      <c r="V13" s="0" t="n">
        <f aca="false">1/(1+EXP(U13))</f>
        <v>4.39513695355923E-009</v>
      </c>
      <c r="W13" s="0" t="n">
        <f aca="true">RAND()</f>
        <v>0.583919212126737</v>
      </c>
      <c r="X13" s="0" t="n">
        <f aca="false">IF(W13&lt;V13,1,0)</f>
        <v>0</v>
      </c>
      <c r="Y13" s="0" t="n">
        <f aca="false">(M13*(1-X13)+N13*X13)*D13+M13*E13</f>
        <v>44.4230611199703</v>
      </c>
      <c r="Z13" s="0" t="n">
        <f aca="false">((1-X13)*O13+X13*P13)*D13+E13*O13</f>
        <v>10</v>
      </c>
      <c r="AA13" s="0" t="n">
        <f aca="false">IF(D13*X13&gt;0,AA12,Q13)</f>
        <v>0</v>
      </c>
      <c r="AB13" s="0" t="n">
        <f aca="false">(X13*D13)</f>
        <v>0</v>
      </c>
      <c r="AC13" s="0" t="n">
        <f aca="false">SUM(AB$10:AB12)/K13</f>
        <v>0</v>
      </c>
      <c r="AD13" s="0" t="n">
        <f aca="false">R13*E13+D13*(X13*S13+(1-X13)*T13)</f>
        <v>-0.257232859319757</v>
      </c>
      <c r="AE13" s="0" t="n">
        <f aca="false">Z13</f>
        <v>10</v>
      </c>
      <c r="AF13" s="0" t="n">
        <f aca="false">E13*O13</f>
        <v>0</v>
      </c>
      <c r="AG13" s="0" t="n">
        <f aca="false">((1-X13)*O13+X13*P13)*D13</f>
        <v>10</v>
      </c>
      <c r="AH13" s="0" t="n">
        <f aca="false">D13*(LN(EXP(S13)+EXP(T13)))</f>
        <v>-0.25723285492462</v>
      </c>
      <c r="AJ13" s="0" t="n">
        <f aca="false">$J$5</f>
        <v>10</v>
      </c>
      <c r="AK13" s="4" t="n">
        <f aca="false">AJ13+MAX(K13,AK$10:AK12)</f>
        <v>44.4230611199703</v>
      </c>
      <c r="AL13" s="5" t="n">
        <f aca="false">AK13-K13</f>
        <v>10</v>
      </c>
      <c r="AM13" s="0" t="n">
        <f aca="false">-G13*AL13/3600</f>
        <v>-0.0479536003807088</v>
      </c>
      <c r="AN13" s="0" t="n">
        <f aca="false">-H13*AL13/3600</f>
        <v>-0.257232859319757</v>
      </c>
      <c r="AO13" s="0" t="n">
        <f aca="false">AM13*E13+AN13*D13</f>
        <v>-0.257232859319757</v>
      </c>
      <c r="AP13" s="0" t="n">
        <f aca="false">AL13*D13</f>
        <v>10</v>
      </c>
      <c r="AR13" s="0" t="n">
        <f aca="false">AN13*D13</f>
        <v>-0.257232859319757</v>
      </c>
      <c r="AS13" s="0" t="n">
        <f aca="false">AH13-AR13</f>
        <v>4.39513692107596E-009</v>
      </c>
    </row>
    <row r="14" customFormat="false" ht="12" hidden="false" customHeight="false" outlineLevel="0" collapsed="false">
      <c r="A14" s="3" t="n">
        <f aca="false">A13+1</f>
        <v>5</v>
      </c>
      <c r="B14" s="3" t="n">
        <f aca="false">IF(A14&lt;$N$4/3,0.1,(IF(A14&gt;2*$N$4/3,0.05,0.12)))</f>
        <v>0.1</v>
      </c>
      <c r="C14" s="4" t="n">
        <f aca="true">RAND()</f>
        <v>0.0133591415841198</v>
      </c>
      <c r="D14" s="0" t="n">
        <f aca="false">IF((C14&gt;$M$2),1,0)</f>
        <v>0</v>
      </c>
      <c r="E14" s="0" t="n">
        <f aca="false">1-D14</f>
        <v>1</v>
      </c>
      <c r="F14" s="0" t="n">
        <f aca="true">RAND()</f>
        <v>0.374069917923781</v>
      </c>
      <c r="G14" s="0" t="n">
        <f aca="false">7.75+F14*10</f>
        <v>11.4906991792378</v>
      </c>
      <c r="H14" s="0" t="n">
        <f aca="false">LOGINV(F14,2.64,1.139)</f>
        <v>9.72086838231276</v>
      </c>
      <c r="I14" s="0" t="n">
        <v>19.5</v>
      </c>
      <c r="J14" s="4" t="n">
        <f aca="true">-LN(RAND())/B14</f>
        <v>22.881385700768</v>
      </c>
      <c r="K14" s="4" t="n">
        <f aca="false">K13+J14</f>
        <v>57.3044468207383</v>
      </c>
      <c r="L14" s="4" t="n">
        <f aca="false">(1/$J$4)*(1+AB13)</f>
        <v>10</v>
      </c>
      <c r="M14" s="4" t="n">
        <f aca="false">L14+MAX(K14,Y$10:Y13)</f>
        <v>67.3044468207383</v>
      </c>
      <c r="N14" s="4" t="n">
        <f aca="false">K14</f>
        <v>57.3044468207383</v>
      </c>
      <c r="O14" s="4" t="n">
        <f aca="false">M14-K14</f>
        <v>9.99999999999999</v>
      </c>
      <c r="P14" s="4" t="n">
        <f aca="false">N14-K14</f>
        <v>0</v>
      </c>
      <c r="Q14" s="4" t="n">
        <f aca="false">A14-MATCH(K14,$M$9:M13,1)</f>
        <v>0</v>
      </c>
      <c r="R14" s="0" t="n">
        <f aca="false">-G14*(O14/3600)</f>
        <v>-0.0319186088312161</v>
      </c>
      <c r="S14" s="0" t="n">
        <f aca="false">-1*I14-(H14*(P14/3600))</f>
        <v>-19.5</v>
      </c>
      <c r="T14" s="0" t="n">
        <f aca="false">-H14*(O14/3600)</f>
        <v>-0.027002412173091</v>
      </c>
      <c r="U14" s="0" t="n">
        <f aca="false">T14-S14</f>
        <v>19.4729975878269</v>
      </c>
      <c r="V14" s="0" t="n">
        <f aca="false">1/(1+EXP(U14))</f>
        <v>3.49127935228747E-009</v>
      </c>
      <c r="W14" s="0" t="n">
        <f aca="true">RAND()</f>
        <v>0.9595651124483</v>
      </c>
      <c r="X14" s="0" t="n">
        <f aca="false">IF(W14&lt;V14,1,0)</f>
        <v>0</v>
      </c>
      <c r="Y14" s="0" t="n">
        <f aca="false">(M14*(1-X14)+N14*X14)*D14+M14*E14</f>
        <v>67.3044468207383</v>
      </c>
      <c r="Z14" s="0" t="n">
        <f aca="false">((1-X14)*O14+X14*P14)*D14+E14*O14</f>
        <v>9.99999999999999</v>
      </c>
      <c r="AA14" s="0" t="n">
        <f aca="false">IF(D14*X14&gt;0,AA13,Q14)</f>
        <v>0</v>
      </c>
      <c r="AB14" s="0" t="n">
        <f aca="false">(X14*D14)</f>
        <v>0</v>
      </c>
      <c r="AC14" s="0" t="n">
        <f aca="false">SUM(AB$10:AB13)/K14</f>
        <v>0</v>
      </c>
      <c r="AD14" s="0" t="n">
        <f aca="false">R14*E14+D14*(X14*S14+(1-X14)*T14)</f>
        <v>-0.0319186088312161</v>
      </c>
      <c r="AE14" s="0" t="n">
        <f aca="false">Z14</f>
        <v>9.99999999999999</v>
      </c>
      <c r="AF14" s="0" t="n">
        <f aca="false">E14*O14</f>
        <v>9.99999999999999</v>
      </c>
      <c r="AG14" s="0" t="n">
        <f aca="false">((1-X14)*O14+X14*P14)*D14</f>
        <v>0</v>
      </c>
      <c r="AH14" s="0" t="n">
        <f aca="false">D14*(LN(EXP(S14)+EXP(T14)))</f>
        <v>-0</v>
      </c>
      <c r="AJ14" s="0" t="n">
        <f aca="false">$J$5</f>
        <v>10</v>
      </c>
      <c r="AK14" s="4" t="n">
        <f aca="false">AJ14+MAX(K14,AK$10:AK13)</f>
        <v>67.3044468207383</v>
      </c>
      <c r="AL14" s="5" t="n">
        <f aca="false">AK14-K14</f>
        <v>9.99999999999999</v>
      </c>
      <c r="AM14" s="0" t="n">
        <f aca="false">-G14*AL14/3600</f>
        <v>-0.0319186088312161</v>
      </c>
      <c r="AN14" s="0" t="n">
        <f aca="false">-H14*AL14/3600</f>
        <v>-0.027002412173091</v>
      </c>
      <c r="AO14" s="0" t="n">
        <f aca="false">AM14*E14+AN14*D14</f>
        <v>-0.0319186088312161</v>
      </c>
      <c r="AP14" s="0" t="n">
        <f aca="false">AL14*D14</f>
        <v>0</v>
      </c>
      <c r="AR14" s="0" t="n">
        <f aca="false">AN14*D14</f>
        <v>-0</v>
      </c>
      <c r="AS14" s="0" t="n">
        <f aca="false">AH14-AR14</f>
        <v>0</v>
      </c>
    </row>
    <row r="15" customFormat="false" ht="12" hidden="false" customHeight="false" outlineLevel="0" collapsed="false">
      <c r="A15" s="3" t="n">
        <f aca="false">A14+1</f>
        <v>6</v>
      </c>
      <c r="B15" s="3" t="n">
        <f aca="false">IF(A15&lt;$N$4/3,0.1,(IF(A15&gt;2*$N$4/3,0.05,0.12)))</f>
        <v>0.1</v>
      </c>
      <c r="C15" s="4" t="n">
        <f aca="true">RAND()</f>
        <v>0.79328428085671</v>
      </c>
      <c r="D15" s="0" t="n">
        <f aca="false">IF((C15&gt;$M$2),1,0)</f>
        <v>0</v>
      </c>
      <c r="E15" s="0" t="n">
        <f aca="false">1-D15</f>
        <v>1</v>
      </c>
      <c r="F15" s="0" t="n">
        <f aca="true">RAND()</f>
        <v>0.453139295126401</v>
      </c>
      <c r="G15" s="0" t="n">
        <f aca="false">7.75+F15*10</f>
        <v>12.281392951264</v>
      </c>
      <c r="H15" s="0" t="n">
        <f aca="false">LOGINV(F15,2.64,1.139)</f>
        <v>12.2545979580433</v>
      </c>
      <c r="I15" s="0" t="n">
        <v>19.5</v>
      </c>
      <c r="J15" s="4" t="n">
        <f aca="true">-LN(RAND())/B15</f>
        <v>6.86169887133052</v>
      </c>
      <c r="K15" s="4" t="n">
        <f aca="false">K14+J15</f>
        <v>64.1661456920688</v>
      </c>
      <c r="L15" s="4" t="n">
        <f aca="false">(1/$J$4)*(1+AB14)</f>
        <v>10</v>
      </c>
      <c r="M15" s="4" t="n">
        <f aca="false">L15+MAX(K15,Y$10:Y14)</f>
        <v>77.3044468207383</v>
      </c>
      <c r="N15" s="4" t="n">
        <f aca="false">K15</f>
        <v>64.1661456920688</v>
      </c>
      <c r="O15" s="4" t="n">
        <f aca="false">M15-K15</f>
        <v>13.1383011286695</v>
      </c>
      <c r="P15" s="4" t="n">
        <f aca="false">N15-K15</f>
        <v>0</v>
      </c>
      <c r="Q15" s="4" t="n">
        <f aca="false">A15-MATCH(K15,$M$9:M14,1)</f>
        <v>1</v>
      </c>
      <c r="R15" s="0" t="n">
        <f aca="false">-G15*(O15/3600)</f>
        <v>-0.0448212885758959</v>
      </c>
      <c r="S15" s="0" t="n">
        <f aca="false">-1*I15-(H15*(P15/3600))</f>
        <v>-19.5</v>
      </c>
      <c r="T15" s="0" t="n">
        <f aca="false">-H15*(O15/3600)</f>
        <v>-0.0447234994954309</v>
      </c>
      <c r="U15" s="0" t="n">
        <f aca="false">T15-S15</f>
        <v>19.4552765005046</v>
      </c>
      <c r="V15" s="0" t="n">
        <f aca="false">1/(1+EXP(U15))</f>
        <v>3.5537000662722E-009</v>
      </c>
      <c r="W15" s="0" t="n">
        <f aca="true">RAND()</f>
        <v>0.97129414238785</v>
      </c>
      <c r="X15" s="0" t="n">
        <f aca="false">IF(W15&lt;V15,1,0)</f>
        <v>0</v>
      </c>
      <c r="Y15" s="0" t="n">
        <f aca="false">(M15*(1-X15)+N15*X15)*D15+M15*E15</f>
        <v>77.3044468207383</v>
      </c>
      <c r="Z15" s="0" t="n">
        <f aca="false">((1-X15)*O15+X15*P15)*D15+E15*O15</f>
        <v>13.1383011286695</v>
      </c>
      <c r="AA15" s="0" t="n">
        <f aca="false">IF(D15*X15&gt;0,AA14,Q15)</f>
        <v>1</v>
      </c>
      <c r="AB15" s="0" t="n">
        <f aca="false">(X15*D15)</f>
        <v>0</v>
      </c>
      <c r="AC15" s="0" t="n">
        <f aca="false">SUM(AB$10:AB14)/K15</f>
        <v>0</v>
      </c>
      <c r="AD15" s="0" t="n">
        <f aca="false">R15*E15+D15*(X15*S15+(1-X15)*T15)</f>
        <v>-0.0448212885758959</v>
      </c>
      <c r="AE15" s="0" t="n">
        <f aca="false">Z15</f>
        <v>13.1383011286695</v>
      </c>
      <c r="AF15" s="0" t="n">
        <f aca="false">E15*O15</f>
        <v>13.1383011286695</v>
      </c>
      <c r="AG15" s="0" t="n">
        <f aca="false">((1-X15)*O15+X15*P15)*D15</f>
        <v>0</v>
      </c>
      <c r="AH15" s="0" t="n">
        <f aca="false">D15*(LN(EXP(S15)+EXP(T15)))</f>
        <v>-0</v>
      </c>
      <c r="AJ15" s="0" t="n">
        <f aca="false">$J$5</f>
        <v>10</v>
      </c>
      <c r="AK15" s="4" t="n">
        <f aca="false">AJ15+MAX(K15,AK$10:AK14)</f>
        <v>77.3044468207383</v>
      </c>
      <c r="AL15" s="5" t="n">
        <f aca="false">AK15-K15</f>
        <v>13.1383011286695</v>
      </c>
      <c r="AM15" s="0" t="n">
        <f aca="false">-G15*AL15/3600</f>
        <v>-0.0448212885758959</v>
      </c>
      <c r="AN15" s="0" t="n">
        <f aca="false">-H15*AL15/3600</f>
        <v>-0.044723499495431</v>
      </c>
      <c r="AO15" s="0" t="n">
        <f aca="false">AM15*E15+AN15*D15</f>
        <v>-0.0448212885758959</v>
      </c>
      <c r="AP15" s="0" t="n">
        <f aca="false">AL15*D15</f>
        <v>0</v>
      </c>
      <c r="AR15" s="0" t="n">
        <f aca="false">AN15*D15</f>
        <v>-0</v>
      </c>
      <c r="AS15" s="0" t="n">
        <f aca="false">AH15-AR15</f>
        <v>0</v>
      </c>
    </row>
    <row r="16" customFormat="false" ht="12" hidden="false" customHeight="false" outlineLevel="0" collapsed="false">
      <c r="A16" s="3" t="n">
        <f aca="false">A15+1</f>
        <v>7</v>
      </c>
      <c r="B16" s="3" t="n">
        <f aca="false">IF(A16&lt;$N$4/3,0.1,(IF(A16&gt;2*$N$4/3,0.05,0.12)))</f>
        <v>0.1</v>
      </c>
      <c r="C16" s="4" t="n">
        <f aca="true">RAND()</f>
        <v>0.508258760953755</v>
      </c>
      <c r="D16" s="0" t="n">
        <f aca="false">IF((C16&gt;$M$2),1,0)</f>
        <v>0</v>
      </c>
      <c r="E16" s="0" t="n">
        <f aca="false">1-D16</f>
        <v>1</v>
      </c>
      <c r="F16" s="0" t="n">
        <f aca="true">RAND()</f>
        <v>0.144307757342918</v>
      </c>
      <c r="G16" s="0" t="n">
        <f aca="false">7.75+F16*10</f>
        <v>9.19307757342918</v>
      </c>
      <c r="H16" s="0" t="n">
        <f aca="false">LOGINV(F16,2.64,1.139)</f>
        <v>4.18427959733546</v>
      </c>
      <c r="I16" s="0" t="n">
        <v>19.5</v>
      </c>
      <c r="J16" s="4" t="n">
        <f aca="true">-LN(RAND())/B16</f>
        <v>26.5722650088893</v>
      </c>
      <c r="K16" s="4" t="n">
        <f aca="false">K15+J16</f>
        <v>90.7384107009581</v>
      </c>
      <c r="L16" s="4" t="n">
        <f aca="false">(1/$J$4)*(1+AB15)</f>
        <v>10</v>
      </c>
      <c r="M16" s="4" t="n">
        <f aca="false">L16+MAX(K16,Y$10:Y15)</f>
        <v>100.738410700958</v>
      </c>
      <c r="N16" s="4" t="n">
        <f aca="false">K16</f>
        <v>90.7384107009581</v>
      </c>
      <c r="O16" s="4" t="n">
        <f aca="false">M16-K16</f>
        <v>10</v>
      </c>
      <c r="P16" s="4" t="n">
        <f aca="false">N16-K16</f>
        <v>0</v>
      </c>
      <c r="Q16" s="4" t="n">
        <f aca="false">A16-MATCH(K16,$M$9:M15,1)</f>
        <v>0</v>
      </c>
      <c r="R16" s="0" t="n">
        <f aca="false">-G16*(O16/3600)</f>
        <v>-0.0255363265928588</v>
      </c>
      <c r="S16" s="0" t="n">
        <f aca="false">-1*I16-(H16*(P16/3600))</f>
        <v>-19.5</v>
      </c>
      <c r="T16" s="0" t="n">
        <f aca="false">-H16*(O16/3600)</f>
        <v>-0.0116229988814874</v>
      </c>
      <c r="U16" s="0" t="n">
        <f aca="false">T16-S16</f>
        <v>19.4883770011185</v>
      </c>
      <c r="V16" s="0" t="n">
        <f aca="false">1/(1+EXP(U16))</f>
        <v>3.43799630562773E-009</v>
      </c>
      <c r="W16" s="0" t="n">
        <f aca="true">RAND()</f>
        <v>0.555024605448202</v>
      </c>
      <c r="X16" s="0" t="n">
        <f aca="false">IF(W16&lt;V16,1,0)</f>
        <v>0</v>
      </c>
      <c r="Y16" s="0" t="n">
        <f aca="false">(M16*(1-X16)+N16*X16)*D16+M16*E16</f>
        <v>100.738410700958</v>
      </c>
      <c r="Z16" s="0" t="n">
        <f aca="false">((1-X16)*O16+X16*P16)*D16+E16*O16</f>
        <v>10</v>
      </c>
      <c r="AA16" s="0" t="n">
        <f aca="false">IF(D16*X16&gt;0,AA15,Q16)</f>
        <v>0</v>
      </c>
      <c r="AB16" s="0" t="n">
        <f aca="false">(X16*D16)</f>
        <v>0</v>
      </c>
      <c r="AC16" s="0" t="n">
        <f aca="false">SUM(AB$10:AB15)/K16</f>
        <v>0</v>
      </c>
      <c r="AD16" s="0" t="n">
        <f aca="false">R16*E16+D16*(X16*S16+(1-X16)*T16)</f>
        <v>-0.0255363265928588</v>
      </c>
      <c r="AE16" s="0" t="n">
        <f aca="false">Z16</f>
        <v>10</v>
      </c>
      <c r="AF16" s="0" t="n">
        <f aca="false">E16*O16</f>
        <v>10</v>
      </c>
      <c r="AG16" s="0" t="n">
        <f aca="false">((1-X16)*O16+X16*P16)*D16</f>
        <v>0</v>
      </c>
      <c r="AH16" s="0" t="n">
        <f aca="false">D16*(LN(EXP(S16)+EXP(T16)))</f>
        <v>-0</v>
      </c>
      <c r="AJ16" s="0" t="n">
        <f aca="false">$J$5</f>
        <v>10</v>
      </c>
      <c r="AK16" s="4" t="n">
        <f aca="false">AJ16+MAX(K16,AK$10:AK15)</f>
        <v>100.738410700958</v>
      </c>
      <c r="AL16" s="5" t="n">
        <f aca="false">AK16-K16</f>
        <v>10</v>
      </c>
      <c r="AM16" s="0" t="n">
        <f aca="false">-G16*AL16/3600</f>
        <v>-0.0255363265928588</v>
      </c>
      <c r="AN16" s="0" t="n">
        <f aca="false">-H16*AL16/3600</f>
        <v>-0.0116229988814874</v>
      </c>
      <c r="AO16" s="0" t="n">
        <f aca="false">AM16*E16+AN16*D16</f>
        <v>-0.0255363265928588</v>
      </c>
      <c r="AP16" s="0" t="n">
        <f aca="false">AL16*D16</f>
        <v>0</v>
      </c>
      <c r="AR16" s="0" t="n">
        <f aca="false">AN16*D16</f>
        <v>-0</v>
      </c>
      <c r="AS16" s="0" t="n">
        <f aca="false">AH16-AR16</f>
        <v>0</v>
      </c>
    </row>
    <row r="17" customFormat="false" ht="12" hidden="false" customHeight="false" outlineLevel="0" collapsed="false">
      <c r="A17" s="3" t="n">
        <f aca="false">A16+1</f>
        <v>8</v>
      </c>
      <c r="B17" s="3" t="n">
        <f aca="false">IF(A17&lt;$N$4/3,0.1,(IF(A17&gt;2*$N$4/3,0.05,0.12)))</f>
        <v>0.1</v>
      </c>
      <c r="C17" s="4" t="n">
        <f aca="true">RAND()</f>
        <v>0.0757020919203193</v>
      </c>
      <c r="D17" s="0" t="n">
        <f aca="false">IF((C17&gt;$M$2),1,0)</f>
        <v>0</v>
      </c>
      <c r="E17" s="0" t="n">
        <f aca="false">1-D17</f>
        <v>1</v>
      </c>
      <c r="F17" s="0" t="n">
        <f aca="true">RAND()</f>
        <v>0.724345840123093</v>
      </c>
      <c r="G17" s="0" t="n">
        <f aca="false">7.75+F17*10</f>
        <v>14.9934584012309</v>
      </c>
      <c r="H17" s="0" t="n">
        <f aca="false">LOGINV(F17,2.64,1.139)</f>
        <v>27.6221253105086</v>
      </c>
      <c r="I17" s="0" t="n">
        <v>19.5</v>
      </c>
      <c r="J17" s="4" t="n">
        <f aca="true">-LN(RAND())/B17</f>
        <v>3.91519915150824</v>
      </c>
      <c r="K17" s="4" t="n">
        <f aca="false">K16+J17</f>
        <v>94.6536098524664</v>
      </c>
      <c r="L17" s="4" t="n">
        <f aca="false">(1/$J$4)*(1+AB16)</f>
        <v>10</v>
      </c>
      <c r="M17" s="4" t="n">
        <f aca="false">L17+MAX(K17,Y$10:Y16)</f>
        <v>110.738410700958</v>
      </c>
      <c r="N17" s="4" t="n">
        <f aca="false">K17</f>
        <v>94.6536098524664</v>
      </c>
      <c r="O17" s="4" t="n">
        <f aca="false">M17-K17</f>
        <v>16.0848008484918</v>
      </c>
      <c r="P17" s="4" t="n">
        <f aca="false">N17-K17</f>
        <v>0</v>
      </c>
      <c r="Q17" s="4" t="n">
        <f aca="false">A17-MATCH(K17,$M$9:M16,1)</f>
        <v>1</v>
      </c>
      <c r="R17" s="0" t="n">
        <f aca="false">-G17*(O17/3600)</f>
        <v>-0.0669907756705403</v>
      </c>
      <c r="S17" s="0" t="n">
        <f aca="false">-1*I17-(H17*(P17/3600))</f>
        <v>-19.5</v>
      </c>
      <c r="T17" s="0" t="n">
        <f aca="false">-H17*(O17/3600)</f>
        <v>-0.123415662397671</v>
      </c>
      <c r="U17" s="0" t="n">
        <f aca="false">T17-S17</f>
        <v>19.3765843376023</v>
      </c>
      <c r="V17" s="0" t="n">
        <f aca="false">1/(1+EXP(U17))</f>
        <v>3.84464586313291E-009</v>
      </c>
      <c r="W17" s="0" t="n">
        <f aca="true">RAND()</f>
        <v>0.888780477461159</v>
      </c>
      <c r="X17" s="0" t="n">
        <f aca="false">IF(W17&lt;V17,1,0)</f>
        <v>0</v>
      </c>
      <c r="Y17" s="0" t="n">
        <f aca="false">(M17*(1-X17)+N17*X17)*D17+M17*E17</f>
        <v>110.738410700958</v>
      </c>
      <c r="Z17" s="0" t="n">
        <f aca="false">((1-X17)*O17+X17*P17)*D17+E17*O17</f>
        <v>16.0848008484918</v>
      </c>
      <c r="AA17" s="0" t="n">
        <f aca="false">IF(D17*X17&gt;0,AA16,Q17)</f>
        <v>1</v>
      </c>
      <c r="AB17" s="0" t="n">
        <f aca="false">(X17*D17)</f>
        <v>0</v>
      </c>
      <c r="AC17" s="0" t="n">
        <f aca="false">SUM(AB$10:AB16)/K17</f>
        <v>0</v>
      </c>
      <c r="AD17" s="0" t="n">
        <f aca="false">R17*E17+D17*(X17*S17+(1-X17)*T17)</f>
        <v>-0.0669907756705403</v>
      </c>
      <c r="AE17" s="0" t="n">
        <f aca="false">Z17</f>
        <v>16.0848008484918</v>
      </c>
      <c r="AF17" s="0" t="n">
        <f aca="false">E17*O17</f>
        <v>16.0848008484918</v>
      </c>
      <c r="AG17" s="0" t="n">
        <f aca="false">((1-X17)*O17+X17*P17)*D17</f>
        <v>0</v>
      </c>
      <c r="AH17" s="0" t="n">
        <f aca="false">D17*(LN(EXP(S17)+EXP(T17)))</f>
        <v>-0</v>
      </c>
      <c r="AJ17" s="0" t="n">
        <f aca="false">$J$5</f>
        <v>10</v>
      </c>
      <c r="AK17" s="4" t="n">
        <f aca="false">AJ17+MAX(K17,AK$10:AK16)</f>
        <v>110.738410700958</v>
      </c>
      <c r="AL17" s="5" t="n">
        <f aca="false">AK17-K17</f>
        <v>16.0848008484918</v>
      </c>
      <c r="AM17" s="0" t="n">
        <f aca="false">-G17*AL17/3600</f>
        <v>-0.0669907756705403</v>
      </c>
      <c r="AN17" s="0" t="n">
        <f aca="false">-H17*AL17/3600</f>
        <v>-0.123415662397671</v>
      </c>
      <c r="AO17" s="0" t="n">
        <f aca="false">AM17*E17+AN17*D17</f>
        <v>-0.0669907756705403</v>
      </c>
      <c r="AP17" s="0" t="n">
        <f aca="false">AL17*D17</f>
        <v>0</v>
      </c>
      <c r="AR17" s="0" t="n">
        <f aca="false">AN17*D17</f>
        <v>-0</v>
      </c>
      <c r="AS17" s="0" t="n">
        <f aca="false">AH17-AR17</f>
        <v>0</v>
      </c>
    </row>
    <row r="18" customFormat="false" ht="12" hidden="false" customHeight="false" outlineLevel="0" collapsed="false">
      <c r="A18" s="3" t="n">
        <f aca="false">A17+1</f>
        <v>9</v>
      </c>
      <c r="B18" s="3" t="n">
        <f aca="false">IF(A18&lt;$N$4/3,0.1,(IF(A18&gt;2*$N$4/3,0.05,0.12)))</f>
        <v>0.1</v>
      </c>
      <c r="C18" s="4" t="n">
        <f aca="true">RAND()</f>
        <v>0.783488289473673</v>
      </c>
      <c r="D18" s="0" t="n">
        <f aca="false">IF((C18&gt;$M$2),1,0)</f>
        <v>0</v>
      </c>
      <c r="E18" s="0" t="n">
        <f aca="false">1-D18</f>
        <v>1</v>
      </c>
      <c r="F18" s="0" t="n">
        <f aca="true">RAND()</f>
        <v>0.467723192469437</v>
      </c>
      <c r="G18" s="0" t="n">
        <f aca="false">7.75+F18*10</f>
        <v>12.4272319246944</v>
      </c>
      <c r="H18" s="0" t="n">
        <f aca="false">LOGINV(F18,2.64,1.139)</f>
        <v>12.778286307296</v>
      </c>
      <c r="I18" s="0" t="n">
        <v>19.5</v>
      </c>
      <c r="J18" s="4" t="n">
        <f aca="true">-LN(RAND())/B18</f>
        <v>7.74270283009835</v>
      </c>
      <c r="K18" s="4" t="n">
        <f aca="false">K17+J18</f>
        <v>102.396312682565</v>
      </c>
      <c r="L18" s="4" t="n">
        <f aca="false">(1/$J$4)*(1+AB17)</f>
        <v>10</v>
      </c>
      <c r="M18" s="4" t="n">
        <f aca="false">L18+MAX(K18,Y$10:Y17)</f>
        <v>120.738410700958</v>
      </c>
      <c r="N18" s="4" t="n">
        <f aca="false">K18</f>
        <v>102.396312682565</v>
      </c>
      <c r="O18" s="4" t="n">
        <f aca="false">M18-K18</f>
        <v>18.3420980183934</v>
      </c>
      <c r="P18" s="4" t="n">
        <f aca="false">N18-K18</f>
        <v>0</v>
      </c>
      <c r="Q18" s="4" t="n">
        <f aca="false">A18-MATCH(K18,$M$9:M17,1)</f>
        <v>1</v>
      </c>
      <c r="R18" s="0" t="n">
        <f aca="false">-G18*(O18/3600)</f>
        <v>-0.0633170850166811</v>
      </c>
      <c r="S18" s="0" t="n">
        <f aca="false">-1*I18-(H18*(P18/3600))</f>
        <v>-19.5</v>
      </c>
      <c r="T18" s="0" t="n">
        <f aca="false">-H18*(O18/3600)</f>
        <v>-0.0651057166543103</v>
      </c>
      <c r="U18" s="0" t="n">
        <f aca="false">T18-S18</f>
        <v>19.4348942833457</v>
      </c>
      <c r="V18" s="0" t="n">
        <f aca="false">1/(1+EXP(U18))</f>
        <v>3.62687555857909E-009</v>
      </c>
      <c r="W18" s="0" t="n">
        <f aca="true">RAND()</f>
        <v>0.447613299191632</v>
      </c>
      <c r="X18" s="0" t="n">
        <f aca="false">IF(W18&lt;V18,1,0)</f>
        <v>0</v>
      </c>
      <c r="Y18" s="0" t="n">
        <f aca="false">(M18*(1-X18)+N18*X18)*D18+M18*E18</f>
        <v>120.738410700958</v>
      </c>
      <c r="Z18" s="0" t="n">
        <f aca="false">((1-X18)*O18+X18*P18)*D18+E18*O18</f>
        <v>18.3420980183934</v>
      </c>
      <c r="AA18" s="0" t="n">
        <f aca="false">IF(D18*X18&gt;0,AA17,Q18)</f>
        <v>1</v>
      </c>
      <c r="AB18" s="0" t="n">
        <f aca="false">(X18*D18)</f>
        <v>0</v>
      </c>
      <c r="AC18" s="0" t="n">
        <f aca="false">SUM(AB$10:AB17)/K18</f>
        <v>0</v>
      </c>
      <c r="AD18" s="0" t="n">
        <f aca="false">R18*E18+D18*(X18*S18+(1-X18)*T18)</f>
        <v>-0.0633170850166811</v>
      </c>
      <c r="AE18" s="0" t="n">
        <f aca="false">Z18</f>
        <v>18.3420980183934</v>
      </c>
      <c r="AF18" s="0" t="n">
        <f aca="false">E18*O18</f>
        <v>18.3420980183934</v>
      </c>
      <c r="AG18" s="0" t="n">
        <f aca="false">((1-X18)*O18+X18*P18)*D18</f>
        <v>0</v>
      </c>
      <c r="AH18" s="0" t="n">
        <f aca="false">D18*(LN(EXP(S18)+EXP(T18)))</f>
        <v>-0</v>
      </c>
      <c r="AJ18" s="0" t="n">
        <f aca="false">$J$5</f>
        <v>10</v>
      </c>
      <c r="AK18" s="4" t="n">
        <f aca="false">AJ18+MAX(K18,AK$10:AK17)</f>
        <v>120.738410700958</v>
      </c>
      <c r="AL18" s="5" t="n">
        <f aca="false">AK18-K18</f>
        <v>18.3420980183934</v>
      </c>
      <c r="AM18" s="0" t="n">
        <f aca="false">-G18*AL18/3600</f>
        <v>-0.0633170850166811</v>
      </c>
      <c r="AN18" s="0" t="n">
        <f aca="false">-H18*AL18/3600</f>
        <v>-0.0651057166543103</v>
      </c>
      <c r="AO18" s="0" t="n">
        <f aca="false">AM18*E18+AN18*D18</f>
        <v>-0.0633170850166811</v>
      </c>
      <c r="AP18" s="0" t="n">
        <f aca="false">AL18*D18</f>
        <v>0</v>
      </c>
      <c r="AR18" s="0" t="n">
        <f aca="false">AN18*D18</f>
        <v>-0</v>
      </c>
      <c r="AS18" s="0" t="n">
        <f aca="false">AH18-AR18</f>
        <v>0</v>
      </c>
    </row>
    <row r="19" customFormat="false" ht="12" hidden="false" customHeight="false" outlineLevel="0" collapsed="false">
      <c r="A19" s="3" t="n">
        <f aca="false">A18+1</f>
        <v>10</v>
      </c>
      <c r="B19" s="3" t="n">
        <f aca="false">IF(A19&lt;$N$4/3,0.1,(IF(A19&gt;2*$N$4/3,0.05,0.12)))</f>
        <v>0.1</v>
      </c>
      <c r="C19" s="4" t="n">
        <f aca="true">RAND()</f>
        <v>0.332374806510255</v>
      </c>
      <c r="D19" s="0" t="n">
        <f aca="false">IF((C19&gt;$M$2),1,0)</f>
        <v>0</v>
      </c>
      <c r="E19" s="0" t="n">
        <f aca="false">1-D19</f>
        <v>1</v>
      </c>
      <c r="F19" s="0" t="n">
        <f aca="true">RAND()</f>
        <v>0.972175972477518</v>
      </c>
      <c r="G19" s="0" t="n">
        <f aca="false">7.75+F19*10</f>
        <v>17.4717597247752</v>
      </c>
      <c r="H19" s="0" t="n">
        <f aca="false">LOGINV(F19,2.64,1.139)</f>
        <v>123.939972224294</v>
      </c>
      <c r="I19" s="0" t="n">
        <v>19.5</v>
      </c>
      <c r="J19" s="4" t="n">
        <f aca="true">-LN(RAND())/B19</f>
        <v>4.78478745558962</v>
      </c>
      <c r="K19" s="4" t="n">
        <f aca="false">K18+J19</f>
        <v>107.181100138154</v>
      </c>
      <c r="L19" s="4" t="n">
        <f aca="false">(1/$J$4)*(1+AB18)</f>
        <v>10</v>
      </c>
      <c r="M19" s="4" t="n">
        <f aca="false">L19+MAX(K19,Y$10:Y18)</f>
        <v>130.738410700958</v>
      </c>
      <c r="N19" s="4" t="n">
        <f aca="false">K19</f>
        <v>107.181100138154</v>
      </c>
      <c r="O19" s="4" t="n">
        <f aca="false">M19-K19</f>
        <v>23.5573105628038</v>
      </c>
      <c r="P19" s="4" t="n">
        <f aca="false">N19-K19</f>
        <v>0</v>
      </c>
      <c r="Q19" s="4" t="n">
        <f aca="false">A19-MATCH(K19,$M$9:M18,1)</f>
        <v>2</v>
      </c>
      <c r="R19" s="0" t="n">
        <f aca="false">-G19*(O19/3600)</f>
        <v>-0.114329908309782</v>
      </c>
      <c r="S19" s="0" t="n">
        <f aca="false">-1*I19-(H19*(P19/3600))</f>
        <v>-19.5</v>
      </c>
      <c r="T19" s="0" t="n">
        <f aca="false">-H19*(O19/3600)</f>
        <v>-0.81102567134249</v>
      </c>
      <c r="U19" s="0" t="n">
        <f aca="false">T19-S19</f>
        <v>18.6889743286575</v>
      </c>
      <c r="V19" s="0" t="n">
        <f aca="false">1/(1+EXP(U19))</f>
        <v>7.64683242991315E-009</v>
      </c>
      <c r="W19" s="0" t="n">
        <f aca="true">RAND()</f>
        <v>0.455390348529171</v>
      </c>
      <c r="X19" s="0" t="n">
        <f aca="false">IF(W19&lt;V19,1,0)</f>
        <v>0</v>
      </c>
      <c r="Y19" s="0" t="n">
        <f aca="false">(M19*(1-X19)+N19*X19)*D19+M19*E19</f>
        <v>130.738410700958</v>
      </c>
      <c r="Z19" s="0" t="n">
        <f aca="false">((1-X19)*O19+X19*P19)*D19+E19*O19</f>
        <v>23.5573105628038</v>
      </c>
      <c r="AA19" s="0" t="n">
        <f aca="false">IF(D19*X19&gt;0,AA18,Q19)</f>
        <v>2</v>
      </c>
      <c r="AB19" s="0" t="n">
        <f aca="false">(X19*D19)</f>
        <v>0</v>
      </c>
      <c r="AC19" s="0" t="n">
        <f aca="false">SUM(AB$10:AB18)/K19</f>
        <v>0</v>
      </c>
      <c r="AD19" s="0" t="n">
        <f aca="false">R19*E19+D19*(X19*S19+(1-X19)*T19)</f>
        <v>-0.114329908309782</v>
      </c>
      <c r="AE19" s="0" t="n">
        <f aca="false">Z19</f>
        <v>23.5573105628038</v>
      </c>
      <c r="AF19" s="0" t="n">
        <f aca="false">E19*O19</f>
        <v>23.5573105628038</v>
      </c>
      <c r="AG19" s="0" t="n">
        <f aca="false">((1-X19)*O19+X19*P19)*D19</f>
        <v>0</v>
      </c>
      <c r="AH19" s="0" t="n">
        <f aca="false">D19*(LN(EXP(S19)+EXP(T19)))</f>
        <v>-0</v>
      </c>
      <c r="AJ19" s="0" t="n">
        <f aca="false">$J$5</f>
        <v>10</v>
      </c>
      <c r="AK19" s="4" t="n">
        <f aca="false">AJ19+MAX(K19,AK$10:AK18)</f>
        <v>130.738410700958</v>
      </c>
      <c r="AL19" s="5" t="n">
        <f aca="false">AK19-K19</f>
        <v>23.5573105628038</v>
      </c>
      <c r="AM19" s="0" t="n">
        <f aca="false">-G19*AL19/3600</f>
        <v>-0.114329908309782</v>
      </c>
      <c r="AN19" s="0" t="n">
        <f aca="false">-H19*AL19/3600</f>
        <v>-0.81102567134249</v>
      </c>
      <c r="AO19" s="0" t="n">
        <f aca="false">AM19*E19+AN19*D19</f>
        <v>-0.114329908309782</v>
      </c>
      <c r="AP19" s="0" t="n">
        <f aca="false">AL19*D19</f>
        <v>0</v>
      </c>
      <c r="AR19" s="0" t="n">
        <f aca="false">AN19*D19</f>
        <v>-0</v>
      </c>
      <c r="AS19" s="0" t="n">
        <f aca="false">AH19-AR19</f>
        <v>0</v>
      </c>
    </row>
    <row r="20" customFormat="false" ht="12" hidden="false" customHeight="false" outlineLevel="0" collapsed="false">
      <c r="A20" s="3" t="n">
        <f aca="false">A19+1</f>
        <v>11</v>
      </c>
      <c r="B20" s="3" t="n">
        <f aca="false">IF(A20&lt;$N$4/3,0.1,(IF(A20&gt;2*$N$4/3,0.05,0.12)))</f>
        <v>0.1</v>
      </c>
      <c r="C20" s="4" t="n">
        <f aca="true">RAND()</f>
        <v>0.549720385441204</v>
      </c>
      <c r="D20" s="0" t="n">
        <f aca="false">IF((C20&gt;$M$2),1,0)</f>
        <v>0</v>
      </c>
      <c r="E20" s="0" t="n">
        <f aca="false">1-D20</f>
        <v>1</v>
      </c>
      <c r="F20" s="0" t="n">
        <f aca="true">RAND()</f>
        <v>0.159474485009346</v>
      </c>
      <c r="G20" s="0" t="n">
        <f aca="false">7.75+F20*10</f>
        <v>9.34474485009346</v>
      </c>
      <c r="H20" s="0" t="n">
        <f aca="false">LOGINV(F20,2.64,1.139)</f>
        <v>4.50347699051634</v>
      </c>
      <c r="I20" s="0" t="n">
        <v>19.5</v>
      </c>
      <c r="J20" s="4" t="n">
        <f aca="true">-LN(RAND())/B20</f>
        <v>0.313729688454185</v>
      </c>
      <c r="K20" s="4" t="n">
        <f aca="false">K19+J20</f>
        <v>107.494829826609</v>
      </c>
      <c r="L20" s="4" t="n">
        <f aca="false">(1/$J$4)*(1+AB19)</f>
        <v>10</v>
      </c>
      <c r="M20" s="4" t="n">
        <f aca="false">L20+MAX(K20,Y$10:Y19)</f>
        <v>140.738410700958</v>
      </c>
      <c r="N20" s="4" t="n">
        <f aca="false">K20</f>
        <v>107.494829826609</v>
      </c>
      <c r="O20" s="4" t="n">
        <f aca="false">M20-K20</f>
        <v>33.2435808743496</v>
      </c>
      <c r="P20" s="4" t="n">
        <f aca="false">N20-K20</f>
        <v>0</v>
      </c>
      <c r="Q20" s="4" t="n">
        <f aca="false">A20-MATCH(K20,$M$9:M19,1)</f>
        <v>3</v>
      </c>
      <c r="R20" s="0" t="n">
        <f aca="false">-G20*(O20/3600)</f>
        <v>-0.0862924392150678</v>
      </c>
      <c r="S20" s="0" t="n">
        <f aca="false">-1*I20-(H20*(P20/3600))</f>
        <v>-19.5</v>
      </c>
      <c r="T20" s="0" t="n">
        <f aca="false">-H20*(O20/3600)</f>
        <v>-0.0415865837638895</v>
      </c>
      <c r="U20" s="0" t="n">
        <f aca="false">T20-S20</f>
        <v>19.4584134162361</v>
      </c>
      <c r="V20" s="0" t="n">
        <f aca="false">1/(1+EXP(U20))</f>
        <v>3.54256987503161E-009</v>
      </c>
      <c r="W20" s="0" t="n">
        <f aca="true">RAND()</f>
        <v>0.368233476429729</v>
      </c>
      <c r="X20" s="0" t="n">
        <f aca="false">IF(W20&lt;V20,1,0)</f>
        <v>0</v>
      </c>
      <c r="Y20" s="0" t="n">
        <f aca="false">(M20*(1-X20)+N20*X20)*D20+M20*E20</f>
        <v>140.738410700958</v>
      </c>
      <c r="Z20" s="0" t="n">
        <f aca="false">((1-X20)*O20+X20*P20)*D20+E20*O20</f>
        <v>33.2435808743496</v>
      </c>
      <c r="AA20" s="0" t="n">
        <f aca="false">IF(D20*X20&gt;0,AA19,Q20)</f>
        <v>3</v>
      </c>
      <c r="AB20" s="0" t="n">
        <f aca="false">(X20*D20)</f>
        <v>0</v>
      </c>
      <c r="AC20" s="0" t="n">
        <f aca="false">SUM(AB$10:AB19)/K20</f>
        <v>0</v>
      </c>
      <c r="AD20" s="0" t="n">
        <f aca="false">R20*E20+D20*(X20*S20+(1-X20)*T20)</f>
        <v>-0.0862924392150678</v>
      </c>
      <c r="AE20" s="0" t="n">
        <f aca="false">Z20</f>
        <v>33.2435808743496</v>
      </c>
      <c r="AF20" s="0" t="n">
        <f aca="false">E20*O20</f>
        <v>33.2435808743496</v>
      </c>
      <c r="AG20" s="0" t="n">
        <f aca="false">((1-X20)*O20+X20*P20)*D20</f>
        <v>0</v>
      </c>
      <c r="AH20" s="0" t="n">
        <f aca="false">D20*(LN(EXP(S20)+EXP(T20)))</f>
        <v>-0</v>
      </c>
      <c r="AJ20" s="0" t="n">
        <f aca="false">$J$5</f>
        <v>10</v>
      </c>
      <c r="AK20" s="4" t="n">
        <f aca="false">AJ20+MAX(K20,AK$10:AK19)</f>
        <v>140.738410700958</v>
      </c>
      <c r="AL20" s="5" t="n">
        <f aca="false">AK20-K20</f>
        <v>33.2435808743496</v>
      </c>
      <c r="AM20" s="0" t="n">
        <f aca="false">-G20*AL20/3600</f>
        <v>-0.0862924392150678</v>
      </c>
      <c r="AN20" s="0" t="n">
        <f aca="false">-H20*AL20/3600</f>
        <v>-0.0415865837638895</v>
      </c>
      <c r="AO20" s="0" t="n">
        <f aca="false">AM20*E20+AN20*D20</f>
        <v>-0.0862924392150678</v>
      </c>
      <c r="AP20" s="0" t="n">
        <f aca="false">AL20*D20</f>
        <v>0</v>
      </c>
      <c r="AR20" s="0" t="n">
        <f aca="false">AN20*D20</f>
        <v>-0</v>
      </c>
      <c r="AS20" s="0" t="n">
        <f aca="false">AH20-AR20</f>
        <v>0</v>
      </c>
    </row>
    <row r="21" customFormat="false" ht="12" hidden="false" customHeight="false" outlineLevel="0" collapsed="false">
      <c r="A21" s="3" t="n">
        <f aca="false">A20+1</f>
        <v>12</v>
      </c>
      <c r="B21" s="3" t="n">
        <f aca="false">IF(A21&lt;$N$4/3,0.1,(IF(A21&gt;2*$N$4/3,0.05,0.12)))</f>
        <v>0.1</v>
      </c>
      <c r="C21" s="4" t="n">
        <f aca="true">RAND()</f>
        <v>0.787595225574059</v>
      </c>
      <c r="D21" s="0" t="n">
        <f aca="false">IF((C21&gt;$M$2),1,0)</f>
        <v>0</v>
      </c>
      <c r="E21" s="0" t="n">
        <f aca="false">1-D21</f>
        <v>1</v>
      </c>
      <c r="F21" s="0" t="n">
        <f aca="true">RAND()</f>
        <v>0.653059175164853</v>
      </c>
      <c r="G21" s="0" t="n">
        <f aca="false">7.75+F21*10</f>
        <v>14.2805917516485</v>
      </c>
      <c r="H21" s="0" t="n">
        <f aca="false">LOGINV(F21,2.64,1.139)</f>
        <v>21.9397985610395</v>
      </c>
      <c r="I21" s="0" t="n">
        <v>19.5</v>
      </c>
      <c r="J21" s="4" t="n">
        <f aca="true">-LN(RAND())/B21</f>
        <v>3.01457434299491</v>
      </c>
      <c r="K21" s="4" t="n">
        <f aca="false">K20+J21</f>
        <v>110.509404169603</v>
      </c>
      <c r="L21" s="4" t="n">
        <f aca="false">(1/$J$4)*(1+AB20)</f>
        <v>10</v>
      </c>
      <c r="M21" s="4" t="n">
        <f aca="false">L21+MAX(K21,Y$10:Y20)</f>
        <v>150.738410700958</v>
      </c>
      <c r="N21" s="4" t="n">
        <f aca="false">K21</f>
        <v>110.509404169603</v>
      </c>
      <c r="O21" s="4" t="n">
        <f aca="false">M21-K21</f>
        <v>40.2290065313547</v>
      </c>
      <c r="P21" s="4" t="n">
        <f aca="false">N21-K21</f>
        <v>0</v>
      </c>
      <c r="Q21" s="4" t="n">
        <f aca="false">A21-MATCH(K21,$M$9:M20,1)</f>
        <v>4</v>
      </c>
      <c r="R21" s="0" t="n">
        <f aca="false">-G21*(O21/3600)</f>
        <v>-0.159581671902411</v>
      </c>
      <c r="S21" s="0" t="n">
        <f aca="false">-1*I21-(H21*(P21/3600))</f>
        <v>-19.5</v>
      </c>
      <c r="T21" s="0" t="n">
        <f aca="false">-H21*(O21/3600)</f>
        <v>-0.24517119433574</v>
      </c>
      <c r="U21" s="0" t="n">
        <f aca="false">T21-S21</f>
        <v>19.2548288056643</v>
      </c>
      <c r="V21" s="0" t="n">
        <f aca="false">1/(1+EXP(U21))</f>
        <v>4.34244271327797E-009</v>
      </c>
      <c r="W21" s="0" t="n">
        <f aca="true">RAND()</f>
        <v>0.300469656176597</v>
      </c>
      <c r="X21" s="0" t="n">
        <f aca="false">IF(W21&lt;V21,1,0)</f>
        <v>0</v>
      </c>
      <c r="Y21" s="0" t="n">
        <f aca="false">(M21*(1-X21)+N21*X21)*D21+M21*E21</f>
        <v>150.738410700958</v>
      </c>
      <c r="Z21" s="0" t="n">
        <f aca="false">((1-X21)*O21+X21*P21)*D21+E21*O21</f>
        <v>40.2290065313547</v>
      </c>
      <c r="AA21" s="0" t="n">
        <f aca="false">IF(D21*X21&gt;0,AA20,Q21)</f>
        <v>4</v>
      </c>
      <c r="AB21" s="0" t="n">
        <f aca="false">(X21*D21)</f>
        <v>0</v>
      </c>
      <c r="AC21" s="0" t="n">
        <f aca="false">SUM(AB$10:AB20)/K21</f>
        <v>0</v>
      </c>
      <c r="AD21" s="0" t="n">
        <f aca="false">R21*E21+D21*(X21*S21+(1-X21)*T21)</f>
        <v>-0.159581671902411</v>
      </c>
      <c r="AE21" s="0" t="n">
        <f aca="false">Z21</f>
        <v>40.2290065313547</v>
      </c>
      <c r="AF21" s="0" t="n">
        <f aca="false">E21*O21</f>
        <v>40.2290065313547</v>
      </c>
      <c r="AG21" s="0" t="n">
        <f aca="false">((1-X21)*O21+X21*P21)*D21</f>
        <v>0</v>
      </c>
      <c r="AH21" s="0" t="n">
        <f aca="false">D21*(LN(EXP(S21)+EXP(T21)))</f>
        <v>-0</v>
      </c>
      <c r="AJ21" s="0" t="n">
        <f aca="false">$J$5</f>
        <v>10</v>
      </c>
      <c r="AK21" s="4" t="n">
        <f aca="false">AJ21+MAX(K21,AK$10:AK20)</f>
        <v>150.738410700958</v>
      </c>
      <c r="AL21" s="5" t="n">
        <f aca="false">AK21-K21</f>
        <v>40.2290065313547</v>
      </c>
      <c r="AM21" s="0" t="n">
        <f aca="false">-G21*AL21/3600</f>
        <v>-0.159581671902411</v>
      </c>
      <c r="AN21" s="0" t="n">
        <f aca="false">-H21*AL21/3600</f>
        <v>-0.24517119433574</v>
      </c>
      <c r="AO21" s="0" t="n">
        <f aca="false">AM21*E21+AN21*D21</f>
        <v>-0.159581671902411</v>
      </c>
      <c r="AP21" s="0" t="n">
        <f aca="false">AL21*D21</f>
        <v>0</v>
      </c>
      <c r="AR21" s="0" t="n">
        <f aca="false">AN21*D21</f>
        <v>-0</v>
      </c>
      <c r="AS21" s="0" t="n">
        <f aca="false">AH21-AR21</f>
        <v>0</v>
      </c>
    </row>
    <row r="22" customFormat="false" ht="12" hidden="false" customHeight="false" outlineLevel="0" collapsed="false">
      <c r="A22" s="3" t="n">
        <f aca="false">A21+1</f>
        <v>13</v>
      </c>
      <c r="B22" s="3" t="n">
        <f aca="false">IF(A22&lt;$N$4/3,0.1,(IF(A22&gt;2*$N$4/3,0.05,0.12)))</f>
        <v>0.1</v>
      </c>
      <c r="C22" s="4" t="n">
        <f aca="true">RAND()</f>
        <v>0.996709349961232</v>
      </c>
      <c r="D22" s="0" t="n">
        <f aca="false">IF((C22&gt;$M$2),1,0)</f>
        <v>1</v>
      </c>
      <c r="E22" s="0" t="n">
        <f aca="false">1-D22</f>
        <v>0</v>
      </c>
      <c r="F22" s="0" t="n">
        <f aca="true">RAND()</f>
        <v>0.0453057338759198</v>
      </c>
      <c r="G22" s="0" t="n">
        <f aca="false">7.75+F22*10</f>
        <v>8.2030573387592</v>
      </c>
      <c r="H22" s="0" t="n">
        <f aca="false">LOGINV(F22,2.64,1.139)</f>
        <v>2.03929842449815</v>
      </c>
      <c r="I22" s="0" t="n">
        <v>19.5</v>
      </c>
      <c r="J22" s="4" t="n">
        <f aca="true">-LN(RAND())/B22</f>
        <v>4.1287701380783</v>
      </c>
      <c r="K22" s="4" t="n">
        <f aca="false">K21+J22</f>
        <v>114.638174307682</v>
      </c>
      <c r="L22" s="4" t="n">
        <f aca="false">(1/$J$4)*(1+AB21)</f>
        <v>10</v>
      </c>
      <c r="M22" s="4" t="n">
        <f aca="false">L22+MAX(K22,Y$10:Y21)</f>
        <v>160.738410700958</v>
      </c>
      <c r="N22" s="4" t="n">
        <f aca="false">K22</f>
        <v>114.638174307682</v>
      </c>
      <c r="O22" s="4" t="n">
        <f aca="false">M22-K22</f>
        <v>46.1002363932764</v>
      </c>
      <c r="P22" s="4" t="n">
        <f aca="false">N22-K22</f>
        <v>0</v>
      </c>
      <c r="Q22" s="4" t="n">
        <f aca="false">A22-MATCH(K22,$M$9:M21,1)</f>
        <v>4</v>
      </c>
      <c r="R22" s="0" t="n">
        <f aca="false">-G22*(O22/3600)</f>
        <v>-0.105045245129</v>
      </c>
      <c r="S22" s="0" t="n">
        <f aca="false">-1*I22-(H22*(P22/3600))</f>
        <v>-19.5</v>
      </c>
      <c r="T22" s="0" t="n">
        <f aca="false">-H22*(O22/3600)</f>
        <v>-0.0261144831793891</v>
      </c>
      <c r="U22" s="0" t="n">
        <f aca="false">T22-S22</f>
        <v>19.4738855168206</v>
      </c>
      <c r="V22" s="0" t="n">
        <f aca="false">1/(1+EXP(U22))</f>
        <v>3.48818072002257E-009</v>
      </c>
      <c r="W22" s="0" t="n">
        <f aca="true">RAND()</f>
        <v>0.735865615061746</v>
      </c>
      <c r="X22" s="0" t="n">
        <f aca="false">IF(W22&lt;V22,1,0)</f>
        <v>0</v>
      </c>
      <c r="Y22" s="0" t="n">
        <f aca="false">(M22*(1-X22)+N22*X22)*D22+M22*E22</f>
        <v>160.738410700958</v>
      </c>
      <c r="Z22" s="0" t="n">
        <f aca="false">((1-X22)*O22+X22*P22)*D22+E22*O22</f>
        <v>46.1002363932764</v>
      </c>
      <c r="AA22" s="0" t="n">
        <f aca="false">IF(D22*X22&gt;0,AA21,Q22)</f>
        <v>4</v>
      </c>
      <c r="AB22" s="0" t="n">
        <f aca="false">(X22*D22)</f>
        <v>0</v>
      </c>
      <c r="AC22" s="0" t="n">
        <f aca="false">SUM(AB$10:AB21)/K22</f>
        <v>0</v>
      </c>
      <c r="AD22" s="0" t="n">
        <f aca="false">R22*E22+D22*(X22*S22+(1-X22)*T22)</f>
        <v>-0.0261144831793891</v>
      </c>
      <c r="AE22" s="0" t="n">
        <f aca="false">Z22</f>
        <v>46.1002363932764</v>
      </c>
      <c r="AF22" s="0" t="n">
        <f aca="false">E22*O22</f>
        <v>0</v>
      </c>
      <c r="AG22" s="0" t="n">
        <f aca="false">((1-X22)*O22+X22*P22)*D22</f>
        <v>46.1002363932764</v>
      </c>
      <c r="AH22" s="0" t="n">
        <f aca="false">D22*(LN(EXP(S22)+EXP(T22)))</f>
        <v>-0.0261144796912084</v>
      </c>
      <c r="AJ22" s="0" t="n">
        <f aca="false">$J$5</f>
        <v>10</v>
      </c>
      <c r="AK22" s="4" t="n">
        <f aca="false">AJ22+MAX(K22,AK$10:AK21)</f>
        <v>160.738410700958</v>
      </c>
      <c r="AL22" s="5" t="n">
        <f aca="false">AK22-K22</f>
        <v>46.1002363932764</v>
      </c>
      <c r="AM22" s="0" t="n">
        <f aca="false">-G22*AL22/3600</f>
        <v>-0.105045245129</v>
      </c>
      <c r="AN22" s="0" t="n">
        <f aca="false">-H22*AL22/3600</f>
        <v>-0.0261144831793891</v>
      </c>
      <c r="AO22" s="0" t="n">
        <f aca="false">AM22*E22+AN22*D22</f>
        <v>-0.0261144831793891</v>
      </c>
      <c r="AP22" s="0" t="n">
        <f aca="false">AL22*D22</f>
        <v>46.1002363932764</v>
      </c>
      <c r="AR22" s="0" t="n">
        <f aca="false">AN22*D22</f>
        <v>-0.0261144831793891</v>
      </c>
      <c r="AS22" s="0" t="n">
        <f aca="false">AH22-AR22</f>
        <v>3.48818069914603E-009</v>
      </c>
    </row>
    <row r="23" customFormat="false" ht="12" hidden="false" customHeight="false" outlineLevel="0" collapsed="false">
      <c r="A23" s="3" t="n">
        <f aca="false">A22+1</f>
        <v>14</v>
      </c>
      <c r="B23" s="3" t="n">
        <f aca="false">IF(A23&lt;$N$4/3,0.1,(IF(A23&gt;2*$N$4/3,0.05,0.12)))</f>
        <v>0.1</v>
      </c>
      <c r="C23" s="4" t="n">
        <f aca="true">RAND()</f>
        <v>0.585028114861453</v>
      </c>
      <c r="D23" s="0" t="n">
        <f aca="false">IF((C23&gt;$M$2),1,0)</f>
        <v>0</v>
      </c>
      <c r="E23" s="0" t="n">
        <f aca="false">1-D23</f>
        <v>1</v>
      </c>
      <c r="F23" s="0" t="n">
        <f aca="true">RAND()</f>
        <v>0.510686090335574</v>
      </c>
      <c r="G23" s="0" t="n">
        <f aca="false">7.75+F23*10</f>
        <v>12.8568609033557</v>
      </c>
      <c r="H23" s="0" t="n">
        <f aca="false">LOGINV(F23,2.64,1.139)</f>
        <v>14.447378324614</v>
      </c>
      <c r="I23" s="0" t="n">
        <v>19.5</v>
      </c>
      <c r="J23" s="4" t="n">
        <f aca="true">-LN(RAND())/B23</f>
        <v>6.06301162881979</v>
      </c>
      <c r="K23" s="4" t="n">
        <f aca="false">K22+J23</f>
        <v>120.701185936502</v>
      </c>
      <c r="L23" s="4" t="n">
        <f aca="false">(1/$J$4)*(1+AB22)</f>
        <v>10</v>
      </c>
      <c r="M23" s="4" t="n">
        <f aca="false">L23+MAX(K23,Y$10:Y22)</f>
        <v>170.738410700958</v>
      </c>
      <c r="N23" s="4" t="n">
        <f aca="false">K23</f>
        <v>120.701185936502</v>
      </c>
      <c r="O23" s="4" t="n">
        <f aca="false">M23-K23</f>
        <v>50.0372247644566</v>
      </c>
      <c r="P23" s="4" t="n">
        <f aca="false">N23-K23</f>
        <v>0</v>
      </c>
      <c r="Q23" s="4" t="n">
        <f aca="false">A23-MATCH(K23,$M$9:M22,1)</f>
        <v>5</v>
      </c>
      <c r="R23" s="0" t="n">
        <f aca="false">-G23*(O23/3600)</f>
        <v>-0.17870045521849</v>
      </c>
      <c r="S23" s="0" t="n">
        <f aca="false">-1*I23-(H23*(P23/3600))</f>
        <v>-19.5</v>
      </c>
      <c r="T23" s="0" t="n">
        <f aca="false">-H23*(O23/3600)</f>
        <v>-0.200807421246069</v>
      </c>
      <c r="U23" s="0" t="n">
        <f aca="false">T23-S23</f>
        <v>19.2991925787539</v>
      </c>
      <c r="V23" s="0" t="n">
        <f aca="false">1/(1+EXP(U23))</f>
        <v>4.15400634974508E-009</v>
      </c>
      <c r="W23" s="0" t="n">
        <f aca="true">RAND()</f>
        <v>0.524122795997268</v>
      </c>
      <c r="X23" s="0" t="n">
        <f aca="false">IF(W23&lt;V23,1,0)</f>
        <v>0</v>
      </c>
      <c r="Y23" s="0" t="n">
        <f aca="false">(M23*(1-X23)+N23*X23)*D23+M23*E23</f>
        <v>170.738410700958</v>
      </c>
      <c r="Z23" s="0" t="n">
        <f aca="false">((1-X23)*O23+X23*P23)*D23+E23*O23</f>
        <v>50.0372247644566</v>
      </c>
      <c r="AA23" s="0" t="n">
        <f aca="false">IF(D23*X23&gt;0,AA22,Q23)</f>
        <v>5</v>
      </c>
      <c r="AB23" s="0" t="n">
        <f aca="false">(X23*D23)</f>
        <v>0</v>
      </c>
      <c r="AC23" s="0" t="n">
        <f aca="false">SUM(AB$10:AB22)/K23</f>
        <v>0</v>
      </c>
      <c r="AD23" s="0" t="n">
        <f aca="false">R23*E23+D23*(X23*S23+(1-X23)*T23)</f>
        <v>-0.17870045521849</v>
      </c>
      <c r="AE23" s="0" t="n">
        <f aca="false">Z23</f>
        <v>50.0372247644566</v>
      </c>
      <c r="AF23" s="0" t="n">
        <f aca="false">E23*O23</f>
        <v>50.0372247644566</v>
      </c>
      <c r="AG23" s="0" t="n">
        <f aca="false">((1-X23)*O23+X23*P23)*D23</f>
        <v>0</v>
      </c>
      <c r="AH23" s="0" t="n">
        <f aca="false">D23*(LN(EXP(S23)+EXP(T23)))</f>
        <v>-0</v>
      </c>
      <c r="AJ23" s="0" t="n">
        <f aca="false">$J$5</f>
        <v>10</v>
      </c>
      <c r="AK23" s="4" t="n">
        <f aca="false">AJ23+MAX(K23,AK$10:AK22)</f>
        <v>170.738410700958</v>
      </c>
      <c r="AL23" s="5" t="n">
        <f aca="false">AK23-K23</f>
        <v>50.0372247644566</v>
      </c>
      <c r="AM23" s="0" t="n">
        <f aca="false">-G23*AL23/3600</f>
        <v>-0.17870045521849</v>
      </c>
      <c r="AN23" s="0" t="n">
        <f aca="false">-H23*AL23/3600</f>
        <v>-0.200807421246069</v>
      </c>
      <c r="AO23" s="0" t="n">
        <f aca="false">AM23*E23+AN23*D23</f>
        <v>-0.17870045521849</v>
      </c>
      <c r="AP23" s="0" t="n">
        <f aca="false">AL23*D23</f>
        <v>0</v>
      </c>
      <c r="AR23" s="0" t="n">
        <f aca="false">AN23*D23</f>
        <v>-0</v>
      </c>
      <c r="AS23" s="0" t="n">
        <f aca="false">AH23-AR23</f>
        <v>0</v>
      </c>
    </row>
    <row r="24" customFormat="false" ht="12" hidden="false" customHeight="false" outlineLevel="0" collapsed="false">
      <c r="A24" s="3" t="n">
        <f aca="false">A23+1</f>
        <v>15</v>
      </c>
      <c r="B24" s="3" t="n">
        <f aca="false">IF(A24&lt;$N$4/3,0.1,(IF(A24&gt;2*$N$4/3,0.05,0.12)))</f>
        <v>0.1</v>
      </c>
      <c r="C24" s="4" t="n">
        <f aca="true">RAND()</f>
        <v>0.0809424735609875</v>
      </c>
      <c r="D24" s="0" t="n">
        <f aca="false">IF((C24&gt;$M$2),1,0)</f>
        <v>0</v>
      </c>
      <c r="E24" s="0" t="n">
        <f aca="false">1-D24</f>
        <v>1</v>
      </c>
      <c r="F24" s="0" t="n">
        <f aca="true">RAND()</f>
        <v>0.0170276965177447</v>
      </c>
      <c r="G24" s="0" t="n">
        <f aca="false">7.75+F24*10</f>
        <v>7.92027696517745</v>
      </c>
      <c r="H24" s="0" t="n">
        <f aca="false">LOGINV(F24,2.64,1.139)</f>
        <v>1.25355821924738</v>
      </c>
      <c r="I24" s="0" t="n">
        <v>19.5</v>
      </c>
      <c r="J24" s="4" t="n">
        <f aca="true">-LN(RAND())/B24</f>
        <v>2.35276771287718</v>
      </c>
      <c r="K24" s="4" t="n">
        <f aca="false">K23+J24</f>
        <v>123.053953649379</v>
      </c>
      <c r="L24" s="4" t="n">
        <f aca="false">(1/$J$4)*(1+AB23)</f>
        <v>10</v>
      </c>
      <c r="M24" s="4" t="n">
        <f aca="false">L24+MAX(K24,Y$10:Y23)</f>
        <v>180.738410700958</v>
      </c>
      <c r="N24" s="4" t="n">
        <f aca="false">K24</f>
        <v>123.053953649379</v>
      </c>
      <c r="O24" s="4" t="n">
        <f aca="false">M24-K24</f>
        <v>57.6844570515794</v>
      </c>
      <c r="P24" s="4" t="n">
        <f aca="false">N24-K24</f>
        <v>0</v>
      </c>
      <c r="Q24" s="4" t="n">
        <f aca="false">A24-MATCH(K24,$M$9:M23,1)</f>
        <v>5</v>
      </c>
      <c r="R24" s="0" t="n">
        <f aca="false">-G24*(O24/3600)</f>
        <v>-0.126910243453998</v>
      </c>
      <c r="S24" s="0" t="n">
        <f aca="false">-1*I24-(H24*(P24/3600))</f>
        <v>-19.5</v>
      </c>
      <c r="T24" s="0" t="n">
        <f aca="false">-H24*(O24/3600)</f>
        <v>-0.0200863403499527</v>
      </c>
      <c r="U24" s="0" t="n">
        <f aca="false">T24-S24</f>
        <v>19.47991365965</v>
      </c>
      <c r="V24" s="0" t="n">
        <f aca="false">1/(1+EXP(U24))</f>
        <v>3.46721671897991E-009</v>
      </c>
      <c r="W24" s="0" t="n">
        <f aca="true">RAND()</f>
        <v>0.0959694098549971</v>
      </c>
      <c r="X24" s="0" t="n">
        <f aca="false">IF(W24&lt;V24,1,0)</f>
        <v>0</v>
      </c>
      <c r="Y24" s="0" t="n">
        <f aca="false">(M24*(1-X24)+N24*X24)*D24+M24*E24</f>
        <v>180.738410700958</v>
      </c>
      <c r="Z24" s="0" t="n">
        <f aca="false">((1-X24)*O24+X24*P24)*D24+E24*O24</f>
        <v>57.6844570515794</v>
      </c>
      <c r="AA24" s="0" t="n">
        <f aca="false">IF(D24*X24&gt;0,AA23,Q24)</f>
        <v>5</v>
      </c>
      <c r="AB24" s="0" t="n">
        <f aca="false">(X24*D24)</f>
        <v>0</v>
      </c>
      <c r="AC24" s="0" t="n">
        <f aca="false">SUM(AB$10:AB23)/K24</f>
        <v>0</v>
      </c>
      <c r="AD24" s="0" t="n">
        <f aca="false">R24*E24+D24*(X24*S24+(1-X24)*T24)</f>
        <v>-0.126910243453998</v>
      </c>
      <c r="AE24" s="0" t="n">
        <f aca="false">Z24</f>
        <v>57.6844570515794</v>
      </c>
      <c r="AF24" s="0" t="n">
        <f aca="false">E24*O24</f>
        <v>57.6844570515794</v>
      </c>
      <c r="AG24" s="0" t="n">
        <f aca="false">((1-X24)*O24+X24*P24)*D24</f>
        <v>0</v>
      </c>
      <c r="AH24" s="0" t="n">
        <f aca="false">D24*(LN(EXP(S24)+EXP(T24)))</f>
        <v>-0</v>
      </c>
      <c r="AJ24" s="0" t="n">
        <f aca="false">$J$5</f>
        <v>10</v>
      </c>
      <c r="AK24" s="4" t="n">
        <f aca="false">AJ24+MAX(K24,AK$10:AK23)</f>
        <v>180.738410700958</v>
      </c>
      <c r="AL24" s="5" t="n">
        <f aca="false">AK24-K24</f>
        <v>57.6844570515794</v>
      </c>
      <c r="AM24" s="0" t="n">
        <f aca="false">-G24*AL24/3600</f>
        <v>-0.126910243453998</v>
      </c>
      <c r="AN24" s="0" t="n">
        <f aca="false">-H24*AL24/3600</f>
        <v>-0.0200863403499527</v>
      </c>
      <c r="AO24" s="0" t="n">
        <f aca="false">AM24*E24+AN24*D24</f>
        <v>-0.126910243453998</v>
      </c>
      <c r="AP24" s="0" t="n">
        <f aca="false">AL24*D24</f>
        <v>0</v>
      </c>
      <c r="AR24" s="0" t="n">
        <f aca="false">AN24*D24</f>
        <v>-0</v>
      </c>
      <c r="AS24" s="0" t="n">
        <f aca="false">AH24-AR24</f>
        <v>0</v>
      </c>
    </row>
    <row r="25" customFormat="false" ht="12" hidden="false" customHeight="false" outlineLevel="0" collapsed="false">
      <c r="A25" s="3" t="n">
        <f aca="false">A24+1</f>
        <v>16</v>
      </c>
      <c r="B25" s="3" t="n">
        <f aca="false">IF(A25&lt;$N$4/3,0.1,(IF(A25&gt;2*$N$4/3,0.05,0.12)))</f>
        <v>0.1</v>
      </c>
      <c r="C25" s="4" t="n">
        <f aca="true">RAND()</f>
        <v>0.443043358183256</v>
      </c>
      <c r="D25" s="0" t="n">
        <f aca="false">IF((C25&gt;$M$2),1,0)</f>
        <v>0</v>
      </c>
      <c r="E25" s="0" t="n">
        <f aca="false">1-D25</f>
        <v>1</v>
      </c>
      <c r="F25" s="0" t="n">
        <f aca="true">RAND()</f>
        <v>0.926614326987691</v>
      </c>
      <c r="G25" s="0" t="n">
        <f aca="false">7.75+F25*10</f>
        <v>17.0161432698769</v>
      </c>
      <c r="H25" s="0" t="n">
        <f aca="false">LOGINV(F25,2.64,1.139)</f>
        <v>73.1654874738253</v>
      </c>
      <c r="I25" s="0" t="n">
        <v>19.5</v>
      </c>
      <c r="J25" s="4" t="n">
        <f aca="true">-LN(RAND())/B25</f>
        <v>1.51043603678037</v>
      </c>
      <c r="K25" s="4" t="n">
        <f aca="false">K24+J25</f>
        <v>124.564389686159</v>
      </c>
      <c r="L25" s="4" t="n">
        <f aca="false">(1/$J$4)*(1+AB24)</f>
        <v>10</v>
      </c>
      <c r="M25" s="4" t="n">
        <f aca="false">L25+MAX(K25,Y$10:Y24)</f>
        <v>190.738410700958</v>
      </c>
      <c r="N25" s="4" t="n">
        <f aca="false">K25</f>
        <v>124.564389686159</v>
      </c>
      <c r="O25" s="4" t="n">
        <f aca="false">M25-K25</f>
        <v>66.174021014799</v>
      </c>
      <c r="P25" s="4" t="n">
        <f aca="false">N25-K25</f>
        <v>0</v>
      </c>
      <c r="Q25" s="4" t="n">
        <f aca="false">A25-MATCH(K25,$M$9:M24,1)</f>
        <v>6</v>
      </c>
      <c r="R25" s="0" t="n">
        <f aca="false">-G25*(O25/3600)</f>
        <v>-0.312785172869907</v>
      </c>
      <c r="S25" s="0" t="n">
        <f aca="false">-1*I25-(H25*(P25/3600))</f>
        <v>-19.5</v>
      </c>
      <c r="T25" s="0" t="n">
        <f aca="false">-H25*(O25/3600)</f>
        <v>-1.34490402934748</v>
      </c>
      <c r="U25" s="0" t="n">
        <f aca="false">T25-S25</f>
        <v>18.1550959706525</v>
      </c>
      <c r="V25" s="0" t="n">
        <f aca="false">1/(1+EXP(U25))</f>
        <v>1.30419339330595E-008</v>
      </c>
      <c r="W25" s="0" t="n">
        <f aca="true">RAND()</f>
        <v>0.481548055953517</v>
      </c>
      <c r="X25" s="0" t="n">
        <f aca="false">IF(W25&lt;V25,1,0)</f>
        <v>0</v>
      </c>
      <c r="Y25" s="0" t="n">
        <f aca="false">(M25*(1-X25)+N25*X25)*D25+M25*E25</f>
        <v>190.738410700958</v>
      </c>
      <c r="Z25" s="0" t="n">
        <f aca="false">((1-X25)*O25+X25*P25)*D25+E25*O25</f>
        <v>66.174021014799</v>
      </c>
      <c r="AA25" s="0" t="n">
        <f aca="false">IF(D25*X25&gt;0,AA24,Q25)</f>
        <v>6</v>
      </c>
      <c r="AB25" s="0" t="n">
        <f aca="false">(X25*D25)</f>
        <v>0</v>
      </c>
      <c r="AC25" s="0" t="n">
        <f aca="false">SUM(AB$10:AB24)/K25</f>
        <v>0</v>
      </c>
      <c r="AD25" s="0" t="n">
        <f aca="false">R25*E25+D25*(X25*S25+(1-X25)*T25)</f>
        <v>-0.312785172869907</v>
      </c>
      <c r="AE25" s="0" t="n">
        <f aca="false">Z25</f>
        <v>66.174021014799</v>
      </c>
      <c r="AF25" s="0" t="n">
        <f aca="false">E25*O25</f>
        <v>66.174021014799</v>
      </c>
      <c r="AG25" s="0" t="n">
        <f aca="false">((1-X25)*O25+X25*P25)*D25</f>
        <v>0</v>
      </c>
      <c r="AH25" s="0" t="n">
        <f aca="false">D25*(LN(EXP(S25)+EXP(T25)))</f>
        <v>-0</v>
      </c>
      <c r="AJ25" s="0" t="n">
        <f aca="false">$J$5</f>
        <v>10</v>
      </c>
      <c r="AK25" s="4" t="n">
        <f aca="false">AJ25+MAX(K25,AK$10:AK24)</f>
        <v>190.738410700958</v>
      </c>
      <c r="AL25" s="5" t="n">
        <f aca="false">AK25-K25</f>
        <v>66.174021014799</v>
      </c>
      <c r="AM25" s="0" t="n">
        <f aca="false">-G25*AL25/3600</f>
        <v>-0.312785172869907</v>
      </c>
      <c r="AN25" s="0" t="n">
        <f aca="false">-H25*AL25/3600</f>
        <v>-1.34490402934748</v>
      </c>
      <c r="AO25" s="0" t="n">
        <f aca="false">AM25*E25+AN25*D25</f>
        <v>-0.312785172869907</v>
      </c>
      <c r="AP25" s="0" t="n">
        <f aca="false">AL25*D25</f>
        <v>0</v>
      </c>
      <c r="AR25" s="0" t="n">
        <f aca="false">AN25*D25</f>
        <v>-0</v>
      </c>
      <c r="AS25" s="0" t="n">
        <f aca="false">AH25-AR25</f>
        <v>0</v>
      </c>
    </row>
    <row r="26" customFormat="false" ht="12" hidden="false" customHeight="false" outlineLevel="0" collapsed="false">
      <c r="A26" s="3" t="n">
        <f aca="false">A25+1</f>
        <v>17</v>
      </c>
      <c r="B26" s="3" t="n">
        <f aca="false">IF(A26&lt;$N$4/3,0.1,(IF(A26&gt;2*$N$4/3,0.05,0.12)))</f>
        <v>0.1</v>
      </c>
      <c r="C26" s="4" t="n">
        <f aca="true">RAND()</f>
        <v>0.937182915727206</v>
      </c>
      <c r="D26" s="0" t="n">
        <f aca="false">IF((C26&gt;$M$2),1,0)</f>
        <v>1</v>
      </c>
      <c r="E26" s="0" t="n">
        <f aca="false">1-D26</f>
        <v>0</v>
      </c>
      <c r="F26" s="0" t="n">
        <f aca="true">RAND()</f>
        <v>0.444832007526727</v>
      </c>
      <c r="G26" s="0" t="n">
        <f aca="false">7.75+F26*10</f>
        <v>12.1983200752673</v>
      </c>
      <c r="H26" s="0" t="n">
        <f aca="false">LOGINV(F26,2.64,1.139)</f>
        <v>11.9650183723402</v>
      </c>
      <c r="I26" s="0" t="n">
        <v>19.5</v>
      </c>
      <c r="J26" s="4" t="n">
        <f aca="true">-LN(RAND())/B26</f>
        <v>4.66287323810976</v>
      </c>
      <c r="K26" s="4" t="n">
        <f aca="false">K25+J26</f>
        <v>129.227262924269</v>
      </c>
      <c r="L26" s="4" t="n">
        <f aca="false">(1/$J$4)*(1+AB25)</f>
        <v>10</v>
      </c>
      <c r="M26" s="4" t="n">
        <f aca="false">L26+MAX(K26,Y$10:Y25)</f>
        <v>200.738410700958</v>
      </c>
      <c r="N26" s="4" t="n">
        <f aca="false">K26</f>
        <v>129.227262924269</v>
      </c>
      <c r="O26" s="4" t="n">
        <f aca="false">M26-K26</f>
        <v>71.5111477766893</v>
      </c>
      <c r="P26" s="4" t="n">
        <f aca="false">N26-K26</f>
        <v>0</v>
      </c>
      <c r="Q26" s="4" t="n">
        <f aca="false">A26-MATCH(K26,$M$9:M25,1)</f>
        <v>7</v>
      </c>
      <c r="R26" s="0" t="n">
        <f aca="false">-G26*(O26/3600)</f>
        <v>-0.242309963758276</v>
      </c>
      <c r="S26" s="0" t="n">
        <f aca="false">-1*I26-(H26*(P26/3600))</f>
        <v>-19.5</v>
      </c>
      <c r="T26" s="0" t="n">
        <f aca="false">-H26*(O26/3600)</f>
        <v>-0.237675610270895</v>
      </c>
      <c r="U26" s="0" t="n">
        <f aca="false">T26-S26</f>
        <v>19.2623243897291</v>
      </c>
      <c r="V26" s="0" t="n">
        <f aca="false">1/(1+EXP(U26))</f>
        <v>4.31001525221893E-009</v>
      </c>
      <c r="W26" s="0" t="n">
        <f aca="true">RAND()</f>
        <v>0.794823582266843</v>
      </c>
      <c r="X26" s="0" t="n">
        <f aca="false">IF(W26&lt;V26,1,0)</f>
        <v>0</v>
      </c>
      <c r="Y26" s="0" t="n">
        <f aca="false">(M26*(1-X26)+N26*X26)*D26+M26*E26</f>
        <v>200.738410700958</v>
      </c>
      <c r="Z26" s="0" t="n">
        <f aca="false">((1-X26)*O26+X26*P26)*D26+E26*O26</f>
        <v>71.5111477766893</v>
      </c>
      <c r="AA26" s="0" t="n">
        <f aca="false">IF(D26*X26&gt;0,AA25,Q26)</f>
        <v>7</v>
      </c>
      <c r="AB26" s="0" t="n">
        <f aca="false">(X26*D26)</f>
        <v>0</v>
      </c>
      <c r="AC26" s="0" t="n">
        <f aca="false">SUM(AB$10:AB25)/K26</f>
        <v>0</v>
      </c>
      <c r="AD26" s="0" t="n">
        <f aca="false">R26*E26+D26*(X26*S26+(1-X26)*T26)</f>
        <v>-0.237675610270895</v>
      </c>
      <c r="AE26" s="0" t="n">
        <f aca="false">Z26</f>
        <v>71.5111477766893</v>
      </c>
      <c r="AF26" s="0" t="n">
        <f aca="false">E26*O26</f>
        <v>0</v>
      </c>
      <c r="AG26" s="0" t="n">
        <f aca="false">((1-X26)*O26+X26*P26)*D26</f>
        <v>71.5111477766893</v>
      </c>
      <c r="AH26" s="0" t="n">
        <f aca="false">D26*(LN(EXP(S26)+EXP(T26)))</f>
        <v>-0.23767560596088</v>
      </c>
      <c r="AJ26" s="0" t="n">
        <f aca="false">$J$5</f>
        <v>10</v>
      </c>
      <c r="AK26" s="4" t="n">
        <f aca="false">AJ26+MAX(K26,AK$10:AK25)</f>
        <v>200.738410700958</v>
      </c>
      <c r="AL26" s="5" t="n">
        <f aca="false">AK26-K26</f>
        <v>71.5111477766893</v>
      </c>
      <c r="AM26" s="0" t="n">
        <f aca="false">-G26*AL26/3600</f>
        <v>-0.242309963758276</v>
      </c>
      <c r="AN26" s="0" t="n">
        <f aca="false">-H26*AL26/3600</f>
        <v>-0.237675610270895</v>
      </c>
      <c r="AO26" s="0" t="n">
        <f aca="false">AM26*E26+AN26*D26</f>
        <v>-0.237675610270895</v>
      </c>
      <c r="AP26" s="0" t="n">
        <f aca="false">AL26*D26</f>
        <v>71.5111477766893</v>
      </c>
      <c r="AR26" s="0" t="n">
        <f aca="false">AN26*D26</f>
        <v>-0.237675610270895</v>
      </c>
      <c r="AS26" s="0" t="n">
        <f aca="false">AH26-AR26</f>
        <v>4.31001517808838E-009</v>
      </c>
    </row>
    <row r="27" customFormat="false" ht="12" hidden="false" customHeight="false" outlineLevel="0" collapsed="false">
      <c r="A27" s="3" t="n">
        <f aca="false">A26+1</f>
        <v>18</v>
      </c>
      <c r="B27" s="3" t="n">
        <f aca="false">IF(A27&lt;$N$4/3,0.1,(IF(A27&gt;2*$N$4/3,0.05,0.12)))</f>
        <v>0.1</v>
      </c>
      <c r="C27" s="4" t="n">
        <f aca="true">RAND()</f>
        <v>0.215872915446272</v>
      </c>
      <c r="D27" s="0" t="n">
        <f aca="false">IF((C27&gt;$M$2),1,0)</f>
        <v>0</v>
      </c>
      <c r="E27" s="0" t="n">
        <f aca="false">1-D27</f>
        <v>1</v>
      </c>
      <c r="F27" s="0" t="n">
        <f aca="true">RAND()</f>
        <v>0.992331488118167</v>
      </c>
      <c r="G27" s="0" t="n">
        <f aca="false">7.75+F27*10</f>
        <v>17.6733148811817</v>
      </c>
      <c r="H27" s="0" t="n">
        <f aca="false">LOGINV(F27,2.64,1.139)</f>
        <v>221.694900363659</v>
      </c>
      <c r="I27" s="0" t="n">
        <v>19.5</v>
      </c>
      <c r="J27" s="4" t="n">
        <f aca="true">-LN(RAND())/B27</f>
        <v>25.9720779987054</v>
      </c>
      <c r="K27" s="4" t="n">
        <f aca="false">K26+J27</f>
        <v>155.199340922974</v>
      </c>
      <c r="L27" s="4" t="n">
        <f aca="false">(1/$J$4)*(1+AB26)</f>
        <v>10</v>
      </c>
      <c r="M27" s="4" t="n">
        <f aca="false">L27+MAX(K27,Y$10:Y26)</f>
        <v>210.738410700958</v>
      </c>
      <c r="N27" s="4" t="n">
        <f aca="false">K27</f>
        <v>155.199340922974</v>
      </c>
      <c r="O27" s="4" t="n">
        <f aca="false">M27-K27</f>
        <v>55.5390697779839</v>
      </c>
      <c r="P27" s="4" t="n">
        <f aca="false">N27-K27</f>
        <v>0</v>
      </c>
      <c r="Q27" s="4" t="n">
        <f aca="false">A27-MATCH(K27,$M$9:M26,1)</f>
        <v>5</v>
      </c>
      <c r="R27" s="0" t="n">
        <f aca="false">-G27*(O27/3600)</f>
        <v>-0.272655407887286</v>
      </c>
      <c r="S27" s="0" t="n">
        <f aca="false">-1*I27-(H27*(P27/3600))</f>
        <v>-19.5</v>
      </c>
      <c r="T27" s="0" t="n">
        <f aca="false">-H27*(O27/3600)</f>
        <v>-3.42020237242235</v>
      </c>
      <c r="U27" s="0" t="n">
        <f aca="false">T27-S27</f>
        <v>16.0797976275776</v>
      </c>
      <c r="V27" s="0" t="n">
        <f aca="false">1/(1+EXP(U27))</f>
        <v>1.03904073724512E-007</v>
      </c>
      <c r="W27" s="0" t="n">
        <f aca="true">RAND()</f>
        <v>0.400078565144771</v>
      </c>
      <c r="X27" s="0" t="n">
        <f aca="false">IF(W27&lt;V27,1,0)</f>
        <v>0</v>
      </c>
      <c r="Y27" s="0" t="n">
        <f aca="false">(M27*(1-X27)+N27*X27)*D27+M27*E27</f>
        <v>210.738410700958</v>
      </c>
      <c r="Z27" s="0" t="n">
        <f aca="false">((1-X27)*O27+X27*P27)*D27+E27*O27</f>
        <v>55.5390697779839</v>
      </c>
      <c r="AA27" s="0" t="n">
        <f aca="false">IF(D27*X27&gt;0,AA26,Q27)</f>
        <v>5</v>
      </c>
      <c r="AB27" s="0" t="n">
        <f aca="false">(X27*D27)</f>
        <v>0</v>
      </c>
      <c r="AC27" s="0" t="n">
        <f aca="false">SUM(AB$10:AB26)/K27</f>
        <v>0</v>
      </c>
      <c r="AD27" s="0" t="n">
        <f aca="false">R27*E27+D27*(X27*S27+(1-X27)*T27)</f>
        <v>-0.272655407887286</v>
      </c>
      <c r="AE27" s="0" t="n">
        <f aca="false">Z27</f>
        <v>55.5390697779839</v>
      </c>
      <c r="AF27" s="0" t="n">
        <f aca="false">E27*O27</f>
        <v>55.5390697779839</v>
      </c>
      <c r="AG27" s="0" t="n">
        <f aca="false">((1-X27)*O27+X27*P27)*D27</f>
        <v>0</v>
      </c>
      <c r="AH27" s="0" t="n">
        <f aca="false">D27*(LN(EXP(S27)+EXP(T27)))</f>
        <v>-0</v>
      </c>
      <c r="AJ27" s="0" t="n">
        <f aca="false">$J$5</f>
        <v>10</v>
      </c>
      <c r="AK27" s="4" t="n">
        <f aca="false">AJ27+MAX(K27,AK$10:AK26)</f>
        <v>210.738410700958</v>
      </c>
      <c r="AL27" s="5" t="n">
        <f aca="false">AK27-K27</f>
        <v>55.5390697779839</v>
      </c>
      <c r="AM27" s="0" t="n">
        <f aca="false">-G27*AL27/3600</f>
        <v>-0.272655407887286</v>
      </c>
      <c r="AN27" s="0" t="n">
        <f aca="false">-H27*AL27/3600</f>
        <v>-3.42020237242235</v>
      </c>
      <c r="AO27" s="0" t="n">
        <f aca="false">AM27*E27+AN27*D27</f>
        <v>-0.272655407887286</v>
      </c>
      <c r="AP27" s="0" t="n">
        <f aca="false">AL27*D27</f>
        <v>0</v>
      </c>
      <c r="AR27" s="0" t="n">
        <f aca="false">AN27*D27</f>
        <v>-0</v>
      </c>
      <c r="AS27" s="0" t="n">
        <f aca="false">AH27-AR27</f>
        <v>0</v>
      </c>
    </row>
    <row r="28" customFormat="false" ht="12" hidden="false" customHeight="false" outlineLevel="0" collapsed="false">
      <c r="A28" s="3" t="n">
        <f aca="false">A27+1</f>
        <v>19</v>
      </c>
      <c r="B28" s="3" t="n">
        <f aca="false">IF(A28&lt;$N$4/3,0.1,(IF(A28&gt;2*$N$4/3,0.05,0.12)))</f>
        <v>0.1</v>
      </c>
      <c r="C28" s="4" t="n">
        <f aca="true">RAND()</f>
        <v>0.462651299631462</v>
      </c>
      <c r="D28" s="0" t="n">
        <f aca="false">IF((C28&gt;$M$2),1,0)</f>
        <v>0</v>
      </c>
      <c r="E28" s="0" t="n">
        <f aca="false">1-D28</f>
        <v>1</v>
      </c>
      <c r="F28" s="0" t="n">
        <f aca="true">RAND()</f>
        <v>0.461666237921579</v>
      </c>
      <c r="G28" s="0" t="n">
        <f aca="false">7.75+F28*10</f>
        <v>12.3666623792158</v>
      </c>
      <c r="H28" s="0" t="n">
        <f aca="false">LOGINV(F28,2.64,1.139)</f>
        <v>12.5583557900498</v>
      </c>
      <c r="I28" s="0" t="n">
        <v>19.5</v>
      </c>
      <c r="J28" s="4" t="n">
        <f aca="true">-LN(RAND())/B28</f>
        <v>3.5599681384988</v>
      </c>
      <c r="K28" s="4" t="n">
        <f aca="false">K27+J28</f>
        <v>158.759309061473</v>
      </c>
      <c r="L28" s="4" t="n">
        <f aca="false">(1/$J$4)*(1+AB27)</f>
        <v>10</v>
      </c>
      <c r="M28" s="4" t="n">
        <f aca="false">L28+MAX(K28,Y$10:Y27)</f>
        <v>220.738410700958</v>
      </c>
      <c r="N28" s="4" t="n">
        <f aca="false">K28</f>
        <v>158.759309061473</v>
      </c>
      <c r="O28" s="4" t="n">
        <f aca="false">M28-K28</f>
        <v>61.9791016394851</v>
      </c>
      <c r="P28" s="4" t="n">
        <f aca="false">N28-K28</f>
        <v>0</v>
      </c>
      <c r="Q28" s="4" t="n">
        <f aca="false">A28-MATCH(K28,$M$9:M27,1)</f>
        <v>6</v>
      </c>
      <c r="R28" s="0" t="n">
        <f aca="false">-G28*(O28/3600)</f>
        <v>-0.212909617928503</v>
      </c>
      <c r="S28" s="0" t="n">
        <f aca="false">-1*I28-(H28*(P28/3600))</f>
        <v>-19.5</v>
      </c>
      <c r="T28" s="0" t="n">
        <f aca="false">-H28*(O28/3600)</f>
        <v>-0.216209891648975</v>
      </c>
      <c r="U28" s="0" t="n">
        <f aca="false">T28-S28</f>
        <v>19.283790108351</v>
      </c>
      <c r="V28" s="0" t="n">
        <f aca="false">1/(1+EXP(U28))</f>
        <v>4.21848358902647E-009</v>
      </c>
      <c r="W28" s="0" t="n">
        <f aca="true">RAND()</f>
        <v>0.612815965293601</v>
      </c>
      <c r="X28" s="0" t="n">
        <f aca="false">IF(W28&lt;V28,1,0)</f>
        <v>0</v>
      </c>
      <c r="Y28" s="0" t="n">
        <f aca="false">(M28*(1-X28)+N28*X28)*D28+M28*E28</f>
        <v>220.738410700958</v>
      </c>
      <c r="Z28" s="0" t="n">
        <f aca="false">((1-X28)*O28+X28*P28)*D28+E28*O28</f>
        <v>61.9791016394851</v>
      </c>
      <c r="AA28" s="0" t="n">
        <f aca="false">IF(D28*X28&gt;0,AA27,Q28)</f>
        <v>6</v>
      </c>
      <c r="AB28" s="0" t="n">
        <f aca="false">(X28*D28)</f>
        <v>0</v>
      </c>
      <c r="AC28" s="0" t="n">
        <f aca="false">SUM(AB$10:AB27)/K28</f>
        <v>0</v>
      </c>
      <c r="AD28" s="0" t="n">
        <f aca="false">R28*E28+D28*(X28*S28+(1-X28)*T28)</f>
        <v>-0.212909617928503</v>
      </c>
      <c r="AE28" s="0" t="n">
        <f aca="false">Z28</f>
        <v>61.9791016394851</v>
      </c>
      <c r="AF28" s="0" t="n">
        <f aca="false">E28*O28</f>
        <v>61.9791016394851</v>
      </c>
      <c r="AG28" s="0" t="n">
        <f aca="false">((1-X28)*O28+X28*P28)*D28</f>
        <v>0</v>
      </c>
      <c r="AH28" s="0" t="n">
        <f aca="false">D28*(LN(EXP(S28)+EXP(T28)))</f>
        <v>-0</v>
      </c>
      <c r="AJ28" s="0" t="n">
        <f aca="false">$J$5</f>
        <v>10</v>
      </c>
      <c r="AK28" s="4" t="n">
        <f aca="false">AJ28+MAX(K28,AK$10:AK27)</f>
        <v>220.738410700958</v>
      </c>
      <c r="AL28" s="5" t="n">
        <f aca="false">AK28-K28</f>
        <v>61.9791016394851</v>
      </c>
      <c r="AM28" s="0" t="n">
        <f aca="false">-G28*AL28/3600</f>
        <v>-0.212909617928503</v>
      </c>
      <c r="AN28" s="0" t="n">
        <f aca="false">-H28*AL28/3600</f>
        <v>-0.216209891648975</v>
      </c>
      <c r="AO28" s="0" t="n">
        <f aca="false">AM28*E28+AN28*D28</f>
        <v>-0.212909617928503</v>
      </c>
      <c r="AP28" s="0" t="n">
        <f aca="false">AL28*D28</f>
        <v>0</v>
      </c>
      <c r="AR28" s="0" t="n">
        <f aca="false">AN28*D28</f>
        <v>-0</v>
      </c>
      <c r="AS28" s="0" t="n">
        <f aca="false">AH28-AR28</f>
        <v>0</v>
      </c>
    </row>
    <row r="29" customFormat="false" ht="12" hidden="false" customHeight="false" outlineLevel="0" collapsed="false">
      <c r="A29" s="3" t="n">
        <f aca="false">A28+1</f>
        <v>20</v>
      </c>
      <c r="B29" s="3" t="n">
        <f aca="false">IF(A29&lt;$N$4/3,0.1,(IF(A29&gt;2*$N$4/3,0.05,0.12)))</f>
        <v>0.1</v>
      </c>
      <c r="C29" s="4" t="n">
        <f aca="true">RAND()</f>
        <v>0.490311024388992</v>
      </c>
      <c r="D29" s="0" t="n">
        <f aca="false">IF((C29&gt;$M$2),1,0)</f>
        <v>0</v>
      </c>
      <c r="E29" s="0" t="n">
        <f aca="false">1-D29</f>
        <v>1</v>
      </c>
      <c r="F29" s="0" t="n">
        <f aca="true">RAND()</f>
        <v>0.926749844872631</v>
      </c>
      <c r="G29" s="0" t="n">
        <f aca="false">7.75+F29*10</f>
        <v>17.0174984487263</v>
      </c>
      <c r="H29" s="0" t="n">
        <f aca="false">LOGINV(F29,2.64,1.139)</f>
        <v>73.246707986339</v>
      </c>
      <c r="I29" s="0" t="n">
        <v>19.5</v>
      </c>
      <c r="J29" s="4" t="n">
        <f aca="true">-LN(RAND())/B29</f>
        <v>14.1675717050404</v>
      </c>
      <c r="K29" s="4" t="n">
        <f aca="false">K28+J29</f>
        <v>172.926880766513</v>
      </c>
      <c r="L29" s="4" t="n">
        <f aca="false">(1/$J$4)*(1+AB28)</f>
        <v>10</v>
      </c>
      <c r="M29" s="4" t="n">
        <f aca="false">L29+MAX(K29,Y$10:Y28)</f>
        <v>230.738410700958</v>
      </c>
      <c r="N29" s="4" t="n">
        <f aca="false">K29</f>
        <v>172.926880766513</v>
      </c>
      <c r="O29" s="4" t="n">
        <f aca="false">M29-K29</f>
        <v>57.8115299344447</v>
      </c>
      <c r="P29" s="4" t="n">
        <f aca="false">N29-K29</f>
        <v>0</v>
      </c>
      <c r="Q29" s="4" t="n">
        <f aca="false">A29-MATCH(K29,$M$9:M28,1)</f>
        <v>5</v>
      </c>
      <c r="R29" s="0" t="n">
        <f aca="false">-G29*(O29/3600)</f>
        <v>-0.273279894716085</v>
      </c>
      <c r="S29" s="0" t="n">
        <f aca="false">-1*I29-(H29*(P29/3600))</f>
        <v>-19.5</v>
      </c>
      <c r="T29" s="0" t="n">
        <f aca="false">-H29*(O29/3600)</f>
        <v>-1.17625118093105</v>
      </c>
      <c r="U29" s="0" t="n">
        <f aca="false">T29-S29</f>
        <v>18.323748819069</v>
      </c>
      <c r="V29" s="0" t="n">
        <f aca="false">1/(1+EXP(U29))</f>
        <v>1.10178535476138E-008</v>
      </c>
      <c r="W29" s="0" t="n">
        <f aca="true">RAND()</f>
        <v>0.983342238430261</v>
      </c>
      <c r="X29" s="0" t="n">
        <f aca="false">IF(W29&lt;V29,1,0)</f>
        <v>0</v>
      </c>
      <c r="Y29" s="0" t="n">
        <f aca="false">(M29*(1-X29)+N29*X29)*D29+M29*E29</f>
        <v>230.738410700958</v>
      </c>
      <c r="Z29" s="0" t="n">
        <f aca="false">((1-X29)*O29+X29*P29)*D29+E29*O29</f>
        <v>57.8115299344447</v>
      </c>
      <c r="AA29" s="0" t="n">
        <f aca="false">IF(D29*X29&gt;0,AA28,Q29)</f>
        <v>5</v>
      </c>
      <c r="AB29" s="0" t="n">
        <f aca="false">(X29*D29)</f>
        <v>0</v>
      </c>
      <c r="AC29" s="0" t="n">
        <f aca="false">SUM(AB$10:AB28)/K29</f>
        <v>0</v>
      </c>
      <c r="AD29" s="0" t="n">
        <f aca="false">R29*E29+D29*(X29*S29+(1-X29)*T29)</f>
        <v>-0.273279894716085</v>
      </c>
      <c r="AE29" s="0" t="n">
        <f aca="false">Z29</f>
        <v>57.8115299344447</v>
      </c>
      <c r="AF29" s="0" t="n">
        <f aca="false">E29*O29</f>
        <v>57.8115299344447</v>
      </c>
      <c r="AG29" s="0" t="n">
        <f aca="false">((1-X29)*O29+X29*P29)*D29</f>
        <v>0</v>
      </c>
      <c r="AH29" s="0" t="n">
        <f aca="false">D29*(LN(EXP(S29)+EXP(T29)))</f>
        <v>-0</v>
      </c>
      <c r="AJ29" s="0" t="n">
        <f aca="false">$J$5</f>
        <v>10</v>
      </c>
      <c r="AK29" s="4" t="n">
        <f aca="false">AJ29+MAX(K29,AK$10:AK28)</f>
        <v>230.738410700958</v>
      </c>
      <c r="AL29" s="5" t="n">
        <f aca="false">AK29-K29</f>
        <v>57.8115299344447</v>
      </c>
      <c r="AM29" s="0" t="n">
        <f aca="false">-G29*AL29/3600</f>
        <v>-0.273279894716085</v>
      </c>
      <c r="AN29" s="0" t="n">
        <f aca="false">-H29*AL29/3600</f>
        <v>-1.17625118093105</v>
      </c>
      <c r="AO29" s="0" t="n">
        <f aca="false">AM29*E29+AN29*D29</f>
        <v>-0.273279894716085</v>
      </c>
      <c r="AP29" s="0" t="n">
        <f aca="false">AL29*D29</f>
        <v>0</v>
      </c>
      <c r="AR29" s="0" t="n">
        <f aca="false">AN29*D29</f>
        <v>-0</v>
      </c>
      <c r="AS29" s="0" t="n">
        <f aca="false">AH29-AR29</f>
        <v>0</v>
      </c>
    </row>
    <row r="30" customFormat="false" ht="12" hidden="false" customHeight="false" outlineLevel="0" collapsed="false">
      <c r="A30" s="3" t="n">
        <f aca="false">A29+1</f>
        <v>21</v>
      </c>
      <c r="B30" s="3" t="n">
        <f aca="false">IF(A30&lt;$N$4/3,0.1,(IF(A30&gt;2*$N$4/3,0.05,0.12)))</f>
        <v>0.1</v>
      </c>
      <c r="C30" s="4" t="n">
        <f aca="true">RAND()</f>
        <v>0.336315066050941</v>
      </c>
      <c r="D30" s="0" t="n">
        <f aca="false">IF((C30&gt;$M$2),1,0)</f>
        <v>0</v>
      </c>
      <c r="E30" s="0" t="n">
        <f aca="false">1-D30</f>
        <v>1</v>
      </c>
      <c r="F30" s="0" t="n">
        <f aca="true">RAND()</f>
        <v>0.451379428590003</v>
      </c>
      <c r="G30" s="0" t="n">
        <f aca="false">7.75+F30*10</f>
        <v>12.2637942859</v>
      </c>
      <c r="H30" s="0" t="n">
        <f aca="false">LOGINV(F30,2.64,1.139)</f>
        <v>12.1927366734952</v>
      </c>
      <c r="I30" s="0" t="n">
        <v>19.5</v>
      </c>
      <c r="J30" s="4" t="n">
        <f aca="true">-LN(RAND())/B30</f>
        <v>5.90582239347189</v>
      </c>
      <c r="K30" s="4" t="n">
        <f aca="false">K29+J30</f>
        <v>178.832703159985</v>
      </c>
      <c r="L30" s="4" t="n">
        <f aca="false">(1/$J$4)*(1+AB29)</f>
        <v>10</v>
      </c>
      <c r="M30" s="4" t="n">
        <f aca="false">L30+MAX(K30,Y$10:Y29)</f>
        <v>240.738410700958</v>
      </c>
      <c r="N30" s="4" t="n">
        <f aca="false">K30</f>
        <v>178.832703159985</v>
      </c>
      <c r="O30" s="4" t="n">
        <f aca="false">M30-K30</f>
        <v>61.9057075409728</v>
      </c>
      <c r="P30" s="4" t="n">
        <f aca="false">N30-K30</f>
        <v>0</v>
      </c>
      <c r="Q30" s="4" t="n">
        <f aca="false">A30-MATCH(K30,$M$9:M29,1)</f>
        <v>6</v>
      </c>
      <c r="R30" s="0" t="n">
        <f aca="false">-G30*(O30/3600)</f>
        <v>-0.210888572890439</v>
      </c>
      <c r="S30" s="0" t="n">
        <f aca="false">-1*I30-(H30*(P30/3600))</f>
        <v>-19.5</v>
      </c>
      <c r="T30" s="0" t="n">
        <f aca="false">-H30*(O30/3600)</f>
        <v>-0.209666664064858</v>
      </c>
      <c r="U30" s="0" t="n">
        <f aca="false">T30-S30</f>
        <v>19.2903333359351</v>
      </c>
      <c r="V30" s="0" t="n">
        <f aca="false">1/(1+EXP(U30))</f>
        <v>4.19097119903299E-009</v>
      </c>
      <c r="W30" s="0" t="n">
        <f aca="true">RAND()</f>
        <v>0.26176195925259</v>
      </c>
      <c r="X30" s="0" t="n">
        <f aca="false">IF(W30&lt;V30,1,0)</f>
        <v>0</v>
      </c>
      <c r="Y30" s="0" t="n">
        <f aca="false">(M30*(1-X30)+N30*X30)*D30+M30*E30</f>
        <v>240.738410700958</v>
      </c>
      <c r="Z30" s="0" t="n">
        <f aca="false">((1-X30)*O30+X30*P30)*D30+E30*O30</f>
        <v>61.9057075409728</v>
      </c>
      <c r="AA30" s="0" t="n">
        <f aca="false">IF(D30*X30&gt;0,AA29,Q30)</f>
        <v>6</v>
      </c>
      <c r="AB30" s="0" t="n">
        <f aca="false">(X30*D30)</f>
        <v>0</v>
      </c>
      <c r="AC30" s="0" t="n">
        <f aca="false">SUM(AB$10:AB29)/K30</f>
        <v>0</v>
      </c>
      <c r="AD30" s="0" t="n">
        <f aca="false">R30*E30+D30*(X30*S30+(1-X30)*T30)</f>
        <v>-0.210888572890439</v>
      </c>
      <c r="AE30" s="0" t="n">
        <f aca="false">Z30</f>
        <v>61.9057075409728</v>
      </c>
      <c r="AF30" s="0" t="n">
        <f aca="false">E30*O30</f>
        <v>61.9057075409728</v>
      </c>
      <c r="AG30" s="0" t="n">
        <f aca="false">((1-X30)*O30+X30*P30)*D30</f>
        <v>0</v>
      </c>
      <c r="AH30" s="0" t="n">
        <f aca="false">D30*(LN(EXP(S30)+EXP(T30)))</f>
        <v>-0</v>
      </c>
      <c r="AJ30" s="0" t="n">
        <f aca="false">$J$5</f>
        <v>10</v>
      </c>
      <c r="AK30" s="4" t="n">
        <f aca="false">AJ30+MAX(K30,AK$10:AK29)</f>
        <v>240.738410700958</v>
      </c>
      <c r="AL30" s="5" t="n">
        <f aca="false">AK30-K30</f>
        <v>61.9057075409728</v>
      </c>
      <c r="AM30" s="0" t="n">
        <f aca="false">-G30*AL30/3600</f>
        <v>-0.210888572890439</v>
      </c>
      <c r="AN30" s="0" t="n">
        <f aca="false">-H30*AL30/3600</f>
        <v>-0.209666664064858</v>
      </c>
      <c r="AO30" s="0" t="n">
        <f aca="false">AM30*E30+AN30*D30</f>
        <v>-0.210888572890439</v>
      </c>
      <c r="AP30" s="0" t="n">
        <f aca="false">AL30*D30</f>
        <v>0</v>
      </c>
      <c r="AR30" s="0" t="n">
        <f aca="false">AN30*D30</f>
        <v>-0</v>
      </c>
      <c r="AS30" s="0" t="n">
        <f aca="false">AH30-AR30</f>
        <v>0</v>
      </c>
    </row>
    <row r="31" customFormat="false" ht="12" hidden="false" customHeight="false" outlineLevel="0" collapsed="false">
      <c r="A31" s="3" t="n">
        <f aca="false">A30+1</f>
        <v>22</v>
      </c>
      <c r="B31" s="3" t="n">
        <f aca="false">IF(A31&lt;$N$4/3,0.1,(IF(A31&gt;2*$N$4/3,0.05,0.12)))</f>
        <v>0.1</v>
      </c>
      <c r="C31" s="4" t="n">
        <f aca="true">RAND()</f>
        <v>0.264414262955543</v>
      </c>
      <c r="D31" s="0" t="n">
        <f aca="false">IF((C31&gt;$M$2),1,0)</f>
        <v>0</v>
      </c>
      <c r="E31" s="0" t="n">
        <f aca="false">1-D31</f>
        <v>1</v>
      </c>
      <c r="F31" s="0" t="n">
        <f aca="true">RAND()</f>
        <v>0.185380757923004</v>
      </c>
      <c r="G31" s="0" t="n">
        <f aca="false">7.75+F31*10</f>
        <v>9.60380757923005</v>
      </c>
      <c r="H31" s="0" t="n">
        <f aca="false">LOGINV(F31,2.64,1.139)</f>
        <v>5.0558223111828</v>
      </c>
      <c r="I31" s="0" t="n">
        <v>19.5</v>
      </c>
      <c r="J31" s="4" t="n">
        <f aca="true">-LN(RAND())/B31</f>
        <v>4.93018974863904</v>
      </c>
      <c r="K31" s="4" t="n">
        <f aca="false">K30+J31</f>
        <v>183.762892908624</v>
      </c>
      <c r="L31" s="4" t="n">
        <f aca="false">(1/$J$4)*(1+AB30)</f>
        <v>10</v>
      </c>
      <c r="M31" s="4" t="n">
        <f aca="false">L31+MAX(K31,Y$10:Y30)</f>
        <v>250.738410700958</v>
      </c>
      <c r="N31" s="4" t="n">
        <f aca="false">K31</f>
        <v>183.762892908624</v>
      </c>
      <c r="O31" s="4" t="n">
        <f aca="false">M31-K31</f>
        <v>66.9755177923338</v>
      </c>
      <c r="P31" s="4" t="n">
        <f aca="false">N31-K31</f>
        <v>0</v>
      </c>
      <c r="Q31" s="4" t="n">
        <f aca="false">A31-MATCH(K31,$M$9:M30,1)</f>
        <v>6</v>
      </c>
      <c r="R31" s="0" t="n">
        <f aca="false">-G31*(O31/3600)</f>
        <v>-0.178672218165798</v>
      </c>
      <c r="S31" s="0" t="n">
        <f aca="false">-1*I31-(H31*(P31/3600))</f>
        <v>-19.5</v>
      </c>
      <c r="T31" s="0" t="n">
        <f aca="false">-H31*(O31/3600)</f>
        <v>-0.094060088099306</v>
      </c>
      <c r="U31" s="0" t="n">
        <f aca="false">T31-S31</f>
        <v>19.4059399119007</v>
      </c>
      <c r="V31" s="0" t="n">
        <f aca="false">1/(1+EXP(U31))</f>
        <v>3.73342454605048E-009</v>
      </c>
      <c r="W31" s="0" t="n">
        <f aca="true">RAND()</f>
        <v>0.900803138565082</v>
      </c>
      <c r="X31" s="0" t="n">
        <f aca="false">IF(W31&lt;V31,1,0)</f>
        <v>0</v>
      </c>
      <c r="Y31" s="0" t="n">
        <f aca="false">(M31*(1-X31)+N31*X31)*D31+M31*E31</f>
        <v>250.738410700958</v>
      </c>
      <c r="Z31" s="0" t="n">
        <f aca="false">((1-X31)*O31+X31*P31)*D31+E31*O31</f>
        <v>66.9755177923338</v>
      </c>
      <c r="AA31" s="0" t="n">
        <f aca="false">IF(D31*X31&gt;0,AA30,Q31)</f>
        <v>6</v>
      </c>
      <c r="AB31" s="0" t="n">
        <f aca="false">(X31*D31)</f>
        <v>0</v>
      </c>
      <c r="AC31" s="0" t="n">
        <f aca="false">SUM(AB$10:AB30)/K31</f>
        <v>0</v>
      </c>
      <c r="AD31" s="0" t="n">
        <f aca="false">R31*E31+D31*(X31*S31+(1-X31)*T31)</f>
        <v>-0.178672218165798</v>
      </c>
      <c r="AE31" s="0" t="n">
        <f aca="false">Z31</f>
        <v>66.9755177923338</v>
      </c>
      <c r="AF31" s="0" t="n">
        <f aca="false">E31*O31</f>
        <v>66.9755177923338</v>
      </c>
      <c r="AG31" s="0" t="n">
        <f aca="false">((1-X31)*O31+X31*P31)*D31</f>
        <v>0</v>
      </c>
      <c r="AH31" s="0" t="n">
        <f aca="false">D31*(LN(EXP(S31)+EXP(T31)))</f>
        <v>-0</v>
      </c>
      <c r="AJ31" s="0" t="n">
        <f aca="false">$J$5</f>
        <v>10</v>
      </c>
      <c r="AK31" s="4" t="n">
        <f aca="false">AJ31+MAX(K31,AK$10:AK30)</f>
        <v>250.738410700958</v>
      </c>
      <c r="AL31" s="5" t="n">
        <f aca="false">AK31-K31</f>
        <v>66.9755177923338</v>
      </c>
      <c r="AM31" s="0" t="n">
        <f aca="false">-G31*AL31/3600</f>
        <v>-0.178672218165798</v>
      </c>
      <c r="AN31" s="0" t="n">
        <f aca="false">-H31*AL31/3600</f>
        <v>-0.0940600880993059</v>
      </c>
      <c r="AO31" s="0" t="n">
        <f aca="false">AM31*E31+AN31*D31</f>
        <v>-0.178672218165798</v>
      </c>
      <c r="AP31" s="0" t="n">
        <f aca="false">AL31*D31</f>
        <v>0</v>
      </c>
      <c r="AR31" s="0" t="n">
        <f aca="false">AN31*D31</f>
        <v>-0</v>
      </c>
      <c r="AS31" s="0" t="n">
        <f aca="false">AH31-AR31</f>
        <v>0</v>
      </c>
    </row>
    <row r="32" customFormat="false" ht="12" hidden="false" customHeight="false" outlineLevel="0" collapsed="false">
      <c r="A32" s="3" t="n">
        <f aca="false">A31+1</f>
        <v>23</v>
      </c>
      <c r="B32" s="3" t="n">
        <f aca="false">IF(A32&lt;$N$4/3,0.1,(IF(A32&gt;2*$N$4/3,0.05,0.12)))</f>
        <v>0.1</v>
      </c>
      <c r="C32" s="4" t="n">
        <f aca="true">RAND()</f>
        <v>0.50755009118657</v>
      </c>
      <c r="D32" s="0" t="n">
        <f aca="false">IF((C32&gt;$M$2),1,0)</f>
        <v>0</v>
      </c>
      <c r="E32" s="0" t="n">
        <f aca="false">1-D32</f>
        <v>1</v>
      </c>
      <c r="F32" s="0" t="n">
        <f aca="true">RAND()</f>
        <v>0.956503292427376</v>
      </c>
      <c r="G32" s="0" t="n">
        <f aca="false">7.75+F32*10</f>
        <v>17.3150329242738</v>
      </c>
      <c r="H32" s="0" t="n">
        <f aca="false">LOGINV(F32,2.64,1.139)</f>
        <v>98.4324293914024</v>
      </c>
      <c r="I32" s="0" t="n">
        <v>19.5</v>
      </c>
      <c r="J32" s="4" t="n">
        <f aca="true">-LN(RAND())/B32</f>
        <v>5.28487853984784</v>
      </c>
      <c r="K32" s="4" t="n">
        <f aca="false">K31+J32</f>
        <v>189.047771448472</v>
      </c>
      <c r="L32" s="4" t="n">
        <f aca="false">(1/$J$4)*(1+AB31)</f>
        <v>10</v>
      </c>
      <c r="M32" s="4" t="n">
        <f aca="false">L32+MAX(K32,Y$10:Y31)</f>
        <v>260.738410700958</v>
      </c>
      <c r="N32" s="4" t="n">
        <f aca="false">K32</f>
        <v>189.047771448472</v>
      </c>
      <c r="O32" s="4" t="n">
        <f aca="false">M32-K32</f>
        <v>71.6906392524859</v>
      </c>
      <c r="P32" s="4" t="n">
        <f aca="false">N32-K32</f>
        <v>0</v>
      </c>
      <c r="Q32" s="4" t="n">
        <f aca="false">A32-MATCH(K32,$M$9:M31,1)</f>
        <v>7</v>
      </c>
      <c r="R32" s="0" t="n">
        <f aca="false">-G32*(O32/3600)</f>
        <v>-0.344812716394174</v>
      </c>
      <c r="S32" s="0" t="n">
        <f aca="false">-1*I32-(H32*(P32/3600))</f>
        <v>-19.5</v>
      </c>
      <c r="T32" s="0" t="n">
        <f aca="false">-H32*(O32/3600)</f>
        <v>-1.96018994062356</v>
      </c>
      <c r="U32" s="0" t="n">
        <f aca="false">T32-S32</f>
        <v>17.5398100593764</v>
      </c>
      <c r="V32" s="0" t="n">
        <f aca="false">1/(1+EXP(U32))</f>
        <v>2.41299969548674E-008</v>
      </c>
      <c r="W32" s="0" t="n">
        <f aca="true">RAND()</f>
        <v>0.587823118790004</v>
      </c>
      <c r="X32" s="0" t="n">
        <f aca="false">IF(W32&lt;V32,1,0)</f>
        <v>0</v>
      </c>
      <c r="Y32" s="0" t="n">
        <f aca="false">(M32*(1-X32)+N32*X32)*D32+M32*E32</f>
        <v>260.738410700958</v>
      </c>
      <c r="Z32" s="0" t="n">
        <f aca="false">((1-X32)*O32+X32*P32)*D32+E32*O32</f>
        <v>71.6906392524859</v>
      </c>
      <c r="AA32" s="0" t="n">
        <f aca="false">IF(D32*X32&gt;0,AA31,Q32)</f>
        <v>7</v>
      </c>
      <c r="AB32" s="0" t="n">
        <f aca="false">(X32*D32)</f>
        <v>0</v>
      </c>
      <c r="AC32" s="0" t="n">
        <f aca="false">SUM(AB$10:AB31)/K32</f>
        <v>0</v>
      </c>
      <c r="AD32" s="0" t="n">
        <f aca="false">R32*E32+D32*(X32*S32+(1-X32)*T32)</f>
        <v>-0.344812716394174</v>
      </c>
      <c r="AE32" s="0" t="n">
        <f aca="false">Z32</f>
        <v>71.6906392524859</v>
      </c>
      <c r="AF32" s="0" t="n">
        <f aca="false">E32*O32</f>
        <v>71.6906392524859</v>
      </c>
      <c r="AG32" s="0" t="n">
        <f aca="false">((1-X32)*O32+X32*P32)*D32</f>
        <v>0</v>
      </c>
      <c r="AH32" s="0" t="n">
        <f aca="false">D32*(LN(EXP(S32)+EXP(T32)))</f>
        <v>-0</v>
      </c>
      <c r="AJ32" s="0" t="n">
        <f aca="false">$J$5</f>
        <v>10</v>
      </c>
      <c r="AK32" s="4" t="n">
        <f aca="false">AJ32+MAX(K32,AK$10:AK31)</f>
        <v>260.738410700958</v>
      </c>
      <c r="AL32" s="5" t="n">
        <f aca="false">AK32-K32</f>
        <v>71.6906392524859</v>
      </c>
      <c r="AM32" s="0" t="n">
        <f aca="false">-G32*AL32/3600</f>
        <v>-0.344812716394174</v>
      </c>
      <c r="AN32" s="0" t="n">
        <f aca="false">-H32*AL32/3600</f>
        <v>-1.96018994062356</v>
      </c>
      <c r="AO32" s="0" t="n">
        <f aca="false">AM32*E32+AN32*D32</f>
        <v>-0.344812716394174</v>
      </c>
      <c r="AP32" s="0" t="n">
        <f aca="false">AL32*D32</f>
        <v>0</v>
      </c>
      <c r="AR32" s="0" t="n">
        <f aca="false">AN32*D32</f>
        <v>-0</v>
      </c>
      <c r="AS32" s="0" t="n">
        <f aca="false">AH32-AR32</f>
        <v>0</v>
      </c>
    </row>
    <row r="33" customFormat="false" ht="12" hidden="false" customHeight="false" outlineLevel="0" collapsed="false">
      <c r="A33" s="3" t="n">
        <f aca="false">A32+1</f>
        <v>24</v>
      </c>
      <c r="B33" s="3" t="n">
        <f aca="false">IF(A33&lt;$N$4/3,0.1,(IF(A33&gt;2*$N$4/3,0.05,0.12)))</f>
        <v>0.1</v>
      </c>
      <c r="C33" s="4" t="n">
        <f aca="true">RAND()</f>
        <v>0.299028763621666</v>
      </c>
      <c r="D33" s="0" t="n">
        <f aca="false">IF((C33&gt;$M$2),1,0)</f>
        <v>0</v>
      </c>
      <c r="E33" s="0" t="n">
        <f aca="false">1-D33</f>
        <v>1</v>
      </c>
      <c r="F33" s="0" t="n">
        <f aca="true">RAND()</f>
        <v>0.0450136835013189</v>
      </c>
      <c r="G33" s="0" t="n">
        <f aca="false">7.75+F33*10</f>
        <v>8.20013683501319</v>
      </c>
      <c r="H33" s="0" t="n">
        <f aca="false">LOGINV(F33,2.64,1.139)</f>
        <v>2.03217452616405</v>
      </c>
      <c r="I33" s="0" t="n">
        <v>19.5</v>
      </c>
      <c r="J33" s="4" t="n">
        <f aca="true">-LN(RAND())/B33</f>
        <v>7.53413952501393</v>
      </c>
      <c r="K33" s="4" t="n">
        <f aca="false">K32+J33</f>
        <v>196.581910973486</v>
      </c>
      <c r="L33" s="4" t="n">
        <f aca="false">(1/$J$4)*(1+AB32)</f>
        <v>10</v>
      </c>
      <c r="M33" s="4" t="n">
        <f aca="false">L33+MAX(K33,Y$10:Y32)</f>
        <v>270.738410700958</v>
      </c>
      <c r="N33" s="4" t="n">
        <f aca="false">K33</f>
        <v>196.581910973486</v>
      </c>
      <c r="O33" s="4" t="n">
        <f aca="false">M33-K33</f>
        <v>74.156499727472</v>
      </c>
      <c r="P33" s="4" t="n">
        <f aca="false">N33-K33</f>
        <v>0</v>
      </c>
      <c r="Q33" s="4" t="n">
        <f aca="false">A33-MATCH(K33,$M$9:M32,1)</f>
        <v>7</v>
      </c>
      <c r="R33" s="0" t="n">
        <f aca="false">-G33*(O33/3600)</f>
        <v>-0.168914845825247</v>
      </c>
      <c r="S33" s="0" t="n">
        <f aca="false">-1*I33-(H33*(P33/3600))</f>
        <v>-19.5</v>
      </c>
      <c r="T33" s="0" t="n">
        <f aca="false">-H33*(O33/3600)</f>
        <v>-0.0418608193599055</v>
      </c>
      <c r="U33" s="0" t="n">
        <f aca="false">T33-S33</f>
        <v>19.4581391806401</v>
      </c>
      <c r="V33" s="0" t="n">
        <f aca="false">1/(1+EXP(U33))</f>
        <v>3.54354150701121E-009</v>
      </c>
      <c r="W33" s="0" t="n">
        <f aca="true">RAND()</f>
        <v>0.265324186551218</v>
      </c>
      <c r="X33" s="0" t="n">
        <f aca="false">IF(W33&lt;V33,1,0)</f>
        <v>0</v>
      </c>
      <c r="Y33" s="0" t="n">
        <f aca="false">(M33*(1-X33)+N33*X33)*D33+M33*E33</f>
        <v>270.738410700958</v>
      </c>
      <c r="Z33" s="0" t="n">
        <f aca="false">((1-X33)*O33+X33*P33)*D33+E33*O33</f>
        <v>74.156499727472</v>
      </c>
      <c r="AA33" s="0" t="n">
        <f aca="false">IF(D33*X33&gt;0,AA32,Q33)</f>
        <v>7</v>
      </c>
      <c r="AB33" s="0" t="n">
        <f aca="false">(X33*D33)</f>
        <v>0</v>
      </c>
      <c r="AC33" s="0" t="n">
        <f aca="false">SUM(AB$10:AB32)/K33</f>
        <v>0</v>
      </c>
      <c r="AD33" s="0" t="n">
        <f aca="false">R33*E33+D33*(X33*S33+(1-X33)*T33)</f>
        <v>-0.168914845825247</v>
      </c>
      <c r="AE33" s="0" t="n">
        <f aca="false">Z33</f>
        <v>74.156499727472</v>
      </c>
      <c r="AF33" s="0" t="n">
        <f aca="false">E33*O33</f>
        <v>74.156499727472</v>
      </c>
      <c r="AG33" s="0" t="n">
        <f aca="false">((1-X33)*O33+X33*P33)*D33</f>
        <v>0</v>
      </c>
      <c r="AH33" s="0" t="n">
        <f aca="false">D33*(LN(EXP(S33)+EXP(T33)))</f>
        <v>-0</v>
      </c>
      <c r="AJ33" s="0" t="n">
        <f aca="false">$J$5</f>
        <v>10</v>
      </c>
      <c r="AK33" s="4" t="n">
        <f aca="false">AJ33+MAX(K33,AK$10:AK32)</f>
        <v>270.738410700958</v>
      </c>
      <c r="AL33" s="5" t="n">
        <f aca="false">AK33-K33</f>
        <v>74.156499727472</v>
      </c>
      <c r="AM33" s="0" t="n">
        <f aca="false">-G33*AL33/3600</f>
        <v>-0.168914845825247</v>
      </c>
      <c r="AN33" s="0" t="n">
        <f aca="false">-H33*AL33/3600</f>
        <v>-0.0418608193599055</v>
      </c>
      <c r="AO33" s="0" t="n">
        <f aca="false">AM33*E33+AN33*D33</f>
        <v>-0.168914845825247</v>
      </c>
      <c r="AP33" s="0" t="n">
        <f aca="false">AL33*D33</f>
        <v>0</v>
      </c>
      <c r="AR33" s="0" t="n">
        <f aca="false">AN33*D33</f>
        <v>-0</v>
      </c>
      <c r="AS33" s="0" t="n">
        <f aca="false">AH33-AR33</f>
        <v>0</v>
      </c>
    </row>
    <row r="34" customFormat="false" ht="12" hidden="false" customHeight="false" outlineLevel="0" collapsed="false">
      <c r="A34" s="3" t="n">
        <f aca="false">A33+1</f>
        <v>25</v>
      </c>
      <c r="B34" s="3" t="n">
        <f aca="false">IF(A34&lt;$N$4/3,0.1,(IF(A34&gt;2*$N$4/3,0.05,0.12)))</f>
        <v>0.1</v>
      </c>
      <c r="C34" s="4" t="n">
        <f aca="true">RAND()</f>
        <v>0.163289199248461</v>
      </c>
      <c r="D34" s="0" t="n">
        <f aca="false">IF((C34&gt;$M$2),1,0)</f>
        <v>0</v>
      </c>
      <c r="E34" s="0" t="n">
        <f aca="false">1-D34</f>
        <v>1</v>
      </c>
      <c r="F34" s="0" t="n">
        <f aca="true">RAND()</f>
        <v>0.80454553031099</v>
      </c>
      <c r="G34" s="0" t="n">
        <f aca="false">7.75+F34*10</f>
        <v>15.7954553031099</v>
      </c>
      <c r="H34" s="0" t="n">
        <f aca="false">LOGINV(F34,2.64,1.139)</f>
        <v>37.2342119685946</v>
      </c>
      <c r="I34" s="0" t="n">
        <v>19.5</v>
      </c>
      <c r="J34" s="4" t="n">
        <f aca="true">-LN(RAND())/B34</f>
        <v>28.7044869703451</v>
      </c>
      <c r="K34" s="4" t="n">
        <f aca="false">K33+J34</f>
        <v>225.286397943831</v>
      </c>
      <c r="L34" s="4" t="n">
        <f aca="false">(1/$J$4)*(1+AB33)</f>
        <v>10</v>
      </c>
      <c r="M34" s="4" t="n">
        <f aca="false">L34+MAX(K34,Y$10:Y33)</f>
        <v>280.738410700958</v>
      </c>
      <c r="N34" s="4" t="n">
        <f aca="false">K34</f>
        <v>225.286397943831</v>
      </c>
      <c r="O34" s="4" t="n">
        <f aca="false">M34-K34</f>
        <v>55.4520127571269</v>
      </c>
      <c r="P34" s="4" t="n">
        <f aca="false">N34-K34</f>
        <v>0</v>
      </c>
      <c r="Q34" s="4" t="n">
        <f aca="false">A34-MATCH(K34,$M$9:M33,1)</f>
        <v>5</v>
      </c>
      <c r="R34" s="0" t="n">
        <f aca="false">-G34*(O34/3600)</f>
        <v>-0.243302719159077</v>
      </c>
      <c r="S34" s="0" t="n">
        <f aca="false">-1*I34-(H34*(P34/3600))</f>
        <v>-19.5</v>
      </c>
      <c r="T34" s="0" t="n">
        <f aca="false">-H34*(O34/3600)</f>
        <v>-0.573531110301132</v>
      </c>
      <c r="U34" s="0" t="n">
        <f aca="false">T34-S34</f>
        <v>18.9264688896989</v>
      </c>
      <c r="V34" s="0" t="n">
        <f aca="false">1/(1+EXP(U34))</f>
        <v>6.03030108829992E-009</v>
      </c>
      <c r="W34" s="0" t="n">
        <f aca="true">RAND()</f>
        <v>0.0068654360912597</v>
      </c>
      <c r="X34" s="0" t="n">
        <f aca="false">IF(W34&lt;V34,1,0)</f>
        <v>0</v>
      </c>
      <c r="Y34" s="0" t="n">
        <f aca="false">(M34*(1-X34)+N34*X34)*D34+M34*E34</f>
        <v>280.738410700958</v>
      </c>
      <c r="Z34" s="0" t="n">
        <f aca="false">((1-X34)*O34+X34*P34)*D34+E34*O34</f>
        <v>55.4520127571269</v>
      </c>
      <c r="AA34" s="0" t="n">
        <f aca="false">IF(D34*X34&gt;0,AA33,Q34)</f>
        <v>5</v>
      </c>
      <c r="AB34" s="0" t="n">
        <f aca="false">(X34*D34)</f>
        <v>0</v>
      </c>
      <c r="AC34" s="0" t="n">
        <f aca="false">SUM(AB$10:AB33)/K34</f>
        <v>0</v>
      </c>
      <c r="AD34" s="0" t="n">
        <f aca="false">R34*E34+D34*(X34*S34+(1-X34)*T34)</f>
        <v>-0.243302719159077</v>
      </c>
      <c r="AE34" s="0" t="n">
        <f aca="false">Z34</f>
        <v>55.4520127571269</v>
      </c>
      <c r="AF34" s="0" t="n">
        <f aca="false">E34*O34</f>
        <v>55.4520127571269</v>
      </c>
      <c r="AG34" s="0" t="n">
        <f aca="false">((1-X34)*O34+X34*P34)*D34</f>
        <v>0</v>
      </c>
      <c r="AH34" s="0" t="n">
        <f aca="false">D34*(LN(EXP(S34)+EXP(T34)))</f>
        <v>-0</v>
      </c>
      <c r="AJ34" s="0" t="n">
        <f aca="false">$J$5</f>
        <v>10</v>
      </c>
      <c r="AK34" s="4" t="n">
        <f aca="false">AJ34+MAX(K34,AK$10:AK33)</f>
        <v>280.738410700958</v>
      </c>
      <c r="AL34" s="5" t="n">
        <f aca="false">AK34-K34</f>
        <v>55.4520127571269</v>
      </c>
      <c r="AM34" s="0" t="n">
        <f aca="false">-G34*AL34/3600</f>
        <v>-0.243302719159077</v>
      </c>
      <c r="AN34" s="0" t="n">
        <f aca="false">-H34*AL34/3600</f>
        <v>-0.573531110301132</v>
      </c>
      <c r="AO34" s="0" t="n">
        <f aca="false">AM34*E34+AN34*D34</f>
        <v>-0.243302719159077</v>
      </c>
      <c r="AP34" s="0" t="n">
        <f aca="false">AL34*D34</f>
        <v>0</v>
      </c>
      <c r="AR34" s="0" t="n">
        <f aca="false">AN34*D34</f>
        <v>-0</v>
      </c>
      <c r="AS34" s="0" t="n">
        <f aca="false">AH34-AR34</f>
        <v>0</v>
      </c>
    </row>
    <row r="35" customFormat="false" ht="12" hidden="false" customHeight="false" outlineLevel="0" collapsed="false">
      <c r="A35" s="3" t="n">
        <f aca="false">A34+1</f>
        <v>26</v>
      </c>
      <c r="B35" s="3" t="n">
        <f aca="false">IF(A35&lt;$N$4/3,0.1,(IF(A35&gt;2*$N$4/3,0.05,0.12)))</f>
        <v>0.1</v>
      </c>
      <c r="C35" s="4" t="n">
        <f aca="true">RAND()</f>
        <v>0.297103158239691</v>
      </c>
      <c r="D35" s="0" t="n">
        <f aca="false">IF((C35&gt;$M$2),1,0)</f>
        <v>0</v>
      </c>
      <c r="E35" s="0" t="n">
        <f aca="false">1-D35</f>
        <v>1</v>
      </c>
      <c r="F35" s="0" t="n">
        <f aca="true">RAND()</f>
        <v>0.629968402443428</v>
      </c>
      <c r="G35" s="0" t="n">
        <f aca="false">7.75+F35*10</f>
        <v>14.0496840244343</v>
      </c>
      <c r="H35" s="0" t="n">
        <f aca="false">LOGINV(F35,2.64,1.139)</f>
        <v>20.4480115616603</v>
      </c>
      <c r="I35" s="0" t="n">
        <v>19.5</v>
      </c>
      <c r="J35" s="4" t="n">
        <f aca="true">-LN(RAND())/B35</f>
        <v>0.381340455598639</v>
      </c>
      <c r="K35" s="4" t="n">
        <f aca="false">K34+J35</f>
        <v>225.66773839943</v>
      </c>
      <c r="L35" s="4" t="n">
        <f aca="false">(1/$J$4)*(1+AB34)</f>
        <v>10</v>
      </c>
      <c r="M35" s="4" t="n">
        <f aca="false">L35+MAX(K35,Y$10:Y34)</f>
        <v>290.738410700958</v>
      </c>
      <c r="N35" s="4" t="n">
        <f aca="false">K35</f>
        <v>225.66773839943</v>
      </c>
      <c r="O35" s="4" t="n">
        <f aca="false">M35-K35</f>
        <v>65.0706723015282</v>
      </c>
      <c r="P35" s="4" t="n">
        <f aca="false">N35-K35</f>
        <v>0</v>
      </c>
      <c r="Q35" s="4" t="n">
        <f aca="false">A35-MATCH(K35,$M$9:M34,1)</f>
        <v>6</v>
      </c>
      <c r="R35" s="0" t="n">
        <f aca="false">-G35*(O35/3600)</f>
        <v>-0.253950662526105</v>
      </c>
      <c r="S35" s="0" t="n">
        <f aca="false">-1*I35-(H35*(P35/3600))</f>
        <v>-19.5</v>
      </c>
      <c r="T35" s="0" t="n">
        <f aca="false">-H35*(O35/3600)</f>
        <v>-0.369601627651849</v>
      </c>
      <c r="U35" s="0" t="n">
        <f aca="false">T35-S35</f>
        <v>19.1303983723482</v>
      </c>
      <c r="V35" s="0" t="n">
        <f aca="false">1/(1+EXP(U35))</f>
        <v>4.91783041005356E-009</v>
      </c>
      <c r="W35" s="0" t="n">
        <f aca="true">RAND()</f>
        <v>0.375775176968127</v>
      </c>
      <c r="X35" s="0" t="n">
        <f aca="false">IF(W35&lt;V35,1,0)</f>
        <v>0</v>
      </c>
      <c r="Y35" s="0" t="n">
        <f aca="false">(M35*(1-X35)+N35*X35)*D35+M35*E35</f>
        <v>290.738410700958</v>
      </c>
      <c r="Z35" s="0" t="n">
        <f aca="false">((1-X35)*O35+X35*P35)*D35+E35*O35</f>
        <v>65.0706723015282</v>
      </c>
      <c r="AA35" s="0" t="n">
        <f aca="false">IF(D35*X35&gt;0,AA34,Q35)</f>
        <v>6</v>
      </c>
      <c r="AB35" s="0" t="n">
        <f aca="false">(X35*D35)</f>
        <v>0</v>
      </c>
      <c r="AC35" s="0" t="n">
        <f aca="false">SUM(AB$10:AB34)/K35</f>
        <v>0</v>
      </c>
      <c r="AD35" s="0" t="n">
        <f aca="false">R35*E35+D35*(X35*S35+(1-X35)*T35)</f>
        <v>-0.253950662526105</v>
      </c>
      <c r="AE35" s="0" t="n">
        <f aca="false">Z35</f>
        <v>65.0706723015282</v>
      </c>
      <c r="AF35" s="0" t="n">
        <f aca="false">E35*O35</f>
        <v>65.0706723015282</v>
      </c>
      <c r="AG35" s="0" t="n">
        <f aca="false">((1-X35)*O35+X35*P35)*D35</f>
        <v>0</v>
      </c>
      <c r="AH35" s="0" t="n">
        <f aca="false">D35*(LN(EXP(S35)+EXP(T35)))</f>
        <v>-0</v>
      </c>
      <c r="AJ35" s="0" t="n">
        <f aca="false">$J$5</f>
        <v>10</v>
      </c>
      <c r="AK35" s="4" t="n">
        <f aca="false">AJ35+MAX(K35,AK$10:AK34)</f>
        <v>290.738410700958</v>
      </c>
      <c r="AL35" s="5" t="n">
        <f aca="false">AK35-K35</f>
        <v>65.0706723015282</v>
      </c>
      <c r="AM35" s="0" t="n">
        <f aca="false">-G35*AL35/3600</f>
        <v>-0.253950662526105</v>
      </c>
      <c r="AN35" s="0" t="n">
        <f aca="false">-H35*AL35/3600</f>
        <v>-0.369601627651849</v>
      </c>
      <c r="AO35" s="0" t="n">
        <f aca="false">AM35*E35+AN35*D35</f>
        <v>-0.253950662526105</v>
      </c>
      <c r="AP35" s="0" t="n">
        <f aca="false">AL35*D35</f>
        <v>0</v>
      </c>
      <c r="AR35" s="0" t="n">
        <f aca="false">AN35*D35</f>
        <v>-0</v>
      </c>
      <c r="AS35" s="0" t="n">
        <f aca="false">AH35-AR35</f>
        <v>0</v>
      </c>
    </row>
    <row r="36" customFormat="false" ht="12" hidden="false" customHeight="false" outlineLevel="0" collapsed="false">
      <c r="A36" s="3" t="n">
        <f aca="false">A35+1</f>
        <v>27</v>
      </c>
      <c r="B36" s="3" t="n">
        <f aca="false">IF(A36&lt;$N$4/3,0.1,(IF(A36&gt;2*$N$4/3,0.05,0.12)))</f>
        <v>0.1</v>
      </c>
      <c r="C36" s="4" t="n">
        <f aca="true">RAND()</f>
        <v>0.235366916857986</v>
      </c>
      <c r="D36" s="0" t="n">
        <f aca="false">IF((C36&gt;$M$2),1,0)</f>
        <v>0</v>
      </c>
      <c r="E36" s="0" t="n">
        <f aca="false">1-D36</f>
        <v>1</v>
      </c>
      <c r="F36" s="0" t="n">
        <f aca="true">RAND()</f>
        <v>0.261305235426621</v>
      </c>
      <c r="G36" s="0" t="n">
        <f aca="false">7.75+F36*10</f>
        <v>10.3630523542662</v>
      </c>
      <c r="H36" s="0" t="n">
        <f aca="false">LOGINV(F36,2.64,1.139)</f>
        <v>6.7653024815157</v>
      </c>
      <c r="I36" s="0" t="n">
        <v>19.5</v>
      </c>
      <c r="J36" s="4" t="n">
        <f aca="true">-LN(RAND())/B36</f>
        <v>61.9941572186718</v>
      </c>
      <c r="K36" s="4" t="n">
        <f aca="false">K35+J36</f>
        <v>287.661895618102</v>
      </c>
      <c r="L36" s="4" t="n">
        <f aca="false">(1/$J$4)*(1+AB35)</f>
        <v>10</v>
      </c>
      <c r="M36" s="4" t="n">
        <f aca="false">L36+MAX(K36,Y$10:Y35)</f>
        <v>300.738410700958</v>
      </c>
      <c r="N36" s="4" t="n">
        <f aca="false">K36</f>
        <v>287.661895618102</v>
      </c>
      <c r="O36" s="4" t="n">
        <f aca="false">M36-K36</f>
        <v>13.0765150828564</v>
      </c>
      <c r="P36" s="4" t="n">
        <f aca="false">N36-K36</f>
        <v>0</v>
      </c>
      <c r="Q36" s="4" t="n">
        <f aca="false">A36-MATCH(K36,$M$9:M35,1)</f>
        <v>1</v>
      </c>
      <c r="R36" s="0" t="n">
        <f aca="false">-G36*(O36/3600)</f>
        <v>-0.0376423917819424</v>
      </c>
      <c r="S36" s="0" t="n">
        <f aca="false">-1*I36-(H36*(P36/3600))</f>
        <v>-19.5</v>
      </c>
      <c r="T36" s="0" t="n">
        <f aca="false">-H36*(O36/3600)</f>
        <v>-0.0245740499832295</v>
      </c>
      <c r="U36" s="0" t="n">
        <f aca="false">T36-S36</f>
        <v>19.4754259500168</v>
      </c>
      <c r="V36" s="0" t="n">
        <f aca="false">1/(1+EXP(U36))</f>
        <v>3.48281154715375E-009</v>
      </c>
      <c r="W36" s="0" t="n">
        <f aca="true">RAND()</f>
        <v>0.298405533238691</v>
      </c>
      <c r="X36" s="0" t="n">
        <f aca="false">IF(W36&lt;V36,1,0)</f>
        <v>0</v>
      </c>
      <c r="Y36" s="0" t="n">
        <f aca="false">(M36*(1-X36)+N36*X36)*D36+M36*E36</f>
        <v>300.738410700958</v>
      </c>
      <c r="Z36" s="0" t="n">
        <f aca="false">((1-X36)*O36+X36*P36)*D36+E36*O36</f>
        <v>13.0765150828564</v>
      </c>
      <c r="AA36" s="0" t="n">
        <f aca="false">IF(D36*X36&gt;0,AA35,Q36)</f>
        <v>1</v>
      </c>
      <c r="AB36" s="0" t="n">
        <f aca="false">(X36*D36)</f>
        <v>0</v>
      </c>
      <c r="AC36" s="0" t="n">
        <f aca="false">SUM(AB$10:AB35)/K36</f>
        <v>0</v>
      </c>
      <c r="AD36" s="0" t="n">
        <f aca="false">R36*E36+D36*(X36*S36+(1-X36)*T36)</f>
        <v>-0.0376423917819424</v>
      </c>
      <c r="AE36" s="0" t="n">
        <f aca="false">Z36</f>
        <v>13.0765150828564</v>
      </c>
      <c r="AF36" s="0" t="n">
        <f aca="false">E36*O36</f>
        <v>13.0765150828564</v>
      </c>
      <c r="AG36" s="0" t="n">
        <f aca="false">((1-X36)*O36+X36*P36)*D36</f>
        <v>0</v>
      </c>
      <c r="AH36" s="0" t="n">
        <f aca="false">D36*(LN(EXP(S36)+EXP(T36)))</f>
        <v>-0</v>
      </c>
      <c r="AJ36" s="0" t="n">
        <f aca="false">$J$5</f>
        <v>10</v>
      </c>
      <c r="AK36" s="4" t="n">
        <f aca="false">AJ36+MAX(K36,AK$10:AK35)</f>
        <v>300.738410700958</v>
      </c>
      <c r="AL36" s="5" t="n">
        <f aca="false">AK36-K36</f>
        <v>13.0765150828564</v>
      </c>
      <c r="AM36" s="0" t="n">
        <f aca="false">-G36*AL36/3600</f>
        <v>-0.0376423917819424</v>
      </c>
      <c r="AN36" s="0" t="n">
        <f aca="false">-H36*AL36/3600</f>
        <v>-0.0245740499832295</v>
      </c>
      <c r="AO36" s="0" t="n">
        <f aca="false">AM36*E36+AN36*D36</f>
        <v>-0.0376423917819424</v>
      </c>
      <c r="AP36" s="0" t="n">
        <f aca="false">AL36*D36</f>
        <v>0</v>
      </c>
      <c r="AR36" s="0" t="n">
        <f aca="false">AN36*D36</f>
        <v>-0</v>
      </c>
      <c r="AS36" s="0" t="n">
        <f aca="false">AH36-AR36</f>
        <v>0</v>
      </c>
    </row>
    <row r="37" customFormat="false" ht="12" hidden="false" customHeight="false" outlineLevel="0" collapsed="false">
      <c r="A37" s="3" t="n">
        <f aca="false">A36+1</f>
        <v>28</v>
      </c>
      <c r="B37" s="3" t="n">
        <f aca="false">IF(A37&lt;$N$4/3,0.1,(IF(A37&gt;2*$N$4/3,0.05,0.12)))</f>
        <v>0.1</v>
      </c>
      <c r="C37" s="4" t="n">
        <f aca="true">RAND()</f>
        <v>0.352848670384227</v>
      </c>
      <c r="D37" s="0" t="n">
        <f aca="false">IF((C37&gt;$M$2),1,0)</f>
        <v>0</v>
      </c>
      <c r="E37" s="0" t="n">
        <f aca="false">1-D37</f>
        <v>1</v>
      </c>
      <c r="F37" s="0" t="n">
        <f aca="true">RAND()</f>
        <v>0.623189670638538</v>
      </c>
      <c r="G37" s="0" t="n">
        <f aca="false">7.75+F37*10</f>
        <v>13.9818967063854</v>
      </c>
      <c r="H37" s="0" t="n">
        <f aca="false">LOGINV(F37,2.64,1.139)</f>
        <v>20.0353178113154</v>
      </c>
      <c r="I37" s="0" t="n">
        <v>19.5</v>
      </c>
      <c r="J37" s="4" t="n">
        <f aca="true">-LN(RAND())/B37</f>
        <v>3.70152922680051</v>
      </c>
      <c r="K37" s="4" t="n">
        <f aca="false">K36+J37</f>
        <v>291.363424844902</v>
      </c>
      <c r="L37" s="4" t="n">
        <f aca="false">(1/$J$4)*(1+AB36)</f>
        <v>10</v>
      </c>
      <c r="M37" s="4" t="n">
        <f aca="false">L37+MAX(K37,Y$10:Y36)</f>
        <v>310.738410700958</v>
      </c>
      <c r="N37" s="4" t="n">
        <f aca="false">K37</f>
        <v>291.363424844902</v>
      </c>
      <c r="O37" s="4" t="n">
        <f aca="false">M37-K37</f>
        <v>19.3749858560559</v>
      </c>
      <c r="P37" s="4" t="n">
        <f aca="false">N37-K37</f>
        <v>0</v>
      </c>
      <c r="Q37" s="4" t="n">
        <f aca="false">A37-MATCH(K37,$M$9:M36,1)</f>
        <v>1</v>
      </c>
      <c r="R37" s="0" t="n">
        <f aca="false">-G37*(O37/3600)</f>
        <v>-0.0752497363686254</v>
      </c>
      <c r="S37" s="0" t="n">
        <f aca="false">-1*I37-(H37*(P37/3600))</f>
        <v>-19.5</v>
      </c>
      <c r="T37" s="0" t="n">
        <f aca="false">-H37*(O37/3600)</f>
        <v>-0.107828888671061</v>
      </c>
      <c r="U37" s="0" t="n">
        <f aca="false">T37-S37</f>
        <v>19.3921711113289</v>
      </c>
      <c r="V37" s="0" t="n">
        <f aca="false">1/(1+EXP(U37))</f>
        <v>3.78518484477219E-009</v>
      </c>
      <c r="W37" s="0" t="n">
        <f aca="true">RAND()</f>
        <v>0.493814121242215</v>
      </c>
      <c r="X37" s="0" t="n">
        <f aca="false">IF(W37&lt;V37,1,0)</f>
        <v>0</v>
      </c>
      <c r="Y37" s="0" t="n">
        <f aca="false">(M37*(1-X37)+N37*X37)*D37+M37*E37</f>
        <v>310.738410700958</v>
      </c>
      <c r="Z37" s="0" t="n">
        <f aca="false">((1-X37)*O37+X37*P37)*D37+E37*O37</f>
        <v>19.3749858560559</v>
      </c>
      <c r="AA37" s="0" t="n">
        <f aca="false">IF(D37*X37&gt;0,AA36,Q37)</f>
        <v>1</v>
      </c>
      <c r="AB37" s="0" t="n">
        <f aca="false">(X37*D37)</f>
        <v>0</v>
      </c>
      <c r="AC37" s="0" t="n">
        <f aca="false">SUM(AB$10:AB36)/K37</f>
        <v>0</v>
      </c>
      <c r="AD37" s="0" t="n">
        <f aca="false">R37*E37+D37*(X37*S37+(1-X37)*T37)</f>
        <v>-0.0752497363686254</v>
      </c>
      <c r="AE37" s="0" t="n">
        <f aca="false">Z37</f>
        <v>19.3749858560559</v>
      </c>
      <c r="AF37" s="0" t="n">
        <f aca="false">E37*O37</f>
        <v>19.3749858560559</v>
      </c>
      <c r="AG37" s="0" t="n">
        <f aca="false">((1-X37)*O37+X37*P37)*D37</f>
        <v>0</v>
      </c>
      <c r="AH37" s="0" t="n">
        <f aca="false">D37*(LN(EXP(S37)+EXP(T37)))</f>
        <v>-0</v>
      </c>
      <c r="AJ37" s="0" t="n">
        <f aca="false">$J$5</f>
        <v>10</v>
      </c>
      <c r="AK37" s="4" t="n">
        <f aca="false">AJ37+MAX(K37,AK$10:AK36)</f>
        <v>310.738410700958</v>
      </c>
      <c r="AL37" s="5" t="n">
        <f aca="false">AK37-K37</f>
        <v>19.3749858560559</v>
      </c>
      <c r="AM37" s="0" t="n">
        <f aca="false">-G37*AL37/3600</f>
        <v>-0.0752497363686254</v>
      </c>
      <c r="AN37" s="0" t="n">
        <f aca="false">-H37*AL37/3600</f>
        <v>-0.107828888671061</v>
      </c>
      <c r="AO37" s="0" t="n">
        <f aca="false">AM37*E37+AN37*D37</f>
        <v>-0.0752497363686254</v>
      </c>
      <c r="AP37" s="0" t="n">
        <f aca="false">AL37*D37</f>
        <v>0</v>
      </c>
      <c r="AR37" s="0" t="n">
        <f aca="false">AN37*D37</f>
        <v>-0</v>
      </c>
      <c r="AS37" s="0" t="n">
        <f aca="false">AH37-AR37</f>
        <v>0</v>
      </c>
    </row>
    <row r="38" customFormat="false" ht="12" hidden="false" customHeight="false" outlineLevel="0" collapsed="false">
      <c r="A38" s="3" t="n">
        <f aca="false">A37+1</f>
        <v>29</v>
      </c>
      <c r="B38" s="3" t="n">
        <f aca="false">IF(A38&lt;$N$4/3,0.1,(IF(A38&gt;2*$N$4/3,0.05,0.12)))</f>
        <v>0.1</v>
      </c>
      <c r="C38" s="4" t="n">
        <f aca="true">RAND()</f>
        <v>0.532594831868939</v>
      </c>
      <c r="D38" s="0" t="n">
        <f aca="false">IF((C38&gt;$M$2),1,0)</f>
        <v>0</v>
      </c>
      <c r="E38" s="0" t="n">
        <f aca="false">1-D38</f>
        <v>1</v>
      </c>
      <c r="F38" s="0" t="n">
        <f aca="true">RAND()</f>
        <v>0.289845183375377</v>
      </c>
      <c r="G38" s="0" t="n">
        <f aca="false">7.75+F38*10</f>
        <v>10.6484518337538</v>
      </c>
      <c r="H38" s="0" t="n">
        <f aca="false">LOGINV(F38,2.64,1.139)</f>
        <v>7.45719691691045</v>
      </c>
      <c r="I38" s="0" t="n">
        <v>19.5</v>
      </c>
      <c r="J38" s="4" t="n">
        <f aca="true">-LN(RAND())/B38</f>
        <v>15.2695119035429</v>
      </c>
      <c r="K38" s="4" t="n">
        <f aca="false">K37+J38</f>
        <v>306.632936748445</v>
      </c>
      <c r="L38" s="4" t="n">
        <f aca="false">(1/$J$4)*(1+AB37)</f>
        <v>10</v>
      </c>
      <c r="M38" s="4" t="n">
        <f aca="false">L38+MAX(K38,Y$10:Y37)</f>
        <v>320.738410700958</v>
      </c>
      <c r="N38" s="4" t="n">
        <f aca="false">K38</f>
        <v>306.632936748445</v>
      </c>
      <c r="O38" s="4" t="n">
        <f aca="false">M38-K38</f>
        <v>14.105473952513</v>
      </c>
      <c r="P38" s="4" t="n">
        <f aca="false">N38-K38</f>
        <v>0</v>
      </c>
      <c r="Q38" s="4" t="n">
        <f aca="false">A38-MATCH(K38,$M$9:M37,1)</f>
        <v>1</v>
      </c>
      <c r="R38" s="0" t="n">
        <f aca="false">-G38*(O38/3600)</f>
        <v>-0.0417226277710007</v>
      </c>
      <c r="S38" s="0" t="n">
        <f aca="false">-1*I38-(H38*(P38/3600))</f>
        <v>-19.5</v>
      </c>
      <c r="T38" s="0" t="n">
        <f aca="false">-H38*(O38/3600)</f>
        <v>-0.0292186935750667</v>
      </c>
      <c r="U38" s="0" t="n">
        <f aca="false">T38-S38</f>
        <v>19.4707813064249</v>
      </c>
      <c r="V38" s="0" t="n">
        <f aca="false">1/(1+EXP(U38))</f>
        <v>3.4990255905091E-009</v>
      </c>
      <c r="W38" s="0" t="n">
        <f aca="true">RAND()</f>
        <v>0.82569613084102</v>
      </c>
      <c r="X38" s="0" t="n">
        <f aca="false">IF(W38&lt;V38,1,0)</f>
        <v>0</v>
      </c>
      <c r="Y38" s="0" t="n">
        <f aca="false">(M38*(1-X38)+N38*X38)*D38+M38*E38</f>
        <v>320.738410700958</v>
      </c>
      <c r="Z38" s="0" t="n">
        <f aca="false">((1-X38)*O38+X38*P38)*D38+E38*O38</f>
        <v>14.105473952513</v>
      </c>
      <c r="AA38" s="0" t="n">
        <f aca="false">IF(D38*X38&gt;0,AA37,Q38)</f>
        <v>1</v>
      </c>
      <c r="AB38" s="0" t="n">
        <f aca="false">(X38*D38)</f>
        <v>0</v>
      </c>
      <c r="AC38" s="0" t="n">
        <f aca="false">SUM(AB$10:AB37)/K38</f>
        <v>0</v>
      </c>
      <c r="AD38" s="0" t="n">
        <f aca="false">R38*E38+D38*(X38*S38+(1-X38)*T38)</f>
        <v>-0.0417226277710007</v>
      </c>
      <c r="AE38" s="0" t="n">
        <f aca="false">Z38</f>
        <v>14.105473952513</v>
      </c>
      <c r="AF38" s="0" t="n">
        <f aca="false">E38*O38</f>
        <v>14.105473952513</v>
      </c>
      <c r="AG38" s="0" t="n">
        <f aca="false">((1-X38)*O38+X38*P38)*D38</f>
        <v>0</v>
      </c>
      <c r="AH38" s="0" t="n">
        <f aca="false">D38*(LN(EXP(S38)+EXP(T38)))</f>
        <v>-0</v>
      </c>
      <c r="AJ38" s="0" t="n">
        <f aca="false">$J$5</f>
        <v>10</v>
      </c>
      <c r="AK38" s="4" t="n">
        <f aca="false">AJ38+MAX(K38,AK$10:AK37)</f>
        <v>320.738410700958</v>
      </c>
      <c r="AL38" s="5" t="n">
        <f aca="false">AK38-K38</f>
        <v>14.105473952513</v>
      </c>
      <c r="AM38" s="0" t="n">
        <f aca="false">-G38*AL38/3600</f>
        <v>-0.0417226277710008</v>
      </c>
      <c r="AN38" s="0" t="n">
        <f aca="false">-H38*AL38/3600</f>
        <v>-0.0292186935750667</v>
      </c>
      <c r="AO38" s="0" t="n">
        <f aca="false">AM38*E38+AN38*D38</f>
        <v>-0.0417226277710008</v>
      </c>
      <c r="AP38" s="0" t="n">
        <f aca="false">AL38*D38</f>
        <v>0</v>
      </c>
      <c r="AR38" s="0" t="n">
        <f aca="false">AN38*D38</f>
        <v>-0</v>
      </c>
      <c r="AS38" s="0" t="n">
        <f aca="false">AH38-AR38</f>
        <v>0</v>
      </c>
    </row>
    <row r="39" customFormat="false" ht="12" hidden="false" customHeight="false" outlineLevel="0" collapsed="false">
      <c r="A39" s="3" t="n">
        <f aca="false">A38+1</f>
        <v>30</v>
      </c>
      <c r="B39" s="3" t="n">
        <f aca="false">IF(A39&lt;$N$4/3,0.1,(IF(A39&gt;2*$N$4/3,0.05,0.12)))</f>
        <v>0.1</v>
      </c>
      <c r="C39" s="4" t="n">
        <f aca="true">RAND()</f>
        <v>0.413707447642536</v>
      </c>
      <c r="D39" s="0" t="n">
        <f aca="false">IF((C39&gt;$M$2),1,0)</f>
        <v>0</v>
      </c>
      <c r="E39" s="0" t="n">
        <f aca="false">1-D39</f>
        <v>1</v>
      </c>
      <c r="F39" s="0" t="n">
        <f aca="true">RAND()</f>
        <v>0.508069876224817</v>
      </c>
      <c r="G39" s="0" t="n">
        <f aca="false">7.75+F39*10</f>
        <v>12.8306987622482</v>
      </c>
      <c r="H39" s="0" t="n">
        <f aca="false">LOGINV(F39,2.64,1.139)</f>
        <v>14.3398370013215</v>
      </c>
      <c r="I39" s="0" t="n">
        <v>19.5</v>
      </c>
      <c r="J39" s="4" t="n">
        <f aca="true">-LN(RAND())/B39</f>
        <v>0.994033432743167</v>
      </c>
      <c r="K39" s="4" t="n">
        <f aca="false">K38+J39</f>
        <v>307.626970181188</v>
      </c>
      <c r="L39" s="4" t="n">
        <f aca="false">(1/$J$4)*(1+AB38)</f>
        <v>10</v>
      </c>
      <c r="M39" s="4" t="n">
        <f aca="false">L39+MAX(K39,Y$10:Y38)</f>
        <v>330.738410700958</v>
      </c>
      <c r="N39" s="4" t="n">
        <f aca="false">K39</f>
        <v>307.626970181188</v>
      </c>
      <c r="O39" s="4" t="n">
        <f aca="false">M39-K39</f>
        <v>23.1114405197698</v>
      </c>
      <c r="P39" s="4" t="n">
        <f aca="false">N39-K39</f>
        <v>0</v>
      </c>
      <c r="Q39" s="4" t="n">
        <f aca="false">A39-MATCH(K39,$M$9:M38,1)</f>
        <v>2</v>
      </c>
      <c r="R39" s="0" t="n">
        <f aca="false">-G39*(O39/3600)</f>
        <v>-0.0823710920196619</v>
      </c>
      <c r="S39" s="0" t="n">
        <f aca="false">-1*I39-(H39*(P39/3600))</f>
        <v>-19.5</v>
      </c>
      <c r="T39" s="0" t="n">
        <f aca="false">-H39*(O39/3600)</f>
        <v>-0.0920595249775653</v>
      </c>
      <c r="U39" s="0" t="n">
        <f aca="false">T39-S39</f>
        <v>19.4079404750224</v>
      </c>
      <c r="V39" s="0" t="n">
        <f aca="false">1/(1+EXP(U39))</f>
        <v>3.72596306068847E-009</v>
      </c>
      <c r="W39" s="0" t="n">
        <f aca="true">RAND()</f>
        <v>0.777153931122416</v>
      </c>
      <c r="X39" s="0" t="n">
        <f aca="false">IF(W39&lt;V39,1,0)</f>
        <v>0</v>
      </c>
      <c r="Y39" s="0" t="n">
        <f aca="false">(M39*(1-X39)+N39*X39)*D39+M39*E39</f>
        <v>330.738410700958</v>
      </c>
      <c r="Z39" s="0" t="n">
        <f aca="false">((1-X39)*O39+X39*P39)*D39+E39*O39</f>
        <v>23.1114405197698</v>
      </c>
      <c r="AA39" s="0" t="n">
        <f aca="false">IF(D39*X39&gt;0,AA38,Q39)</f>
        <v>2</v>
      </c>
      <c r="AB39" s="0" t="n">
        <f aca="false">(X39*D39)</f>
        <v>0</v>
      </c>
      <c r="AC39" s="0" t="n">
        <f aca="false">SUM(AB$10:AB38)/K39</f>
        <v>0</v>
      </c>
      <c r="AD39" s="0" t="n">
        <f aca="false">R39*E39+D39*(X39*S39+(1-X39)*T39)</f>
        <v>-0.0823710920196619</v>
      </c>
      <c r="AE39" s="0" t="n">
        <f aca="false">Z39</f>
        <v>23.1114405197698</v>
      </c>
      <c r="AF39" s="0" t="n">
        <f aca="false">E39*O39</f>
        <v>23.1114405197698</v>
      </c>
      <c r="AG39" s="0" t="n">
        <f aca="false">((1-X39)*O39+X39*P39)*D39</f>
        <v>0</v>
      </c>
      <c r="AH39" s="0" t="n">
        <f aca="false">D39*(LN(EXP(S39)+EXP(T39)))</f>
        <v>-0</v>
      </c>
      <c r="AJ39" s="0" t="n">
        <f aca="false">$J$5</f>
        <v>10</v>
      </c>
      <c r="AK39" s="4" t="n">
        <f aca="false">AJ39+MAX(K39,AK$10:AK38)</f>
        <v>330.738410700958</v>
      </c>
      <c r="AL39" s="5" t="n">
        <f aca="false">AK39-K39</f>
        <v>23.1114405197698</v>
      </c>
      <c r="AM39" s="0" t="n">
        <f aca="false">-G39*AL39/3600</f>
        <v>-0.0823710920196619</v>
      </c>
      <c r="AN39" s="0" t="n">
        <f aca="false">-H39*AL39/3600</f>
        <v>-0.0920595249775653</v>
      </c>
      <c r="AO39" s="0" t="n">
        <f aca="false">AM39*E39+AN39*D39</f>
        <v>-0.0823710920196619</v>
      </c>
      <c r="AP39" s="0" t="n">
        <f aca="false">AL39*D39</f>
        <v>0</v>
      </c>
      <c r="AR39" s="0" t="n">
        <f aca="false">AN39*D39</f>
        <v>-0</v>
      </c>
      <c r="AS39" s="0" t="n">
        <f aca="false">AH39-AR39</f>
        <v>0</v>
      </c>
    </row>
    <row r="40" customFormat="false" ht="12" hidden="false" customHeight="false" outlineLevel="0" collapsed="false">
      <c r="A40" s="3" t="n">
        <f aca="false">A39+1</f>
        <v>31</v>
      </c>
      <c r="B40" s="3" t="n">
        <f aca="false">IF(A40&lt;$N$4/3,0.1,(IF(A40&gt;2*$N$4/3,0.05,0.12)))</f>
        <v>0.1</v>
      </c>
      <c r="C40" s="4" t="n">
        <f aca="true">RAND()</f>
        <v>0.173240726198888</v>
      </c>
      <c r="D40" s="0" t="n">
        <f aca="false">IF((C40&gt;$M$2),1,0)</f>
        <v>0</v>
      </c>
      <c r="E40" s="0" t="n">
        <f aca="false">1-D40</f>
        <v>1</v>
      </c>
      <c r="F40" s="0" t="n">
        <f aca="true">RAND()</f>
        <v>0.787568255022608</v>
      </c>
      <c r="G40" s="0" t="n">
        <f aca="false">7.75+F40*10</f>
        <v>15.6256825502261</v>
      </c>
      <c r="H40" s="0" t="n">
        <f aca="false">LOGINV(F40,2.64,1.139)</f>
        <v>34.7762867607268</v>
      </c>
      <c r="I40" s="0" t="n">
        <v>19.5</v>
      </c>
      <c r="J40" s="4" t="n">
        <f aca="true">-LN(RAND())/B40</f>
        <v>0.752283972131731</v>
      </c>
      <c r="K40" s="4" t="n">
        <f aca="false">K39+J40</f>
        <v>308.37925415332</v>
      </c>
      <c r="L40" s="4" t="n">
        <f aca="false">(1/$J$4)*(1+AB39)</f>
        <v>10</v>
      </c>
      <c r="M40" s="4" t="n">
        <f aca="false">L40+MAX(K40,Y$10:Y39)</f>
        <v>340.738410700958</v>
      </c>
      <c r="N40" s="4" t="n">
        <f aca="false">K40</f>
        <v>308.37925415332</v>
      </c>
      <c r="O40" s="4" t="n">
        <f aca="false">M40-K40</f>
        <v>32.3591565476381</v>
      </c>
      <c r="P40" s="4" t="n">
        <f aca="false">N40-K40</f>
        <v>0</v>
      </c>
      <c r="Q40" s="4" t="n">
        <f aca="false">A40-MATCH(K40,$M$9:M39,1)</f>
        <v>3</v>
      </c>
      <c r="R40" s="0" t="n">
        <f aca="false">-G40*(O40/3600)</f>
        <v>-0.140453863279573</v>
      </c>
      <c r="S40" s="0" t="n">
        <f aca="false">-1*I40-(H40*(P40/3600))</f>
        <v>-19.5</v>
      </c>
      <c r="T40" s="0" t="n">
        <f aca="false">-H40*(O40/3600)</f>
        <v>-0.312592029843309</v>
      </c>
      <c r="U40" s="0" t="n">
        <f aca="false">T40-S40</f>
        <v>19.1874079701567</v>
      </c>
      <c r="V40" s="0" t="n">
        <f aca="false">1/(1+EXP(U40))</f>
        <v>4.64530885575392E-009</v>
      </c>
      <c r="W40" s="0" t="n">
        <f aca="true">RAND()</f>
        <v>0.377005174517355</v>
      </c>
      <c r="X40" s="0" t="n">
        <f aca="false">IF(W40&lt;V40,1,0)</f>
        <v>0</v>
      </c>
      <c r="Y40" s="0" t="n">
        <f aca="false">(M40*(1-X40)+N40*X40)*D40+M40*E40</f>
        <v>340.738410700958</v>
      </c>
      <c r="Z40" s="0" t="n">
        <f aca="false">((1-X40)*O40+X40*P40)*D40+E40*O40</f>
        <v>32.3591565476381</v>
      </c>
      <c r="AA40" s="0" t="n">
        <f aca="false">IF(D40*X40&gt;0,AA39,Q40)</f>
        <v>3</v>
      </c>
      <c r="AB40" s="0" t="n">
        <f aca="false">(X40*D40)</f>
        <v>0</v>
      </c>
      <c r="AC40" s="0" t="n">
        <f aca="false">SUM(AB$10:AB39)/K40</f>
        <v>0</v>
      </c>
      <c r="AD40" s="0" t="n">
        <f aca="false">R40*E40+D40*(X40*S40+(1-X40)*T40)</f>
        <v>-0.140453863279573</v>
      </c>
      <c r="AE40" s="0" t="n">
        <f aca="false">Z40</f>
        <v>32.3591565476381</v>
      </c>
      <c r="AF40" s="0" t="n">
        <f aca="false">E40*O40</f>
        <v>32.3591565476381</v>
      </c>
      <c r="AG40" s="0" t="n">
        <f aca="false">((1-X40)*O40+X40*P40)*D40</f>
        <v>0</v>
      </c>
      <c r="AH40" s="0" t="n">
        <f aca="false">D40*(LN(EXP(S40)+EXP(T40)))</f>
        <v>-0</v>
      </c>
      <c r="AJ40" s="0" t="n">
        <f aca="false">$J$5</f>
        <v>10</v>
      </c>
      <c r="AK40" s="4" t="n">
        <f aca="false">AJ40+MAX(K40,AK$10:AK39)</f>
        <v>340.738410700958</v>
      </c>
      <c r="AL40" s="5" t="n">
        <f aca="false">AK40-K40</f>
        <v>32.3591565476381</v>
      </c>
      <c r="AM40" s="0" t="n">
        <f aca="false">-G40*AL40/3600</f>
        <v>-0.140453863279573</v>
      </c>
      <c r="AN40" s="0" t="n">
        <f aca="false">-H40*AL40/3600</f>
        <v>-0.312592029843309</v>
      </c>
      <c r="AO40" s="0" t="n">
        <f aca="false">AM40*E40+AN40*D40</f>
        <v>-0.140453863279573</v>
      </c>
      <c r="AP40" s="0" t="n">
        <f aca="false">AL40*D40</f>
        <v>0</v>
      </c>
      <c r="AR40" s="0" t="n">
        <f aca="false">AN40*D40</f>
        <v>-0</v>
      </c>
      <c r="AS40" s="0" t="n">
        <f aca="false">AH40-AR40</f>
        <v>0</v>
      </c>
    </row>
    <row r="41" customFormat="false" ht="12" hidden="false" customHeight="false" outlineLevel="0" collapsed="false">
      <c r="A41" s="3" t="n">
        <f aca="false">A40+1</f>
        <v>32</v>
      </c>
      <c r="B41" s="3" t="n">
        <f aca="false">IF(A41&lt;$N$4/3,0.1,(IF(A41&gt;2*$N$4/3,0.05,0.12)))</f>
        <v>0.1</v>
      </c>
      <c r="C41" s="4" t="n">
        <f aca="true">RAND()</f>
        <v>0.495030877613745</v>
      </c>
      <c r="D41" s="0" t="n">
        <f aca="false">IF((C41&gt;$M$2),1,0)</f>
        <v>0</v>
      </c>
      <c r="E41" s="0" t="n">
        <f aca="false">1-D41</f>
        <v>1</v>
      </c>
      <c r="F41" s="0" t="n">
        <f aca="true">RAND()</f>
        <v>0.763191597755113</v>
      </c>
      <c r="G41" s="0" t="n">
        <f aca="false">7.75+F41*10</f>
        <v>15.3819159775511</v>
      </c>
      <c r="H41" s="0" t="n">
        <f aca="false">LOGINV(F41,2.64,1.139)</f>
        <v>31.6967781477792</v>
      </c>
      <c r="I41" s="0" t="n">
        <v>19.5</v>
      </c>
      <c r="J41" s="4" t="n">
        <f aca="true">-LN(RAND())/B41</f>
        <v>8.39217502994993</v>
      </c>
      <c r="K41" s="4" t="n">
        <f aca="false">K40+J41</f>
        <v>316.77142918327</v>
      </c>
      <c r="L41" s="4" t="n">
        <f aca="false">(1/$J$4)*(1+AB40)</f>
        <v>10</v>
      </c>
      <c r="M41" s="4" t="n">
        <f aca="false">L41+MAX(K41,Y$10:Y40)</f>
        <v>350.738410700958</v>
      </c>
      <c r="N41" s="4" t="n">
        <f aca="false">K41</f>
        <v>316.77142918327</v>
      </c>
      <c r="O41" s="4" t="n">
        <f aca="false">M41-K41</f>
        <v>33.9669815176881</v>
      </c>
      <c r="P41" s="4" t="n">
        <f aca="false">N41-K41</f>
        <v>0</v>
      </c>
      <c r="Q41" s="4" t="n">
        <f aca="false">A41-MATCH(K41,$M$9:M40,1)</f>
        <v>3</v>
      </c>
      <c r="R41" s="0" t="n">
        <f aca="false">-G41*(O41/3600)</f>
        <v>-0.145132571032253</v>
      </c>
      <c r="S41" s="0" t="n">
        <f aca="false">-1*I41-(H41*(P41/3600))</f>
        <v>-19.5</v>
      </c>
      <c r="T41" s="0" t="n">
        <f aca="false">-H41*(O41/3600)</f>
        <v>-0.29906774375441</v>
      </c>
      <c r="U41" s="0" t="n">
        <f aca="false">T41-S41</f>
        <v>19.2009322562456</v>
      </c>
      <c r="V41" s="0" t="n">
        <f aca="false">1/(1+EXP(U41))</f>
        <v>4.58290728955596E-009</v>
      </c>
      <c r="W41" s="0" t="n">
        <f aca="true">RAND()</f>
        <v>0.286306335792601</v>
      </c>
      <c r="X41" s="0" t="n">
        <f aca="false">IF(W41&lt;V41,1,0)</f>
        <v>0</v>
      </c>
      <c r="Y41" s="0" t="n">
        <f aca="false">(M41*(1-X41)+N41*X41)*D41+M41*E41</f>
        <v>350.738410700958</v>
      </c>
      <c r="Z41" s="0" t="n">
        <f aca="false">((1-X41)*O41+X41*P41)*D41+E41*O41</f>
        <v>33.9669815176881</v>
      </c>
      <c r="AA41" s="0" t="n">
        <f aca="false">IF(D41*X41&gt;0,AA40,Q41)</f>
        <v>3</v>
      </c>
      <c r="AB41" s="0" t="n">
        <f aca="false">(X41*D41)</f>
        <v>0</v>
      </c>
      <c r="AC41" s="0" t="n">
        <f aca="false">SUM(AB$10:AB40)/K41</f>
        <v>0</v>
      </c>
      <c r="AD41" s="0" t="n">
        <f aca="false">R41*E41+D41*(X41*S41+(1-X41)*T41)</f>
        <v>-0.145132571032253</v>
      </c>
      <c r="AE41" s="0" t="n">
        <f aca="false">Z41</f>
        <v>33.9669815176881</v>
      </c>
      <c r="AF41" s="0" t="n">
        <f aca="false">E41*O41</f>
        <v>33.9669815176881</v>
      </c>
      <c r="AG41" s="0" t="n">
        <f aca="false">((1-X41)*O41+X41*P41)*D41</f>
        <v>0</v>
      </c>
      <c r="AH41" s="0" t="n">
        <f aca="false">D41*(LN(EXP(S41)+EXP(T41)))</f>
        <v>-0</v>
      </c>
      <c r="AJ41" s="0" t="n">
        <f aca="false">$J$5</f>
        <v>10</v>
      </c>
      <c r="AK41" s="4" t="n">
        <f aca="false">AJ41+MAX(K41,AK$10:AK40)</f>
        <v>350.738410700958</v>
      </c>
      <c r="AL41" s="5" t="n">
        <f aca="false">AK41-K41</f>
        <v>33.9669815176881</v>
      </c>
      <c r="AM41" s="0" t="n">
        <f aca="false">-G41*AL41/3600</f>
        <v>-0.145132571032253</v>
      </c>
      <c r="AN41" s="0" t="n">
        <f aca="false">-H41*AL41/3600</f>
        <v>-0.29906774375441</v>
      </c>
      <c r="AO41" s="0" t="n">
        <f aca="false">AM41*E41+AN41*D41</f>
        <v>-0.145132571032253</v>
      </c>
      <c r="AP41" s="0" t="n">
        <f aca="false">AL41*D41</f>
        <v>0</v>
      </c>
      <c r="AR41" s="0" t="n">
        <f aca="false">AN41*D41</f>
        <v>-0</v>
      </c>
      <c r="AS41" s="0" t="n">
        <f aca="false">AH41-AR41</f>
        <v>0</v>
      </c>
    </row>
    <row r="42" customFormat="false" ht="12" hidden="false" customHeight="false" outlineLevel="0" collapsed="false">
      <c r="A42" s="3" t="n">
        <f aca="false">A41+1</f>
        <v>33</v>
      </c>
      <c r="B42" s="3" t="n">
        <f aca="false">IF(A42&lt;$N$4/3,0.1,(IF(A42&gt;2*$N$4/3,0.05,0.12)))</f>
        <v>0.1</v>
      </c>
      <c r="C42" s="4" t="n">
        <f aca="true">RAND()</f>
        <v>0.870334379390047</v>
      </c>
      <c r="D42" s="0" t="n">
        <f aca="false">IF((C42&gt;$M$2),1,0)</f>
        <v>0</v>
      </c>
      <c r="E42" s="0" t="n">
        <f aca="false">1-D42</f>
        <v>1</v>
      </c>
      <c r="F42" s="0" t="n">
        <f aca="true">RAND()</f>
        <v>0.11336588385044</v>
      </c>
      <c r="G42" s="0" t="n">
        <f aca="false">7.75+F42*10</f>
        <v>8.8836588385044</v>
      </c>
      <c r="H42" s="0" t="n">
        <f aca="false">LOGINV(F42,2.64,1.139)</f>
        <v>3.53655579130613</v>
      </c>
      <c r="I42" s="0" t="n">
        <v>19.5</v>
      </c>
      <c r="J42" s="4" t="n">
        <f aca="true">-LN(RAND())/B42</f>
        <v>1.23543787155173</v>
      </c>
      <c r="K42" s="4" t="n">
        <f aca="false">K41+J42</f>
        <v>318.006867054822</v>
      </c>
      <c r="L42" s="4" t="n">
        <f aca="false">(1/$J$4)*(1+AB41)</f>
        <v>10</v>
      </c>
      <c r="M42" s="4" t="n">
        <f aca="false">L42+MAX(K42,Y$10:Y41)</f>
        <v>360.738410700958</v>
      </c>
      <c r="N42" s="4" t="n">
        <f aca="false">K42</f>
        <v>318.006867054822</v>
      </c>
      <c r="O42" s="4" t="n">
        <f aca="false">M42-K42</f>
        <v>42.7315436461364</v>
      </c>
      <c r="P42" s="4" t="n">
        <f aca="false">N42-K42</f>
        <v>0</v>
      </c>
      <c r="Q42" s="4" t="n">
        <f aca="false">A42-MATCH(K42,$M$9:M41,1)</f>
        <v>4</v>
      </c>
      <c r="R42" s="0" t="n">
        <f aca="false">-G42*(O42/3600)</f>
        <v>-0.105447904276371</v>
      </c>
      <c r="S42" s="0" t="n">
        <f aca="false">-1*I42-(H42*(P42/3600))</f>
        <v>-19.5</v>
      </c>
      <c r="T42" s="0" t="n">
        <f aca="false">-H42*(O42/3600)</f>
        <v>-0.0419784689314429</v>
      </c>
      <c r="U42" s="0" t="n">
        <f aca="false">T42-S42</f>
        <v>19.4580215310686</v>
      </c>
      <c r="V42" s="0" t="n">
        <f aca="false">1/(1+EXP(U42))</f>
        <v>3.54395842767455E-009</v>
      </c>
      <c r="W42" s="0" t="n">
        <f aca="true">RAND()</f>
        <v>0.840976012676585</v>
      </c>
      <c r="X42" s="0" t="n">
        <f aca="false">IF(W42&lt;V42,1,0)</f>
        <v>0</v>
      </c>
      <c r="Y42" s="0" t="n">
        <f aca="false">(M42*(1-X42)+N42*X42)*D42+M42*E42</f>
        <v>360.738410700958</v>
      </c>
      <c r="Z42" s="0" t="n">
        <f aca="false">((1-X42)*O42+X42*P42)*D42+E42*O42</f>
        <v>42.7315436461364</v>
      </c>
      <c r="AA42" s="0" t="n">
        <f aca="false">IF(D42*X42&gt;0,AA41,Q42)</f>
        <v>4</v>
      </c>
      <c r="AB42" s="0" t="n">
        <f aca="false">(X42*D42)</f>
        <v>0</v>
      </c>
      <c r="AC42" s="0" t="n">
        <f aca="false">SUM(AB$10:AB41)/K42</f>
        <v>0</v>
      </c>
      <c r="AD42" s="0" t="n">
        <f aca="false">R42*E42+D42*(X42*S42+(1-X42)*T42)</f>
        <v>-0.105447904276371</v>
      </c>
      <c r="AE42" s="0" t="n">
        <f aca="false">Z42</f>
        <v>42.7315436461364</v>
      </c>
      <c r="AF42" s="0" t="n">
        <f aca="false">E42*O42</f>
        <v>42.7315436461364</v>
      </c>
      <c r="AG42" s="0" t="n">
        <f aca="false">((1-X42)*O42+X42*P42)*D42</f>
        <v>0</v>
      </c>
      <c r="AH42" s="0" t="n">
        <f aca="false">D42*(LN(EXP(S42)+EXP(T42)))</f>
        <v>-0</v>
      </c>
      <c r="AJ42" s="0" t="n">
        <f aca="false">$J$5</f>
        <v>10</v>
      </c>
      <c r="AK42" s="4" t="n">
        <f aca="false">AJ42+MAX(K42,AK$10:AK41)</f>
        <v>360.738410700958</v>
      </c>
      <c r="AL42" s="5" t="n">
        <f aca="false">AK42-K42</f>
        <v>42.7315436461364</v>
      </c>
      <c r="AM42" s="0" t="n">
        <f aca="false">-G42*AL42/3600</f>
        <v>-0.105447904276371</v>
      </c>
      <c r="AN42" s="0" t="n">
        <f aca="false">-H42*AL42/3600</f>
        <v>-0.0419784689314428</v>
      </c>
      <c r="AO42" s="0" t="n">
        <f aca="false">AM42*E42+AN42*D42</f>
        <v>-0.105447904276371</v>
      </c>
      <c r="AP42" s="0" t="n">
        <f aca="false">AL42*D42</f>
        <v>0</v>
      </c>
      <c r="AR42" s="0" t="n">
        <f aca="false">AN42*D42</f>
        <v>-0</v>
      </c>
      <c r="AS42" s="0" t="n">
        <f aca="false">AH42-AR42</f>
        <v>0</v>
      </c>
    </row>
    <row r="43" customFormat="false" ht="12" hidden="false" customHeight="false" outlineLevel="0" collapsed="false">
      <c r="A43" s="3" t="n">
        <f aca="false">A42+1</f>
        <v>34</v>
      </c>
      <c r="B43" s="3" t="n">
        <f aca="false">IF(A43&lt;$N$4/3,0.1,(IF(A43&gt;2*$N$4/3,0.05,0.12)))</f>
        <v>0.1</v>
      </c>
      <c r="C43" s="4" t="n">
        <f aca="true">RAND()</f>
        <v>0.0825637838687718</v>
      </c>
      <c r="D43" s="0" t="n">
        <f aca="false">IF((C43&gt;$M$2),1,0)</f>
        <v>0</v>
      </c>
      <c r="E43" s="0" t="n">
        <f aca="false">1-D43</f>
        <v>1</v>
      </c>
      <c r="F43" s="0" t="n">
        <f aca="true">RAND()</f>
        <v>0.673413137125699</v>
      </c>
      <c r="G43" s="0" t="n">
        <f aca="false">7.75+F43*10</f>
        <v>14.484131371257</v>
      </c>
      <c r="H43" s="0" t="n">
        <f aca="false">LOGINV(F43,2.64,1.139)</f>
        <v>23.3785348096886</v>
      </c>
      <c r="I43" s="0" t="n">
        <v>19.5</v>
      </c>
      <c r="J43" s="4" t="n">
        <f aca="true">-LN(RAND())/B43</f>
        <v>47.6255843626419</v>
      </c>
      <c r="K43" s="4" t="n">
        <f aca="false">K42+J43</f>
        <v>365.632451417464</v>
      </c>
      <c r="L43" s="4" t="n">
        <f aca="false">(1/$J$4)*(1+AB42)</f>
        <v>10</v>
      </c>
      <c r="M43" s="4" t="n">
        <f aca="false">L43+MAX(K43,Y$10:Y42)</f>
        <v>375.632451417464</v>
      </c>
      <c r="N43" s="4" t="n">
        <f aca="false">K43</f>
        <v>365.632451417464</v>
      </c>
      <c r="O43" s="4" t="n">
        <f aca="false">M43-K43</f>
        <v>10</v>
      </c>
      <c r="P43" s="4" t="n">
        <f aca="false">N43-K43</f>
        <v>0</v>
      </c>
      <c r="Q43" s="4" t="n">
        <f aca="false">A43-MATCH(K43,$M$9:M42,1)</f>
        <v>0</v>
      </c>
      <c r="R43" s="0" t="n">
        <f aca="false">-G43*(O43/3600)</f>
        <v>-0.0402336982534916</v>
      </c>
      <c r="S43" s="0" t="n">
        <f aca="false">-1*I43-(H43*(P43/3600))</f>
        <v>-19.5</v>
      </c>
      <c r="T43" s="0" t="n">
        <f aca="false">-H43*(O43/3600)</f>
        <v>-0.0649403744713572</v>
      </c>
      <c r="U43" s="0" t="n">
        <f aca="false">T43-S43</f>
        <v>19.4350596255286</v>
      </c>
      <c r="V43" s="0" t="n">
        <f aca="false">1/(1+EXP(U43))</f>
        <v>3.62627593263221E-009</v>
      </c>
      <c r="W43" s="0" t="n">
        <f aca="true">RAND()</f>
        <v>0.663756804731158</v>
      </c>
      <c r="X43" s="0" t="n">
        <f aca="false">IF(W43&lt;V43,1,0)</f>
        <v>0</v>
      </c>
      <c r="Y43" s="0" t="n">
        <f aca="false">(M43*(1-X43)+N43*X43)*D43+M43*E43</f>
        <v>375.632451417464</v>
      </c>
      <c r="Z43" s="0" t="n">
        <f aca="false">((1-X43)*O43+X43*P43)*D43+E43*O43</f>
        <v>10</v>
      </c>
      <c r="AA43" s="0" t="n">
        <f aca="false">IF(D43*X43&gt;0,AA42,Q43)</f>
        <v>0</v>
      </c>
      <c r="AB43" s="0" t="n">
        <f aca="false">(X43*D43)</f>
        <v>0</v>
      </c>
      <c r="AC43" s="0" t="n">
        <f aca="false">SUM(AB$10:AB42)/K43</f>
        <v>0</v>
      </c>
      <c r="AD43" s="0" t="n">
        <f aca="false">R43*E43+D43*(X43*S43+(1-X43)*T43)</f>
        <v>-0.0402336982534916</v>
      </c>
      <c r="AE43" s="0" t="n">
        <f aca="false">Z43</f>
        <v>10</v>
      </c>
      <c r="AF43" s="0" t="n">
        <f aca="false">E43*O43</f>
        <v>10</v>
      </c>
      <c r="AG43" s="0" t="n">
        <f aca="false">((1-X43)*O43+X43*P43)*D43</f>
        <v>0</v>
      </c>
      <c r="AH43" s="0" t="n">
        <f aca="false">D43*(LN(EXP(S43)+EXP(T43)))</f>
        <v>-0</v>
      </c>
      <c r="AJ43" s="0" t="n">
        <f aca="false">$J$5</f>
        <v>10</v>
      </c>
      <c r="AK43" s="4" t="n">
        <f aca="false">AJ43+MAX(K43,AK$10:AK42)</f>
        <v>375.632451417464</v>
      </c>
      <c r="AL43" s="5" t="n">
        <f aca="false">AK43-K43</f>
        <v>10</v>
      </c>
      <c r="AM43" s="0" t="n">
        <f aca="false">-G43*AL43/3600</f>
        <v>-0.0402336982534916</v>
      </c>
      <c r="AN43" s="0" t="n">
        <f aca="false">-H43*AL43/3600</f>
        <v>-0.0649403744713572</v>
      </c>
      <c r="AO43" s="0" t="n">
        <f aca="false">AM43*E43+AN43*D43</f>
        <v>-0.0402336982534916</v>
      </c>
      <c r="AP43" s="0" t="n">
        <f aca="false">AL43*D43</f>
        <v>0</v>
      </c>
      <c r="AR43" s="0" t="n">
        <f aca="false">AN43*D43</f>
        <v>-0</v>
      </c>
      <c r="AS43" s="0" t="n">
        <f aca="false">AH43-AR43</f>
        <v>0</v>
      </c>
    </row>
    <row r="44" customFormat="false" ht="12" hidden="false" customHeight="false" outlineLevel="0" collapsed="false">
      <c r="A44" s="3" t="n">
        <f aca="false">A43+1</f>
        <v>35</v>
      </c>
      <c r="B44" s="3" t="n">
        <f aca="false">IF(A44&lt;$N$4/3,0.1,(IF(A44&gt;2*$N$4/3,0.05,0.12)))</f>
        <v>0.1</v>
      </c>
      <c r="C44" s="4" t="n">
        <f aca="true">RAND()</f>
        <v>0.920762359015783</v>
      </c>
      <c r="D44" s="0" t="n">
        <f aca="false">IF((C44&gt;$M$2),1,0)</f>
        <v>1</v>
      </c>
      <c r="E44" s="0" t="n">
        <f aca="false">1-D44</f>
        <v>0</v>
      </c>
      <c r="F44" s="0" t="n">
        <f aca="true">RAND()</f>
        <v>0.741417976535954</v>
      </c>
      <c r="G44" s="0" t="n">
        <f aca="false">7.75+F44*10</f>
        <v>15.1641797653595</v>
      </c>
      <c r="H44" s="0" t="n">
        <f aca="false">LOGINV(F44,2.64,1.139)</f>
        <v>29.3049556121468</v>
      </c>
      <c r="I44" s="0" t="n">
        <v>19.5</v>
      </c>
      <c r="J44" s="4" t="n">
        <f aca="true">-LN(RAND())/B44</f>
        <v>14.4677708495521</v>
      </c>
      <c r="K44" s="4" t="n">
        <f aca="false">K43+J44</f>
        <v>380.100222267016</v>
      </c>
      <c r="L44" s="4" t="n">
        <f aca="false">(1/$J$4)*(1+AB43)</f>
        <v>10</v>
      </c>
      <c r="M44" s="4" t="n">
        <f aca="false">L44+MAX(K44,Y$10:Y43)</f>
        <v>390.100222267016</v>
      </c>
      <c r="N44" s="4" t="n">
        <f aca="false">K44</f>
        <v>380.100222267016</v>
      </c>
      <c r="O44" s="4" t="n">
        <f aca="false">M44-K44</f>
        <v>10</v>
      </c>
      <c r="P44" s="4" t="n">
        <f aca="false">N44-K44</f>
        <v>0</v>
      </c>
      <c r="Q44" s="4" t="n">
        <f aca="false">A44-MATCH(K44,$M$9:M43,1)</f>
        <v>0</v>
      </c>
      <c r="R44" s="0" t="n">
        <f aca="false">-G44*(O44/3600)</f>
        <v>-0.0421227215704432</v>
      </c>
      <c r="S44" s="0" t="n">
        <f aca="false">-1*I44-(H44*(P44/3600))</f>
        <v>-19.5</v>
      </c>
      <c r="T44" s="0" t="n">
        <f aca="false">-H44*(O44/3600)</f>
        <v>-0.0814026544781856</v>
      </c>
      <c r="U44" s="0" t="n">
        <f aca="false">T44-S44</f>
        <v>19.4185973455218</v>
      </c>
      <c r="V44" s="0" t="n">
        <f aca="false">1/(1+EXP(U44))</f>
        <v>3.68646678216932E-009</v>
      </c>
      <c r="W44" s="0" t="n">
        <f aca="true">RAND()</f>
        <v>0.322863214677402</v>
      </c>
      <c r="X44" s="0" t="n">
        <f aca="false">IF(W44&lt;V44,1,0)</f>
        <v>0</v>
      </c>
      <c r="Y44" s="0" t="n">
        <f aca="false">(M44*(1-X44)+N44*X44)*D44+M44*E44</f>
        <v>390.100222267016</v>
      </c>
      <c r="Z44" s="0" t="n">
        <f aca="false">((1-X44)*O44+X44*P44)*D44+E44*O44</f>
        <v>10</v>
      </c>
      <c r="AA44" s="0" t="n">
        <f aca="false">IF(D44*X44&gt;0,AA43,Q44)</f>
        <v>0</v>
      </c>
      <c r="AB44" s="0" t="n">
        <f aca="false">(X44*D44)</f>
        <v>0</v>
      </c>
      <c r="AC44" s="0" t="n">
        <f aca="false">SUM(AB$10:AB43)/K44</f>
        <v>0</v>
      </c>
      <c r="AD44" s="0" t="n">
        <f aca="false">R44*E44+D44*(X44*S44+(1-X44)*T44)</f>
        <v>-0.0814026544781856</v>
      </c>
      <c r="AE44" s="0" t="n">
        <f aca="false">Z44</f>
        <v>10</v>
      </c>
      <c r="AF44" s="0" t="n">
        <f aca="false">E44*O44</f>
        <v>0</v>
      </c>
      <c r="AG44" s="0" t="n">
        <f aca="false">((1-X44)*O44+X44*P44)*D44</f>
        <v>10</v>
      </c>
      <c r="AH44" s="0" t="n">
        <f aca="false">D44*(LN(EXP(S44)+EXP(T44)))</f>
        <v>-0.0814026507917188</v>
      </c>
      <c r="AJ44" s="0" t="n">
        <f aca="false">$J$5</f>
        <v>10</v>
      </c>
      <c r="AK44" s="4" t="n">
        <f aca="false">AJ44+MAX(K44,AK$10:AK43)</f>
        <v>390.100222267016</v>
      </c>
      <c r="AL44" s="5" t="n">
        <f aca="false">AK44-K44</f>
        <v>10</v>
      </c>
      <c r="AM44" s="0" t="n">
        <f aca="false">-G44*AL44/3600</f>
        <v>-0.0421227215704432</v>
      </c>
      <c r="AN44" s="0" t="n">
        <f aca="false">-H44*AL44/3600</f>
        <v>-0.0814026544781856</v>
      </c>
      <c r="AO44" s="0" t="n">
        <f aca="false">AM44*E44+AN44*D44</f>
        <v>-0.0814026544781856</v>
      </c>
      <c r="AP44" s="0" t="n">
        <f aca="false">AL44*D44</f>
        <v>10</v>
      </c>
      <c r="AR44" s="0" t="n">
        <f aca="false">AN44*D44</f>
        <v>-0.0814026544781856</v>
      </c>
      <c r="AS44" s="0" t="n">
        <f aca="false">AH44-AR44</f>
        <v>3.68646675685813E-009</v>
      </c>
    </row>
    <row r="45" customFormat="false" ht="12" hidden="false" customHeight="false" outlineLevel="0" collapsed="false">
      <c r="A45" s="3" t="n">
        <f aca="false">A44+1</f>
        <v>36</v>
      </c>
      <c r="B45" s="3" t="n">
        <f aca="false">IF(A45&lt;$N$4/3,0.1,(IF(A45&gt;2*$N$4/3,0.05,0.12)))</f>
        <v>0.1</v>
      </c>
      <c r="C45" s="4" t="n">
        <f aca="true">RAND()</f>
        <v>0.0929625404266985</v>
      </c>
      <c r="D45" s="0" t="n">
        <f aca="false">IF((C45&gt;$M$2),1,0)</f>
        <v>0</v>
      </c>
      <c r="E45" s="0" t="n">
        <f aca="false">1-D45</f>
        <v>1</v>
      </c>
      <c r="F45" s="0" t="n">
        <f aca="true">RAND()</f>
        <v>0.262303849237081</v>
      </c>
      <c r="G45" s="0" t="n">
        <f aca="false">7.75+F45*10</f>
        <v>10.3730384923708</v>
      </c>
      <c r="H45" s="0" t="n">
        <f aca="false">LOGINV(F45,2.64,1.139)</f>
        <v>6.78898285682028</v>
      </c>
      <c r="I45" s="0" t="n">
        <v>19.5</v>
      </c>
      <c r="J45" s="4" t="n">
        <f aca="true">-LN(RAND())/B45</f>
        <v>20.5642542811102</v>
      </c>
      <c r="K45" s="4" t="n">
        <f aca="false">K44+J45</f>
        <v>400.664476548126</v>
      </c>
      <c r="L45" s="4" t="n">
        <f aca="false">(1/$J$4)*(1+AB44)</f>
        <v>10</v>
      </c>
      <c r="M45" s="4" t="n">
        <f aca="false">L45+MAX(K45,Y$10:Y44)</f>
        <v>410.664476548126</v>
      </c>
      <c r="N45" s="4" t="n">
        <f aca="false">K45</f>
        <v>400.664476548126</v>
      </c>
      <c r="O45" s="4" t="n">
        <f aca="false">M45-K45</f>
        <v>10</v>
      </c>
      <c r="P45" s="4" t="n">
        <f aca="false">N45-K45</f>
        <v>0</v>
      </c>
      <c r="Q45" s="4" t="n">
        <f aca="false">A45-MATCH(K45,$M$9:M44,1)</f>
        <v>0</v>
      </c>
      <c r="R45" s="0" t="n">
        <f aca="false">-G45*(O45/3600)</f>
        <v>-0.0288139958121411</v>
      </c>
      <c r="S45" s="0" t="n">
        <f aca="false">-1*I45-(H45*(P45/3600))</f>
        <v>-19.5</v>
      </c>
      <c r="T45" s="0" t="n">
        <f aca="false">-H45*(O45/3600)</f>
        <v>-0.0188582857133897</v>
      </c>
      <c r="U45" s="0" t="n">
        <f aca="false">T45-S45</f>
        <v>19.4811417142866</v>
      </c>
      <c r="V45" s="0" t="n">
        <f aca="false">1/(1+EXP(U45))</f>
        <v>3.46296140084332E-009</v>
      </c>
      <c r="W45" s="0" t="n">
        <f aca="true">RAND()</f>
        <v>0.966556315152971</v>
      </c>
      <c r="X45" s="0" t="n">
        <f aca="false">IF(W45&lt;V45,1,0)</f>
        <v>0</v>
      </c>
      <c r="Y45" s="0" t="n">
        <f aca="false">(M45*(1-X45)+N45*X45)*D45+M45*E45</f>
        <v>410.664476548126</v>
      </c>
      <c r="Z45" s="0" t="n">
        <f aca="false">((1-X45)*O45+X45*P45)*D45+E45*O45</f>
        <v>10</v>
      </c>
      <c r="AA45" s="0" t="n">
        <f aca="false">IF(D45*X45&gt;0,AA44,Q45)</f>
        <v>0</v>
      </c>
      <c r="AB45" s="0" t="n">
        <f aca="false">(X45*D45)</f>
        <v>0</v>
      </c>
      <c r="AC45" s="0" t="n">
        <f aca="false">SUM(AB$10:AB44)/K45</f>
        <v>0</v>
      </c>
      <c r="AD45" s="0" t="n">
        <f aca="false">R45*E45+D45*(X45*S45+(1-X45)*T45)</f>
        <v>-0.0288139958121411</v>
      </c>
      <c r="AE45" s="0" t="n">
        <f aca="false">Z45</f>
        <v>10</v>
      </c>
      <c r="AF45" s="0" t="n">
        <f aca="false">E45*O45</f>
        <v>10</v>
      </c>
      <c r="AG45" s="0" t="n">
        <f aca="false">((1-X45)*O45+X45*P45)*D45</f>
        <v>0</v>
      </c>
      <c r="AH45" s="0" t="n">
        <f aca="false">D45*(LN(EXP(S45)+EXP(T45)))</f>
        <v>-0</v>
      </c>
      <c r="AJ45" s="0" t="n">
        <f aca="false">$J$5</f>
        <v>10</v>
      </c>
      <c r="AK45" s="4" t="n">
        <f aca="false">AJ45+MAX(K45,AK$10:AK44)</f>
        <v>410.664476548126</v>
      </c>
      <c r="AL45" s="5" t="n">
        <f aca="false">AK45-K45</f>
        <v>10</v>
      </c>
      <c r="AM45" s="0" t="n">
        <f aca="false">-G45*AL45/3600</f>
        <v>-0.0288139958121411</v>
      </c>
      <c r="AN45" s="0" t="n">
        <f aca="false">-H45*AL45/3600</f>
        <v>-0.0188582857133897</v>
      </c>
      <c r="AO45" s="0" t="n">
        <f aca="false">AM45*E45+AN45*D45</f>
        <v>-0.0288139958121411</v>
      </c>
      <c r="AP45" s="0" t="n">
        <f aca="false">AL45*D45</f>
        <v>0</v>
      </c>
      <c r="AR45" s="0" t="n">
        <f aca="false">AN45*D45</f>
        <v>-0</v>
      </c>
      <c r="AS45" s="0" t="n">
        <f aca="false">AH45-AR45</f>
        <v>0</v>
      </c>
    </row>
    <row r="46" customFormat="false" ht="12" hidden="false" customHeight="false" outlineLevel="0" collapsed="false">
      <c r="A46" s="3" t="n">
        <f aca="false">A45+1</f>
        <v>37</v>
      </c>
      <c r="B46" s="3" t="n">
        <f aca="false">IF(A46&lt;$N$4/3,0.1,(IF(A46&gt;2*$N$4/3,0.05,0.12)))</f>
        <v>0.1</v>
      </c>
      <c r="C46" s="4" t="n">
        <f aca="true">RAND()</f>
        <v>0.73981664492605</v>
      </c>
      <c r="D46" s="0" t="n">
        <f aca="false">IF((C46&gt;$M$2),1,0)</f>
        <v>0</v>
      </c>
      <c r="E46" s="0" t="n">
        <f aca="false">1-D46</f>
        <v>1</v>
      </c>
      <c r="F46" s="0" t="n">
        <f aca="true">RAND()</f>
        <v>0.293220002800772</v>
      </c>
      <c r="G46" s="0" t="n">
        <f aca="false">7.75+F46*10</f>
        <v>10.6822000280077</v>
      </c>
      <c r="H46" s="0" t="n">
        <f aca="false">LOGINV(F46,2.64,1.139)</f>
        <v>7.54120189202028</v>
      </c>
      <c r="I46" s="0" t="n">
        <v>19.5</v>
      </c>
      <c r="J46" s="4" t="n">
        <f aca="true">-LN(RAND())/B46</f>
        <v>6.30396247231466</v>
      </c>
      <c r="K46" s="4" t="n">
        <f aca="false">K45+J46</f>
        <v>406.968439020441</v>
      </c>
      <c r="L46" s="4" t="n">
        <f aca="false">(1/$J$4)*(1+AB45)</f>
        <v>10</v>
      </c>
      <c r="M46" s="4" t="n">
        <f aca="false">L46+MAX(K46,Y$10:Y45)</f>
        <v>420.664476548126</v>
      </c>
      <c r="N46" s="4" t="n">
        <f aca="false">K46</f>
        <v>406.968439020441</v>
      </c>
      <c r="O46" s="4" t="n">
        <f aca="false">M46-K46</f>
        <v>13.6960375276853</v>
      </c>
      <c r="P46" s="4" t="n">
        <f aca="false">N46-K46</f>
        <v>0</v>
      </c>
      <c r="Q46" s="4" t="n">
        <f aca="false">A46-MATCH(K46,$M$9:M45,1)</f>
        <v>1</v>
      </c>
      <c r="R46" s="0" t="n">
        <f aca="false">-G46*(O46/3600)</f>
        <v>-0.0406399479060653</v>
      </c>
      <c r="S46" s="0" t="n">
        <f aca="false">-1*I46-(H46*(P46/3600))</f>
        <v>-19.5</v>
      </c>
      <c r="T46" s="0" t="n">
        <f aca="false">-H46*(O46/3600)</f>
        <v>-0.0286901622547115</v>
      </c>
      <c r="U46" s="0" t="n">
        <f aca="false">T46-S46</f>
        <v>19.4713098377453</v>
      </c>
      <c r="V46" s="0" t="n">
        <f aca="false">1/(1+EXP(U46))</f>
        <v>3.49717673453244E-009</v>
      </c>
      <c r="W46" s="0" t="n">
        <f aca="true">RAND()</f>
        <v>0.614280309700202</v>
      </c>
      <c r="X46" s="0" t="n">
        <f aca="false">IF(W46&lt;V46,1,0)</f>
        <v>0</v>
      </c>
      <c r="Y46" s="0" t="n">
        <f aca="false">(M46*(1-X46)+N46*X46)*D46+M46*E46</f>
        <v>420.664476548126</v>
      </c>
      <c r="Z46" s="0" t="n">
        <f aca="false">((1-X46)*O46+X46*P46)*D46+E46*O46</f>
        <v>13.6960375276853</v>
      </c>
      <c r="AA46" s="0" t="n">
        <f aca="false">IF(D46*X46&gt;0,AA45,Q46)</f>
        <v>1</v>
      </c>
      <c r="AB46" s="0" t="n">
        <f aca="false">(X46*D46)</f>
        <v>0</v>
      </c>
      <c r="AC46" s="0" t="n">
        <f aca="false">SUM(AB$10:AB45)/K46</f>
        <v>0</v>
      </c>
      <c r="AD46" s="0" t="n">
        <f aca="false">R46*E46+D46*(X46*S46+(1-X46)*T46)</f>
        <v>-0.0406399479060653</v>
      </c>
      <c r="AE46" s="0" t="n">
        <f aca="false">Z46</f>
        <v>13.6960375276853</v>
      </c>
      <c r="AF46" s="0" t="n">
        <f aca="false">E46*O46</f>
        <v>13.6960375276853</v>
      </c>
      <c r="AG46" s="0" t="n">
        <f aca="false">((1-X46)*O46+X46*P46)*D46</f>
        <v>0</v>
      </c>
      <c r="AH46" s="0" t="n">
        <f aca="false">D46*(LN(EXP(S46)+EXP(T46)))</f>
        <v>-0</v>
      </c>
      <c r="AJ46" s="0" t="n">
        <f aca="false">$J$5</f>
        <v>10</v>
      </c>
      <c r="AK46" s="4" t="n">
        <f aca="false">AJ46+MAX(K46,AK$10:AK45)</f>
        <v>420.664476548126</v>
      </c>
      <c r="AL46" s="5" t="n">
        <f aca="false">AK46-K46</f>
        <v>13.6960375276853</v>
      </c>
      <c r="AM46" s="0" t="n">
        <f aca="false">-G46*AL46/3600</f>
        <v>-0.0406399479060653</v>
      </c>
      <c r="AN46" s="0" t="n">
        <f aca="false">-H46*AL46/3600</f>
        <v>-0.0286901622547115</v>
      </c>
      <c r="AO46" s="0" t="n">
        <f aca="false">AM46*E46+AN46*D46</f>
        <v>-0.0406399479060653</v>
      </c>
      <c r="AP46" s="0" t="n">
        <f aca="false">AL46*D46</f>
        <v>0</v>
      </c>
      <c r="AR46" s="0" t="n">
        <f aca="false">AN46*D46</f>
        <v>-0</v>
      </c>
      <c r="AS46" s="0" t="n">
        <f aca="false">AH46-AR46</f>
        <v>0</v>
      </c>
    </row>
    <row r="47" customFormat="false" ht="12" hidden="false" customHeight="false" outlineLevel="0" collapsed="false">
      <c r="A47" s="3" t="n">
        <f aca="false">A46+1</f>
        <v>38</v>
      </c>
      <c r="B47" s="3" t="n">
        <f aca="false">IF(A47&lt;$N$4/3,0.1,(IF(A47&gt;2*$N$4/3,0.05,0.12)))</f>
        <v>0.1</v>
      </c>
      <c r="C47" s="4" t="n">
        <f aca="true">RAND()</f>
        <v>0.301810486776658</v>
      </c>
      <c r="D47" s="0" t="n">
        <f aca="false">IF((C47&gt;$M$2),1,0)</f>
        <v>0</v>
      </c>
      <c r="E47" s="0" t="n">
        <f aca="false">1-D47</f>
        <v>1</v>
      </c>
      <c r="F47" s="0" t="n">
        <f aca="true">RAND()</f>
        <v>0.399754167655266</v>
      </c>
      <c r="G47" s="0" t="n">
        <f aca="false">7.75+F47*10</f>
        <v>11.7475416765527</v>
      </c>
      <c r="H47" s="0" t="n">
        <f aca="false">LOGINV(F47,2.64,1.139)</f>
        <v>10.4930468990109</v>
      </c>
      <c r="I47" s="0" t="n">
        <v>19.5</v>
      </c>
      <c r="J47" s="4" t="n">
        <f aca="true">-LN(RAND())/B47</f>
        <v>17.0533762841521</v>
      </c>
      <c r="K47" s="4" t="n">
        <f aca="false">K46+J47</f>
        <v>424.021815304593</v>
      </c>
      <c r="L47" s="4" t="n">
        <f aca="false">(1/$J$4)*(1+AB46)</f>
        <v>10</v>
      </c>
      <c r="M47" s="4" t="n">
        <f aca="false">L47+MAX(K47,Y$10:Y46)</f>
        <v>434.021815304593</v>
      </c>
      <c r="N47" s="4" t="n">
        <f aca="false">K47</f>
        <v>424.021815304593</v>
      </c>
      <c r="O47" s="4" t="n">
        <f aca="false">M47-K47</f>
        <v>10</v>
      </c>
      <c r="P47" s="4" t="n">
        <f aca="false">N47-K47</f>
        <v>0</v>
      </c>
      <c r="Q47" s="4" t="n">
        <f aca="false">A47-MATCH(K47,$M$9:M46,1)</f>
        <v>0</v>
      </c>
      <c r="R47" s="0" t="n">
        <f aca="false">-G47*(O47/3600)</f>
        <v>-0.0326320602126463</v>
      </c>
      <c r="S47" s="0" t="n">
        <f aca="false">-1*I47-(H47*(P47/3600))</f>
        <v>-19.5</v>
      </c>
      <c r="T47" s="0" t="n">
        <f aca="false">-H47*(O47/3600)</f>
        <v>-0.0291473524972524</v>
      </c>
      <c r="U47" s="0" t="n">
        <f aca="false">T47-S47</f>
        <v>19.4708526475028</v>
      </c>
      <c r="V47" s="0" t="n">
        <f aca="false">1/(1+EXP(U47))</f>
        <v>3.49877597515706E-009</v>
      </c>
      <c r="W47" s="0" t="n">
        <f aca="true">RAND()</f>
        <v>0.114233324399795</v>
      </c>
      <c r="X47" s="0" t="n">
        <f aca="false">IF(W47&lt;V47,1,0)</f>
        <v>0</v>
      </c>
      <c r="Y47" s="0" t="n">
        <f aca="false">(M47*(1-X47)+N47*X47)*D47+M47*E47</f>
        <v>434.021815304593</v>
      </c>
      <c r="Z47" s="0" t="n">
        <f aca="false">((1-X47)*O47+X47*P47)*D47+E47*O47</f>
        <v>10</v>
      </c>
      <c r="AA47" s="0" t="n">
        <f aca="false">IF(D47*X47&gt;0,AA46,Q47)</f>
        <v>0</v>
      </c>
      <c r="AB47" s="0" t="n">
        <f aca="false">(X47*D47)</f>
        <v>0</v>
      </c>
      <c r="AC47" s="0" t="n">
        <f aca="false">SUM(AB$10:AB46)/K47</f>
        <v>0</v>
      </c>
      <c r="AD47" s="0" t="n">
        <f aca="false">R47*E47+D47*(X47*S47+(1-X47)*T47)</f>
        <v>-0.0326320602126463</v>
      </c>
      <c r="AE47" s="0" t="n">
        <f aca="false">Z47</f>
        <v>10</v>
      </c>
      <c r="AF47" s="0" t="n">
        <f aca="false">E47*O47</f>
        <v>10</v>
      </c>
      <c r="AG47" s="0" t="n">
        <f aca="false">((1-X47)*O47+X47*P47)*D47</f>
        <v>0</v>
      </c>
      <c r="AH47" s="0" t="n">
        <f aca="false">D47*(LN(EXP(S47)+EXP(T47)))</f>
        <v>-0</v>
      </c>
      <c r="AJ47" s="0" t="n">
        <f aca="false">$J$5</f>
        <v>10</v>
      </c>
      <c r="AK47" s="4" t="n">
        <f aca="false">AJ47+MAX(K47,AK$10:AK46)</f>
        <v>434.021815304593</v>
      </c>
      <c r="AL47" s="5" t="n">
        <f aca="false">AK47-K47</f>
        <v>10</v>
      </c>
      <c r="AM47" s="0" t="n">
        <f aca="false">-G47*AL47/3600</f>
        <v>-0.0326320602126463</v>
      </c>
      <c r="AN47" s="0" t="n">
        <f aca="false">-H47*AL47/3600</f>
        <v>-0.0291473524972524</v>
      </c>
      <c r="AO47" s="0" t="n">
        <f aca="false">AM47*E47+AN47*D47</f>
        <v>-0.0326320602126463</v>
      </c>
      <c r="AP47" s="0" t="n">
        <f aca="false">AL47*D47</f>
        <v>0</v>
      </c>
      <c r="AR47" s="0" t="n">
        <f aca="false">AN47*D47</f>
        <v>-0</v>
      </c>
      <c r="AS47" s="0" t="n">
        <f aca="false">AH47-AR47</f>
        <v>0</v>
      </c>
    </row>
    <row r="48" customFormat="false" ht="12" hidden="false" customHeight="false" outlineLevel="0" collapsed="false">
      <c r="A48" s="3" t="n">
        <f aca="false">A47+1</f>
        <v>39</v>
      </c>
      <c r="B48" s="3" t="n">
        <f aca="false">IF(A48&lt;$N$4/3,0.1,(IF(A48&gt;2*$N$4/3,0.05,0.12)))</f>
        <v>0.1</v>
      </c>
      <c r="C48" s="4" t="n">
        <f aca="true">RAND()</f>
        <v>0.908063406688588</v>
      </c>
      <c r="D48" s="0" t="n">
        <f aca="false">IF((C48&gt;$M$2),1,0)</f>
        <v>1</v>
      </c>
      <c r="E48" s="0" t="n">
        <f aca="false">1-D48</f>
        <v>0</v>
      </c>
      <c r="F48" s="0" t="n">
        <f aca="true">RAND()</f>
        <v>0.860546828093213</v>
      </c>
      <c r="G48" s="0" t="n">
        <f aca="false">7.75+F48*10</f>
        <v>16.3554682809321</v>
      </c>
      <c r="H48" s="0" t="n">
        <f aca="false">LOGINV(F48,2.64,1.139)</f>
        <v>48.1001721299577</v>
      </c>
      <c r="I48" s="0" t="n">
        <v>19.5</v>
      </c>
      <c r="J48" s="4" t="n">
        <f aca="true">-LN(RAND())/B48</f>
        <v>20.0605770843527</v>
      </c>
      <c r="K48" s="4" t="n">
        <f aca="false">K47+J48</f>
        <v>444.082392388945</v>
      </c>
      <c r="L48" s="4" t="n">
        <f aca="false">(1/$J$4)*(1+AB47)</f>
        <v>10</v>
      </c>
      <c r="M48" s="4" t="n">
        <f aca="false">L48+MAX(K48,Y$10:Y47)</f>
        <v>454.082392388945</v>
      </c>
      <c r="N48" s="4" t="n">
        <f aca="false">K48</f>
        <v>444.082392388945</v>
      </c>
      <c r="O48" s="4" t="n">
        <f aca="false">M48-K48</f>
        <v>10</v>
      </c>
      <c r="P48" s="4" t="n">
        <f aca="false">N48-K48</f>
        <v>0</v>
      </c>
      <c r="Q48" s="4" t="n">
        <f aca="false">A48-MATCH(K48,$M$9:M47,1)</f>
        <v>0</v>
      </c>
      <c r="R48" s="0" t="n">
        <f aca="false">-G48*(O48/3600)</f>
        <v>-0.0454318563359226</v>
      </c>
      <c r="S48" s="0" t="n">
        <f aca="false">-1*I48-(H48*(P48/3600))</f>
        <v>-19.5</v>
      </c>
      <c r="T48" s="0" t="n">
        <f aca="false">-H48*(O48/3600)</f>
        <v>-0.133611589249882</v>
      </c>
      <c r="U48" s="0" t="n">
        <f aca="false">T48-S48</f>
        <v>19.3663884107501</v>
      </c>
      <c r="V48" s="0" t="n">
        <f aca="false">1/(1+EXP(U48))</f>
        <v>3.88404611066793E-009</v>
      </c>
      <c r="W48" s="0" t="n">
        <f aca="true">RAND()</f>
        <v>0.227677923487005</v>
      </c>
      <c r="X48" s="0" t="n">
        <f aca="false">IF(W48&lt;V48,1,0)</f>
        <v>0</v>
      </c>
      <c r="Y48" s="0" t="n">
        <f aca="false">(M48*(1-X48)+N48*X48)*D48+M48*E48</f>
        <v>454.082392388945</v>
      </c>
      <c r="Z48" s="0" t="n">
        <f aca="false">((1-X48)*O48+X48*P48)*D48+E48*O48</f>
        <v>10</v>
      </c>
      <c r="AA48" s="0" t="n">
        <f aca="false">IF(D48*X48&gt;0,AA47,Q48)</f>
        <v>0</v>
      </c>
      <c r="AB48" s="0" t="n">
        <f aca="false">(X48*D48)</f>
        <v>0</v>
      </c>
      <c r="AC48" s="0" t="n">
        <f aca="false">SUM(AB$10:AB47)/K48</f>
        <v>0</v>
      </c>
      <c r="AD48" s="0" t="n">
        <f aca="false">R48*E48+D48*(X48*S48+(1-X48)*T48)</f>
        <v>-0.133611589249882</v>
      </c>
      <c r="AE48" s="0" t="n">
        <f aca="false">Z48</f>
        <v>10</v>
      </c>
      <c r="AF48" s="0" t="n">
        <f aca="false">E48*O48</f>
        <v>0</v>
      </c>
      <c r="AG48" s="0" t="n">
        <f aca="false">((1-X48)*O48+X48*P48)*D48</f>
        <v>10</v>
      </c>
      <c r="AH48" s="0" t="n">
        <f aca="false">D48*(LN(EXP(S48)+EXP(T48)))</f>
        <v>-0.133611585365836</v>
      </c>
      <c r="AJ48" s="0" t="n">
        <f aca="false">$J$5</f>
        <v>10</v>
      </c>
      <c r="AK48" s="4" t="n">
        <f aca="false">AJ48+MAX(K48,AK$10:AK47)</f>
        <v>454.082392388945</v>
      </c>
      <c r="AL48" s="5" t="n">
        <f aca="false">AK48-K48</f>
        <v>10</v>
      </c>
      <c r="AM48" s="0" t="n">
        <f aca="false">-G48*AL48/3600</f>
        <v>-0.0454318563359226</v>
      </c>
      <c r="AN48" s="0" t="n">
        <f aca="false">-H48*AL48/3600</f>
        <v>-0.133611589249882</v>
      </c>
      <c r="AO48" s="0" t="n">
        <f aca="false">AM48*E48+AN48*D48</f>
        <v>-0.133611589249882</v>
      </c>
      <c r="AP48" s="0" t="n">
        <f aca="false">AL48*D48</f>
        <v>10</v>
      </c>
      <c r="AR48" s="0" t="n">
        <f aca="false">AN48*D48</f>
        <v>-0.133611589249882</v>
      </c>
      <c r="AS48" s="0" t="n">
        <f aca="false">AH48-AR48</f>
        <v>3.88404608475668E-009</v>
      </c>
    </row>
    <row r="49" customFormat="false" ht="12" hidden="false" customHeight="false" outlineLevel="0" collapsed="false">
      <c r="A49" s="3" t="n">
        <f aca="false">A48+1</f>
        <v>40</v>
      </c>
      <c r="B49" s="3" t="n">
        <f aca="false">IF(A49&lt;$N$4/3,0.1,(IF(A49&gt;2*$N$4/3,0.05,0.12)))</f>
        <v>0.1</v>
      </c>
      <c r="C49" s="4" t="n">
        <f aca="true">RAND()</f>
        <v>0.684440472306028</v>
      </c>
      <c r="D49" s="0" t="n">
        <f aca="false">IF((C49&gt;$M$2),1,0)</f>
        <v>0</v>
      </c>
      <c r="E49" s="0" t="n">
        <f aca="false">1-D49</f>
        <v>1</v>
      </c>
      <c r="F49" s="0" t="n">
        <f aca="true">RAND()</f>
        <v>0.380336170004356</v>
      </c>
      <c r="G49" s="0" t="n">
        <f aca="false">7.75+F49*10</f>
        <v>11.5533617000436</v>
      </c>
      <c r="H49" s="0" t="n">
        <f aca="false">LOGINV(F49,2.64,1.139)</f>
        <v>9.90522972639969</v>
      </c>
      <c r="I49" s="0" t="n">
        <v>19.5</v>
      </c>
      <c r="J49" s="4" t="n">
        <f aca="true">-LN(RAND())/B49</f>
        <v>0.259421018160968</v>
      </c>
      <c r="K49" s="4" t="n">
        <f aca="false">K48+J49</f>
        <v>444.341813407106</v>
      </c>
      <c r="L49" s="4" t="n">
        <f aca="false">(1/$J$4)*(1+AB48)</f>
        <v>10</v>
      </c>
      <c r="M49" s="4" t="n">
        <f aca="false">L49+MAX(K49,Y$10:Y48)</f>
        <v>464.082392388945</v>
      </c>
      <c r="N49" s="4" t="n">
        <f aca="false">K49</f>
        <v>444.341813407106</v>
      </c>
      <c r="O49" s="4" t="n">
        <f aca="false">M49-K49</f>
        <v>19.740578981839</v>
      </c>
      <c r="P49" s="4" t="n">
        <f aca="false">N49-K49</f>
        <v>0</v>
      </c>
      <c r="Q49" s="4" t="n">
        <f aca="false">A49-MATCH(K49,$M$9:M48,1)</f>
        <v>1</v>
      </c>
      <c r="R49" s="0" t="n">
        <f aca="false">-G49*(O49/3600)</f>
        <v>-0.0633527914292955</v>
      </c>
      <c r="S49" s="0" t="n">
        <f aca="false">-1*I49-(H49*(P49/3600))</f>
        <v>-19.5</v>
      </c>
      <c r="T49" s="0" t="n">
        <f aca="false">-H49*(O49/3600)</f>
        <v>-0.0543152693742369</v>
      </c>
      <c r="U49" s="0" t="n">
        <f aca="false">T49-S49</f>
        <v>19.4456847306258</v>
      </c>
      <c r="V49" s="0" t="n">
        <f aca="false">1/(1+EXP(U49))</f>
        <v>3.5879503371714E-009</v>
      </c>
      <c r="W49" s="0" t="n">
        <f aca="true">RAND()</f>
        <v>0.135676940940112</v>
      </c>
      <c r="X49" s="0" t="n">
        <f aca="false">IF(W49&lt;V49,1,0)</f>
        <v>0</v>
      </c>
      <c r="Y49" s="0" t="n">
        <f aca="false">(M49*(1-X49)+N49*X49)*D49+M49*E49</f>
        <v>464.082392388945</v>
      </c>
      <c r="Z49" s="0" t="n">
        <f aca="false">((1-X49)*O49+X49*P49)*D49+E49*O49</f>
        <v>19.740578981839</v>
      </c>
      <c r="AA49" s="0" t="n">
        <f aca="false">IF(D49*X49&gt;0,AA48,Q49)</f>
        <v>1</v>
      </c>
      <c r="AB49" s="0" t="n">
        <f aca="false">(X49*D49)</f>
        <v>0</v>
      </c>
      <c r="AC49" s="0" t="n">
        <f aca="false">SUM(AB$10:AB48)/K49</f>
        <v>0</v>
      </c>
      <c r="AD49" s="0" t="n">
        <f aca="false">R49*E49+D49*(X49*S49+(1-X49)*T49)</f>
        <v>-0.0633527914292955</v>
      </c>
      <c r="AE49" s="0" t="n">
        <f aca="false">Z49</f>
        <v>19.740578981839</v>
      </c>
      <c r="AF49" s="0" t="n">
        <f aca="false">E49*O49</f>
        <v>19.740578981839</v>
      </c>
      <c r="AG49" s="0" t="n">
        <f aca="false">((1-X49)*O49+X49*P49)*D49</f>
        <v>0</v>
      </c>
      <c r="AH49" s="0" t="n">
        <f aca="false">D49*(LN(EXP(S49)+EXP(T49)))</f>
        <v>-0</v>
      </c>
      <c r="AJ49" s="0" t="n">
        <f aca="false">$J$5</f>
        <v>10</v>
      </c>
      <c r="AK49" s="4" t="n">
        <f aca="false">AJ49+MAX(K49,AK$10:AK48)</f>
        <v>464.082392388945</v>
      </c>
      <c r="AL49" s="5" t="n">
        <f aca="false">AK49-K49</f>
        <v>19.740578981839</v>
      </c>
      <c r="AM49" s="0" t="n">
        <f aca="false">-G49*AL49/3600</f>
        <v>-0.0633527914292955</v>
      </c>
      <c r="AN49" s="0" t="n">
        <f aca="false">-H49*AL49/3600</f>
        <v>-0.0543152693742369</v>
      </c>
      <c r="AO49" s="0" t="n">
        <f aca="false">AM49*E49+AN49*D49</f>
        <v>-0.0633527914292955</v>
      </c>
      <c r="AP49" s="0" t="n">
        <f aca="false">AL49*D49</f>
        <v>0</v>
      </c>
      <c r="AR49" s="0" t="n">
        <f aca="false">AN49*D49</f>
        <v>-0</v>
      </c>
      <c r="AS49" s="0" t="n">
        <f aca="false">AH49-AR49</f>
        <v>0</v>
      </c>
    </row>
    <row r="50" customFormat="false" ht="12" hidden="false" customHeight="false" outlineLevel="0" collapsed="false">
      <c r="A50" s="3" t="n">
        <f aca="false">A49+1</f>
        <v>41</v>
      </c>
      <c r="B50" s="3" t="n">
        <f aca="false">IF(A50&lt;$N$4/3,0.1,(IF(A50&gt;2*$N$4/3,0.05,0.12)))</f>
        <v>0.1</v>
      </c>
      <c r="C50" s="4" t="n">
        <f aca="true">RAND()</f>
        <v>0.490721182463119</v>
      </c>
      <c r="D50" s="0" t="n">
        <f aca="false">IF((C50&gt;$M$2),1,0)</f>
        <v>0</v>
      </c>
      <c r="E50" s="0" t="n">
        <f aca="false">1-D50</f>
        <v>1</v>
      </c>
      <c r="F50" s="0" t="n">
        <f aca="true">RAND()</f>
        <v>0.901020887807588</v>
      </c>
      <c r="G50" s="0" t="n">
        <f aca="false">7.75+F50*10</f>
        <v>16.7602088780759</v>
      </c>
      <c r="H50" s="0" t="n">
        <f aca="false">LOGINV(F50,2.64,1.139)</f>
        <v>60.7239233700099</v>
      </c>
      <c r="I50" s="0" t="n">
        <v>19.5</v>
      </c>
      <c r="J50" s="4" t="n">
        <f aca="true">-LN(RAND())/B50</f>
        <v>2.0494062425889</v>
      </c>
      <c r="K50" s="4" t="n">
        <f aca="false">K49+J50</f>
        <v>446.391219649695</v>
      </c>
      <c r="L50" s="4" t="n">
        <f aca="false">(1/$J$4)*(1+AB49)</f>
        <v>10</v>
      </c>
      <c r="M50" s="4" t="n">
        <f aca="false">L50+MAX(K50,Y$10:Y49)</f>
        <v>474.082392388945</v>
      </c>
      <c r="N50" s="4" t="n">
        <f aca="false">K50</f>
        <v>446.391219649695</v>
      </c>
      <c r="O50" s="4" t="n">
        <f aca="false">M50-K50</f>
        <v>27.6911727392501</v>
      </c>
      <c r="P50" s="4" t="n">
        <f aca="false">N50-K50</f>
        <v>0</v>
      </c>
      <c r="Q50" s="4" t="n">
        <f aca="false">A50-MATCH(K50,$M$9:M49,1)</f>
        <v>2</v>
      </c>
      <c r="R50" s="0" t="n">
        <f aca="false">-G50*(O50/3600)</f>
        <v>-0.128919399774642</v>
      </c>
      <c r="S50" s="0" t="n">
        <f aca="false">-1*I50-(H50*(P50/3600))</f>
        <v>-19.5</v>
      </c>
      <c r="T50" s="0" t="n">
        <f aca="false">-H50*(O50/3600)</f>
        <v>-0.467087958734426</v>
      </c>
      <c r="U50" s="0" t="n">
        <f aca="false">T50-S50</f>
        <v>19.0329120412656</v>
      </c>
      <c r="V50" s="0" t="n">
        <f aca="false">1/(1+EXP(U50))</f>
        <v>5.42139840382745E-009</v>
      </c>
      <c r="W50" s="0" t="n">
        <f aca="true">RAND()</f>
        <v>0.634411259713933</v>
      </c>
      <c r="X50" s="0" t="n">
        <f aca="false">IF(W50&lt;V50,1,0)</f>
        <v>0</v>
      </c>
      <c r="Y50" s="0" t="n">
        <f aca="false">(M50*(1-X50)+N50*X50)*D50+M50*E50</f>
        <v>474.082392388945</v>
      </c>
      <c r="Z50" s="0" t="n">
        <f aca="false">((1-X50)*O50+X50*P50)*D50+E50*O50</f>
        <v>27.6911727392501</v>
      </c>
      <c r="AA50" s="0" t="n">
        <f aca="false">IF(D50*X50&gt;0,AA49,Q50)</f>
        <v>2</v>
      </c>
      <c r="AB50" s="0" t="n">
        <f aca="false">(X50*D50)</f>
        <v>0</v>
      </c>
      <c r="AC50" s="0" t="n">
        <f aca="false">SUM(AB$10:AB49)/K50</f>
        <v>0</v>
      </c>
      <c r="AD50" s="0" t="n">
        <f aca="false">R50*E50+D50*(X50*S50+(1-X50)*T50)</f>
        <v>-0.128919399774642</v>
      </c>
      <c r="AE50" s="0" t="n">
        <f aca="false">Z50</f>
        <v>27.6911727392501</v>
      </c>
      <c r="AF50" s="0" t="n">
        <f aca="false">E50*O50</f>
        <v>27.6911727392501</v>
      </c>
      <c r="AG50" s="0" t="n">
        <f aca="false">((1-X50)*O50+X50*P50)*D50</f>
        <v>0</v>
      </c>
      <c r="AH50" s="0" t="n">
        <f aca="false">D50*(LN(EXP(S50)+EXP(T50)))</f>
        <v>-0</v>
      </c>
      <c r="AJ50" s="0" t="n">
        <f aca="false">$J$5</f>
        <v>10</v>
      </c>
      <c r="AK50" s="4" t="n">
        <f aca="false">AJ50+MAX(K50,AK$10:AK49)</f>
        <v>474.082392388945</v>
      </c>
      <c r="AL50" s="5" t="n">
        <f aca="false">AK50-K50</f>
        <v>27.6911727392501</v>
      </c>
      <c r="AM50" s="0" t="n">
        <f aca="false">-G50*AL50/3600</f>
        <v>-0.128919399774642</v>
      </c>
      <c r="AN50" s="0" t="n">
        <f aca="false">-H50*AL50/3600</f>
        <v>-0.467087958734426</v>
      </c>
      <c r="AO50" s="0" t="n">
        <f aca="false">AM50*E50+AN50*D50</f>
        <v>-0.128919399774642</v>
      </c>
      <c r="AP50" s="0" t="n">
        <f aca="false">AL50*D50</f>
        <v>0</v>
      </c>
      <c r="AR50" s="0" t="n">
        <f aca="false">AN50*D50</f>
        <v>-0</v>
      </c>
      <c r="AS50" s="0" t="n">
        <f aca="false">AH50-AR50</f>
        <v>0</v>
      </c>
    </row>
    <row r="51" customFormat="false" ht="12" hidden="false" customHeight="false" outlineLevel="0" collapsed="false">
      <c r="A51" s="3" t="n">
        <f aca="false">A50+1</f>
        <v>42</v>
      </c>
      <c r="B51" s="3" t="n">
        <f aca="false">IF(A51&lt;$N$4/3,0.1,(IF(A51&gt;2*$N$4/3,0.05,0.12)))</f>
        <v>0.1</v>
      </c>
      <c r="C51" s="4" t="n">
        <f aca="true">RAND()</f>
        <v>0.855035489014644</v>
      </c>
      <c r="D51" s="0" t="n">
        <f aca="false">IF((C51&gt;$M$2),1,0)</f>
        <v>0</v>
      </c>
      <c r="E51" s="0" t="n">
        <f aca="false">1-D51</f>
        <v>1</v>
      </c>
      <c r="F51" s="0" t="n">
        <f aca="true">RAND()</f>
        <v>0.923136988190601</v>
      </c>
      <c r="G51" s="0" t="n">
        <f aca="false">7.75+F51*10</f>
        <v>16.981369881906</v>
      </c>
      <c r="H51" s="0" t="n">
        <f aca="false">LOGINV(F51,2.64,1.139)</f>
        <v>71.1489647030623</v>
      </c>
      <c r="I51" s="0" t="n">
        <v>19.5</v>
      </c>
      <c r="J51" s="4" t="n">
        <f aca="true">-LN(RAND())/B51</f>
        <v>6.24234541051152</v>
      </c>
      <c r="K51" s="4" t="n">
        <f aca="false">K50+J51</f>
        <v>452.633565060207</v>
      </c>
      <c r="L51" s="4" t="n">
        <f aca="false">(1/$J$4)*(1+AB50)</f>
        <v>10</v>
      </c>
      <c r="M51" s="4" t="n">
        <f aca="false">L51+MAX(K51,Y$10:Y50)</f>
        <v>484.082392388945</v>
      </c>
      <c r="N51" s="4" t="n">
        <f aca="false">K51</f>
        <v>452.633565060207</v>
      </c>
      <c r="O51" s="4" t="n">
        <f aca="false">M51-K51</f>
        <v>31.4488273287386</v>
      </c>
      <c r="P51" s="4" t="n">
        <f aca="false">N51-K51</f>
        <v>0</v>
      </c>
      <c r="Q51" s="4" t="n">
        <f aca="false">A51-MATCH(K51,$M$9:M50,1)</f>
        <v>3</v>
      </c>
      <c r="R51" s="0" t="n">
        <f aca="false">-G51*(O51/3600)</f>
        <v>-0.148345602561529</v>
      </c>
      <c r="S51" s="0" t="n">
        <f aca="false">-1*I51-(H51*(P51/3600))</f>
        <v>-19.5</v>
      </c>
      <c r="T51" s="0" t="n">
        <f aca="false">-H51*(O51/3600)</f>
        <v>-0.621542084879202</v>
      </c>
      <c r="U51" s="0" t="n">
        <f aca="false">T51-S51</f>
        <v>18.8784579151208</v>
      </c>
      <c r="V51" s="0" t="n">
        <f aca="false">1/(1+EXP(U51))</f>
        <v>6.32688437724459E-009</v>
      </c>
      <c r="W51" s="0" t="n">
        <f aca="true">RAND()</f>
        <v>0.606220431497123</v>
      </c>
      <c r="X51" s="0" t="n">
        <f aca="false">IF(W51&lt;V51,1,0)</f>
        <v>0</v>
      </c>
      <c r="Y51" s="0" t="n">
        <f aca="false">(M51*(1-X51)+N51*X51)*D51+M51*E51</f>
        <v>484.082392388945</v>
      </c>
      <c r="Z51" s="0" t="n">
        <f aca="false">((1-X51)*O51+X51*P51)*D51+E51*O51</f>
        <v>31.4488273287386</v>
      </c>
      <c r="AA51" s="0" t="n">
        <f aca="false">IF(D51*X51&gt;0,AA50,Q51)</f>
        <v>3</v>
      </c>
      <c r="AB51" s="0" t="n">
        <f aca="false">(X51*D51)</f>
        <v>0</v>
      </c>
      <c r="AC51" s="0" t="n">
        <f aca="false">SUM(AB$10:AB50)/K51</f>
        <v>0</v>
      </c>
      <c r="AD51" s="0" t="n">
        <f aca="false">R51*E51+D51*(X51*S51+(1-X51)*T51)</f>
        <v>-0.148345602561529</v>
      </c>
      <c r="AE51" s="0" t="n">
        <f aca="false">Z51</f>
        <v>31.4488273287386</v>
      </c>
      <c r="AF51" s="0" t="n">
        <f aca="false">E51*O51</f>
        <v>31.4488273287386</v>
      </c>
      <c r="AG51" s="0" t="n">
        <f aca="false">((1-X51)*O51+X51*P51)*D51</f>
        <v>0</v>
      </c>
      <c r="AH51" s="0" t="n">
        <f aca="false">D51*(LN(EXP(S51)+EXP(T51)))</f>
        <v>-0</v>
      </c>
      <c r="AJ51" s="0" t="n">
        <f aca="false">$J$5</f>
        <v>10</v>
      </c>
      <c r="AK51" s="4" t="n">
        <f aca="false">AJ51+MAX(K51,AK$10:AK50)</f>
        <v>484.082392388945</v>
      </c>
      <c r="AL51" s="5" t="n">
        <f aca="false">AK51-K51</f>
        <v>31.4488273287386</v>
      </c>
      <c r="AM51" s="0" t="n">
        <f aca="false">-G51*AL51/3600</f>
        <v>-0.148345602561529</v>
      </c>
      <c r="AN51" s="0" t="n">
        <f aca="false">-H51*AL51/3600</f>
        <v>-0.621542084879202</v>
      </c>
      <c r="AO51" s="0" t="n">
        <f aca="false">AM51*E51+AN51*D51</f>
        <v>-0.148345602561529</v>
      </c>
      <c r="AP51" s="0" t="n">
        <f aca="false">AL51*D51</f>
        <v>0</v>
      </c>
      <c r="AR51" s="0" t="n">
        <f aca="false">AN51*D51</f>
        <v>-0</v>
      </c>
      <c r="AS51" s="0" t="n">
        <f aca="false">AH51-AR51</f>
        <v>0</v>
      </c>
    </row>
    <row r="52" customFormat="false" ht="12" hidden="false" customHeight="false" outlineLevel="0" collapsed="false">
      <c r="A52" s="3" t="n">
        <f aca="false">A51+1</f>
        <v>43</v>
      </c>
      <c r="B52" s="3" t="n">
        <f aca="false">IF(A52&lt;$N$4/3,0.1,(IF(A52&gt;2*$N$4/3,0.05,0.12)))</f>
        <v>0.1</v>
      </c>
      <c r="C52" s="4" t="n">
        <f aca="true">RAND()</f>
        <v>0.966771453490923</v>
      </c>
      <c r="D52" s="0" t="n">
        <f aca="false">IF((C52&gt;$M$2),1,0)</f>
        <v>1</v>
      </c>
      <c r="E52" s="0" t="n">
        <f aca="false">1-D52</f>
        <v>0</v>
      </c>
      <c r="F52" s="0" t="n">
        <f aca="true">RAND()</f>
        <v>0.485344056174579</v>
      </c>
      <c r="G52" s="0" t="n">
        <f aca="false">7.75+F52*10</f>
        <v>12.6034405617458</v>
      </c>
      <c r="H52" s="0" t="n">
        <f aca="false">LOGINV(F52,2.64,1.139)</f>
        <v>13.4388146683593</v>
      </c>
      <c r="I52" s="0" t="n">
        <v>19.5</v>
      </c>
      <c r="J52" s="4" t="n">
        <f aca="true">-LN(RAND())/B52</f>
        <v>20.2051233577735</v>
      </c>
      <c r="K52" s="4" t="n">
        <f aca="false">K51+J52</f>
        <v>472.83868841798</v>
      </c>
      <c r="L52" s="4" t="n">
        <f aca="false">(1/$J$4)*(1+AB51)</f>
        <v>10</v>
      </c>
      <c r="M52" s="4" t="n">
        <f aca="false">L52+MAX(K52,Y$10:Y51)</f>
        <v>494.082392388945</v>
      </c>
      <c r="N52" s="4" t="n">
        <f aca="false">K52</f>
        <v>472.83868841798</v>
      </c>
      <c r="O52" s="4" t="n">
        <f aca="false">M52-K52</f>
        <v>21.243703970965</v>
      </c>
      <c r="P52" s="4" t="n">
        <f aca="false">N52-K52</f>
        <v>0</v>
      </c>
      <c r="Q52" s="4" t="n">
        <f aca="false">A52-MATCH(K52,$M$9:M51,1)</f>
        <v>2</v>
      </c>
      <c r="R52" s="0" t="n">
        <f aca="false">-G52*(O52/3600)</f>
        <v>-0.0743732667526058</v>
      </c>
      <c r="S52" s="0" t="n">
        <f aca="false">-1*I52-(H52*(P52/3600))</f>
        <v>-19.5</v>
      </c>
      <c r="T52" s="0" t="n">
        <f aca="false">-H52*(O52/3600)</f>
        <v>-0.0793028334820241</v>
      </c>
      <c r="U52" s="0" t="n">
        <f aca="false">T52-S52</f>
        <v>19.420697166518</v>
      </c>
      <c r="V52" s="0" t="n">
        <f aca="false">1/(1+EXP(U52))</f>
        <v>3.67873398343483E-009</v>
      </c>
      <c r="W52" s="0" t="n">
        <f aca="true">RAND()</f>
        <v>0.310811991221232</v>
      </c>
      <c r="X52" s="0" t="n">
        <f aca="false">IF(W52&lt;V52,1,0)</f>
        <v>0</v>
      </c>
      <c r="Y52" s="0" t="n">
        <f aca="false">(M52*(1-X52)+N52*X52)*D52+M52*E52</f>
        <v>494.082392388945</v>
      </c>
      <c r="Z52" s="0" t="n">
        <f aca="false">((1-X52)*O52+X52*P52)*D52+E52*O52</f>
        <v>21.243703970965</v>
      </c>
      <c r="AA52" s="0" t="n">
        <f aca="false">IF(D52*X52&gt;0,AA51,Q52)</f>
        <v>2</v>
      </c>
      <c r="AB52" s="0" t="n">
        <f aca="false">(X52*D52)</f>
        <v>0</v>
      </c>
      <c r="AC52" s="0" t="n">
        <f aca="false">SUM(AB$10:AB51)/K52</f>
        <v>0</v>
      </c>
      <c r="AD52" s="0" t="n">
        <f aca="false">R52*E52+D52*(X52*S52+(1-X52)*T52)</f>
        <v>-0.0793028334820241</v>
      </c>
      <c r="AE52" s="0" t="n">
        <f aca="false">Z52</f>
        <v>21.243703970965</v>
      </c>
      <c r="AF52" s="0" t="n">
        <f aca="false">E52*O52</f>
        <v>0</v>
      </c>
      <c r="AG52" s="0" t="n">
        <f aca="false">((1-X52)*O52+X52*P52)*D52</f>
        <v>21.243703970965</v>
      </c>
      <c r="AH52" s="0" t="n">
        <f aca="false">D52*(LN(EXP(S52)+EXP(T52)))</f>
        <v>-0.0793028298032901</v>
      </c>
      <c r="AJ52" s="0" t="n">
        <f aca="false">$J$5</f>
        <v>10</v>
      </c>
      <c r="AK52" s="4" t="n">
        <f aca="false">AJ52+MAX(K52,AK$10:AK51)</f>
        <v>494.082392388945</v>
      </c>
      <c r="AL52" s="5" t="n">
        <f aca="false">AK52-K52</f>
        <v>21.243703970965</v>
      </c>
      <c r="AM52" s="0" t="n">
        <f aca="false">-G52*AL52/3600</f>
        <v>-0.0743732667526058</v>
      </c>
      <c r="AN52" s="0" t="n">
        <f aca="false">-H52*AL52/3600</f>
        <v>-0.0793028334820241</v>
      </c>
      <c r="AO52" s="0" t="n">
        <f aca="false">AM52*E52+AN52*D52</f>
        <v>-0.0793028334820241</v>
      </c>
      <c r="AP52" s="0" t="n">
        <f aca="false">AL52*D52</f>
        <v>21.243703970965</v>
      </c>
      <c r="AR52" s="0" t="n">
        <f aca="false">AN52*D52</f>
        <v>-0.0793028334820241</v>
      </c>
      <c r="AS52" s="0" t="n">
        <f aca="false">AH52-AR52</f>
        <v>3.67873398410268E-009</v>
      </c>
    </row>
    <row r="53" customFormat="false" ht="12" hidden="false" customHeight="false" outlineLevel="0" collapsed="false">
      <c r="A53" s="3" t="n">
        <f aca="false">A52+1</f>
        <v>44</v>
      </c>
      <c r="B53" s="3" t="n">
        <f aca="false">IF(A53&lt;$N$4/3,0.1,(IF(A53&gt;2*$N$4/3,0.05,0.12)))</f>
        <v>0.1</v>
      </c>
      <c r="C53" s="4" t="n">
        <f aca="true">RAND()</f>
        <v>0.414578955263014</v>
      </c>
      <c r="D53" s="0" t="n">
        <f aca="false">IF((C53&gt;$M$2),1,0)</f>
        <v>0</v>
      </c>
      <c r="E53" s="0" t="n">
        <f aca="false">1-D53</f>
        <v>1</v>
      </c>
      <c r="F53" s="0" t="n">
        <f aca="true">RAND()</f>
        <v>0.692927067127225</v>
      </c>
      <c r="G53" s="0" t="n">
        <f aca="false">7.75+F53*10</f>
        <v>14.6792706712723</v>
      </c>
      <c r="H53" s="0" t="n">
        <f aca="false">LOGINV(F53,2.64,1.139)</f>
        <v>24.8844530762912</v>
      </c>
      <c r="I53" s="0" t="n">
        <v>19.5</v>
      </c>
      <c r="J53" s="4" t="n">
        <f aca="true">-LN(RAND())/B53</f>
        <v>3.57873961535873</v>
      </c>
      <c r="K53" s="4" t="n">
        <f aca="false">K52+J53</f>
        <v>476.417428033339</v>
      </c>
      <c r="L53" s="4" t="n">
        <f aca="false">(1/$J$4)*(1+AB52)</f>
        <v>10</v>
      </c>
      <c r="M53" s="4" t="n">
        <f aca="false">L53+MAX(K53,Y$10:Y52)</f>
        <v>504.082392388945</v>
      </c>
      <c r="N53" s="4" t="n">
        <f aca="false">K53</f>
        <v>476.417428033339</v>
      </c>
      <c r="O53" s="4" t="n">
        <f aca="false">M53-K53</f>
        <v>27.6649643556063</v>
      </c>
      <c r="P53" s="4" t="n">
        <f aca="false">N53-K53</f>
        <v>0</v>
      </c>
      <c r="Q53" s="4" t="n">
        <f aca="false">A53-MATCH(K53,$M$9:M52,1)</f>
        <v>2</v>
      </c>
      <c r="R53" s="0" t="n">
        <f aca="false">-G53*(O53/3600)</f>
        <v>-0.112805972190846</v>
      </c>
      <c r="S53" s="0" t="n">
        <f aca="false">-1*I53-(H53*(P53/3600))</f>
        <v>-19.5</v>
      </c>
      <c r="T53" s="0" t="n">
        <f aca="false">-H53*(O53/3600)</f>
        <v>-0.191229863156765</v>
      </c>
      <c r="U53" s="0" t="n">
        <f aca="false">T53-S53</f>
        <v>19.3087701368432</v>
      </c>
      <c r="V53" s="0" t="n">
        <f aca="false">1/(1+EXP(U53))</f>
        <v>4.11441102870593E-009</v>
      </c>
      <c r="W53" s="0" t="n">
        <f aca="true">RAND()</f>
        <v>0.0954480339421189</v>
      </c>
      <c r="X53" s="0" t="n">
        <f aca="false">IF(W53&lt;V53,1,0)</f>
        <v>0</v>
      </c>
      <c r="Y53" s="0" t="n">
        <f aca="false">(M53*(1-X53)+N53*X53)*D53+M53*E53</f>
        <v>504.082392388945</v>
      </c>
      <c r="Z53" s="0" t="n">
        <f aca="false">((1-X53)*O53+X53*P53)*D53+E53*O53</f>
        <v>27.6649643556063</v>
      </c>
      <c r="AA53" s="0" t="n">
        <f aca="false">IF(D53*X53&gt;0,AA52,Q53)</f>
        <v>2</v>
      </c>
      <c r="AB53" s="0" t="n">
        <f aca="false">(X53*D53)</f>
        <v>0</v>
      </c>
      <c r="AC53" s="0" t="n">
        <f aca="false">SUM(AB$10:AB52)/K53</f>
        <v>0</v>
      </c>
      <c r="AD53" s="0" t="n">
        <f aca="false">R53*E53+D53*(X53*S53+(1-X53)*T53)</f>
        <v>-0.112805972190846</v>
      </c>
      <c r="AE53" s="0" t="n">
        <f aca="false">Z53</f>
        <v>27.6649643556063</v>
      </c>
      <c r="AF53" s="0" t="n">
        <f aca="false">E53*O53</f>
        <v>27.6649643556063</v>
      </c>
      <c r="AG53" s="0" t="n">
        <f aca="false">((1-X53)*O53+X53*P53)*D53</f>
        <v>0</v>
      </c>
      <c r="AH53" s="0" t="n">
        <f aca="false">D53*(LN(EXP(S53)+EXP(T53)))</f>
        <v>-0</v>
      </c>
      <c r="AJ53" s="0" t="n">
        <f aca="false">$J$5</f>
        <v>10</v>
      </c>
      <c r="AK53" s="4" t="n">
        <f aca="false">AJ53+MAX(K53,AK$10:AK52)</f>
        <v>504.082392388945</v>
      </c>
      <c r="AL53" s="5" t="n">
        <f aca="false">AK53-K53</f>
        <v>27.6649643556063</v>
      </c>
      <c r="AM53" s="0" t="n">
        <f aca="false">-G53*AL53/3600</f>
        <v>-0.112805972190846</v>
      </c>
      <c r="AN53" s="0" t="n">
        <f aca="false">-H53*AL53/3600</f>
        <v>-0.191229863156765</v>
      </c>
      <c r="AO53" s="0" t="n">
        <f aca="false">AM53*E53+AN53*D53</f>
        <v>-0.112805972190846</v>
      </c>
      <c r="AP53" s="0" t="n">
        <f aca="false">AL53*D53</f>
        <v>0</v>
      </c>
      <c r="AR53" s="0" t="n">
        <f aca="false">AN53*D53</f>
        <v>-0</v>
      </c>
      <c r="AS53" s="0" t="n">
        <f aca="false">AH53-AR53</f>
        <v>0</v>
      </c>
    </row>
    <row r="54" customFormat="false" ht="12" hidden="false" customHeight="false" outlineLevel="0" collapsed="false">
      <c r="A54" s="3" t="n">
        <f aca="false">A53+1</f>
        <v>45</v>
      </c>
      <c r="B54" s="3" t="n">
        <f aca="false">IF(A54&lt;$N$4/3,0.1,(IF(A54&gt;2*$N$4/3,0.05,0.12)))</f>
        <v>0.1</v>
      </c>
      <c r="C54" s="4" t="n">
        <f aca="true">RAND()</f>
        <v>0.575312426431065</v>
      </c>
      <c r="D54" s="0" t="n">
        <f aca="false">IF((C54&gt;$M$2),1,0)</f>
        <v>0</v>
      </c>
      <c r="E54" s="0" t="n">
        <f aca="false">1-D54</f>
        <v>1</v>
      </c>
      <c r="F54" s="0" t="n">
        <f aca="true">RAND()</f>
        <v>0.935471034907616</v>
      </c>
      <c r="G54" s="0" t="n">
        <f aca="false">7.75+F54*10</f>
        <v>17.1047103490762</v>
      </c>
      <c r="H54" s="0" t="n">
        <f aca="false">LOGINV(F54,2.64,1.139)</f>
        <v>78.9492580989286</v>
      </c>
      <c r="I54" s="0" t="n">
        <v>19.5</v>
      </c>
      <c r="J54" s="4" t="n">
        <f aca="true">-LN(RAND())/B54</f>
        <v>4.08551189088523</v>
      </c>
      <c r="K54" s="4" t="n">
        <f aca="false">K53+J54</f>
        <v>480.502939924224</v>
      </c>
      <c r="L54" s="4" t="n">
        <f aca="false">(1/$J$4)*(1+AB53)</f>
        <v>10</v>
      </c>
      <c r="M54" s="4" t="n">
        <f aca="false">L54+MAX(K54,Y$10:Y53)</f>
        <v>514.082392388945</v>
      </c>
      <c r="N54" s="4" t="n">
        <f aca="false">K54</f>
        <v>480.502939924224</v>
      </c>
      <c r="O54" s="4" t="n">
        <f aca="false">M54-K54</f>
        <v>33.5794524647211</v>
      </c>
      <c r="P54" s="4" t="n">
        <f aca="false">N54-K54</f>
        <v>0</v>
      </c>
      <c r="Q54" s="4" t="n">
        <f aca="false">A54-MATCH(K54,$M$9:M53,1)</f>
        <v>3</v>
      </c>
      <c r="R54" s="0" t="n">
        <f aca="false">-G54*(O54/3600)</f>
        <v>-0.159546335580452</v>
      </c>
      <c r="S54" s="0" t="n">
        <f aca="false">-1*I54-(H54*(P54/3600))</f>
        <v>-19.5</v>
      </c>
      <c r="T54" s="0" t="n">
        <f aca="false">-H54*(O54/3600)</f>
        <v>-0.736409127627214</v>
      </c>
      <c r="U54" s="0" t="n">
        <f aca="false">T54-S54</f>
        <v>18.7635908723728</v>
      </c>
      <c r="V54" s="0" t="n">
        <f aca="false">1/(1+EXP(U54))</f>
        <v>7.09701985696366E-009</v>
      </c>
      <c r="W54" s="0" t="n">
        <f aca="true">RAND()</f>
        <v>0.797013404007399</v>
      </c>
      <c r="X54" s="0" t="n">
        <f aca="false">IF(W54&lt;V54,1,0)</f>
        <v>0</v>
      </c>
      <c r="Y54" s="0" t="n">
        <f aca="false">(M54*(1-X54)+N54*X54)*D54+M54*E54</f>
        <v>514.082392388945</v>
      </c>
      <c r="Z54" s="0" t="n">
        <f aca="false">((1-X54)*O54+X54*P54)*D54+E54*O54</f>
        <v>33.5794524647211</v>
      </c>
      <c r="AA54" s="0" t="n">
        <f aca="false">IF(D54*X54&gt;0,AA53,Q54)</f>
        <v>3</v>
      </c>
      <c r="AB54" s="0" t="n">
        <f aca="false">(X54*D54)</f>
        <v>0</v>
      </c>
      <c r="AC54" s="0" t="n">
        <f aca="false">SUM(AB$10:AB53)/K54</f>
        <v>0</v>
      </c>
      <c r="AD54" s="0" t="n">
        <f aca="false">R54*E54+D54*(X54*S54+(1-X54)*T54)</f>
        <v>-0.159546335580452</v>
      </c>
      <c r="AE54" s="0" t="n">
        <f aca="false">Z54</f>
        <v>33.5794524647211</v>
      </c>
      <c r="AF54" s="0" t="n">
        <f aca="false">E54*O54</f>
        <v>33.5794524647211</v>
      </c>
      <c r="AG54" s="0" t="n">
        <f aca="false">((1-X54)*O54+X54*P54)*D54</f>
        <v>0</v>
      </c>
      <c r="AH54" s="0" t="n">
        <f aca="false">D54*(LN(EXP(S54)+EXP(T54)))</f>
        <v>-0</v>
      </c>
      <c r="AJ54" s="0" t="n">
        <f aca="false">$J$5</f>
        <v>10</v>
      </c>
      <c r="AK54" s="4" t="n">
        <f aca="false">AJ54+MAX(K54,AK$10:AK53)</f>
        <v>514.082392388945</v>
      </c>
      <c r="AL54" s="5" t="n">
        <f aca="false">AK54-K54</f>
        <v>33.5794524647211</v>
      </c>
      <c r="AM54" s="0" t="n">
        <f aca="false">-G54*AL54/3600</f>
        <v>-0.159546335580452</v>
      </c>
      <c r="AN54" s="0" t="n">
        <f aca="false">-H54*AL54/3600</f>
        <v>-0.736409127627214</v>
      </c>
      <c r="AO54" s="0" t="n">
        <f aca="false">AM54*E54+AN54*D54</f>
        <v>-0.159546335580452</v>
      </c>
      <c r="AP54" s="0" t="n">
        <f aca="false">AL54*D54</f>
        <v>0</v>
      </c>
      <c r="AR54" s="0" t="n">
        <f aca="false">AN54*D54</f>
        <v>-0</v>
      </c>
      <c r="AS54" s="0" t="n">
        <f aca="false">AH54-AR54</f>
        <v>0</v>
      </c>
    </row>
    <row r="55" customFormat="false" ht="12" hidden="false" customHeight="false" outlineLevel="0" collapsed="false">
      <c r="A55" s="3" t="n">
        <f aca="false">A54+1</f>
        <v>46</v>
      </c>
      <c r="B55" s="3" t="n">
        <f aca="false">IF(A55&lt;$N$4/3,0.1,(IF(A55&gt;2*$N$4/3,0.05,0.12)))</f>
        <v>0.1</v>
      </c>
      <c r="C55" s="4" t="n">
        <f aca="true">RAND()</f>
        <v>0.195009949537576</v>
      </c>
      <c r="D55" s="0" t="n">
        <f aca="false">IF((C55&gt;$M$2),1,0)</f>
        <v>0</v>
      </c>
      <c r="E55" s="0" t="n">
        <f aca="false">1-D55</f>
        <v>1</v>
      </c>
      <c r="F55" s="0" t="n">
        <f aca="true">RAND()</f>
        <v>0.0686644041921159</v>
      </c>
      <c r="G55" s="0" t="n">
        <f aca="false">7.75+F55*10</f>
        <v>8.43664404192116</v>
      </c>
      <c r="H55" s="0" t="n">
        <f aca="false">LOGINV(F55,2.64,1.139)</f>
        <v>2.5796659932756</v>
      </c>
      <c r="I55" s="0" t="n">
        <v>19.5</v>
      </c>
      <c r="J55" s="4" t="n">
        <f aca="true">-LN(RAND())/B55</f>
        <v>14.5277036993485</v>
      </c>
      <c r="K55" s="4" t="n">
        <f aca="false">K54+J55</f>
        <v>495.030643623573</v>
      </c>
      <c r="L55" s="4" t="n">
        <f aca="false">(1/$J$4)*(1+AB54)</f>
        <v>10</v>
      </c>
      <c r="M55" s="4" t="n">
        <f aca="false">L55+MAX(K55,Y$10:Y54)</f>
        <v>524.082392388945</v>
      </c>
      <c r="N55" s="4" t="n">
        <f aca="false">K55</f>
        <v>495.030643623573</v>
      </c>
      <c r="O55" s="4" t="n">
        <f aca="false">M55-K55</f>
        <v>29.0517487653726</v>
      </c>
      <c r="P55" s="4" t="n">
        <f aca="false">N55-K55</f>
        <v>0</v>
      </c>
      <c r="Q55" s="4" t="n">
        <f aca="false">A55-MATCH(K55,$M$9:M54,1)</f>
        <v>2</v>
      </c>
      <c r="R55" s="0" t="n">
        <f aca="false">-G55*(O55/3600)</f>
        <v>-0.0680831286468808</v>
      </c>
      <c r="S55" s="0" t="n">
        <f aca="false">-1*I55-(H55*(P55/3600))</f>
        <v>-19.5</v>
      </c>
      <c r="T55" s="0" t="n">
        <f aca="false">-H55*(O55/3600)</f>
        <v>-0.0208177245375606</v>
      </c>
      <c r="U55" s="0" t="n">
        <f aca="false">T55-S55</f>
        <v>19.4791822754624</v>
      </c>
      <c r="V55" s="0" t="n">
        <f aca="false">1/(1+EXP(U55))</f>
        <v>3.4697535140272E-009</v>
      </c>
      <c r="W55" s="0" t="n">
        <f aca="true">RAND()</f>
        <v>0.219911964030278</v>
      </c>
      <c r="X55" s="0" t="n">
        <f aca="false">IF(W55&lt;V55,1,0)</f>
        <v>0</v>
      </c>
      <c r="Y55" s="0" t="n">
        <f aca="false">(M55*(1-X55)+N55*X55)*D55+M55*E55</f>
        <v>524.082392388945</v>
      </c>
      <c r="Z55" s="0" t="n">
        <f aca="false">((1-X55)*O55+X55*P55)*D55+E55*O55</f>
        <v>29.0517487653726</v>
      </c>
      <c r="AA55" s="0" t="n">
        <f aca="false">IF(D55*X55&gt;0,AA54,Q55)</f>
        <v>2</v>
      </c>
      <c r="AB55" s="0" t="n">
        <f aca="false">(X55*D55)</f>
        <v>0</v>
      </c>
      <c r="AC55" s="0" t="n">
        <f aca="false">SUM(AB$10:AB54)/K55</f>
        <v>0</v>
      </c>
      <c r="AD55" s="0" t="n">
        <f aca="false">R55*E55+D55*(X55*S55+(1-X55)*T55)</f>
        <v>-0.0680831286468808</v>
      </c>
      <c r="AE55" s="0" t="n">
        <f aca="false">Z55</f>
        <v>29.0517487653726</v>
      </c>
      <c r="AF55" s="0" t="n">
        <f aca="false">E55*O55</f>
        <v>29.0517487653726</v>
      </c>
      <c r="AG55" s="0" t="n">
        <f aca="false">((1-X55)*O55+X55*P55)*D55</f>
        <v>0</v>
      </c>
      <c r="AH55" s="0" t="n">
        <f aca="false">D55*(LN(EXP(S55)+EXP(T55)))</f>
        <v>-0</v>
      </c>
      <c r="AJ55" s="0" t="n">
        <f aca="false">$J$5</f>
        <v>10</v>
      </c>
      <c r="AK55" s="4" t="n">
        <f aca="false">AJ55+MAX(K55,AK$10:AK54)</f>
        <v>524.082392388945</v>
      </c>
      <c r="AL55" s="5" t="n">
        <f aca="false">AK55-K55</f>
        <v>29.0517487653726</v>
      </c>
      <c r="AM55" s="0" t="n">
        <f aca="false">-G55*AL55/3600</f>
        <v>-0.0680831286468808</v>
      </c>
      <c r="AN55" s="0" t="n">
        <f aca="false">-H55*AL55/3600</f>
        <v>-0.0208177245375606</v>
      </c>
      <c r="AO55" s="0" t="n">
        <f aca="false">AM55*E55+AN55*D55</f>
        <v>-0.0680831286468808</v>
      </c>
      <c r="AP55" s="0" t="n">
        <f aca="false">AL55*D55</f>
        <v>0</v>
      </c>
      <c r="AR55" s="0" t="n">
        <f aca="false">AN55*D55</f>
        <v>-0</v>
      </c>
      <c r="AS55" s="0" t="n">
        <f aca="false">AH55-AR55</f>
        <v>0</v>
      </c>
    </row>
    <row r="56" customFormat="false" ht="12" hidden="false" customHeight="false" outlineLevel="0" collapsed="false">
      <c r="A56" s="3" t="n">
        <f aca="false">A55+1</f>
        <v>47</v>
      </c>
      <c r="B56" s="3" t="n">
        <f aca="false">IF(A56&lt;$N$4/3,0.1,(IF(A56&gt;2*$N$4/3,0.05,0.12)))</f>
        <v>0.1</v>
      </c>
      <c r="C56" s="4" t="n">
        <f aca="true">RAND()</f>
        <v>0.640755395525456</v>
      </c>
      <c r="D56" s="0" t="n">
        <f aca="false">IF((C56&gt;$M$2),1,0)</f>
        <v>0</v>
      </c>
      <c r="E56" s="0" t="n">
        <f aca="false">1-D56</f>
        <v>1</v>
      </c>
      <c r="F56" s="0" t="n">
        <f aca="true">RAND()</f>
        <v>0.786602836460894</v>
      </c>
      <c r="G56" s="0" t="n">
        <f aca="false">7.75+F56*10</f>
        <v>15.6160283646089</v>
      </c>
      <c r="H56" s="0" t="n">
        <f aca="false">LOGINV(F56,2.64,1.139)</f>
        <v>34.6449155521692</v>
      </c>
      <c r="I56" s="0" t="n">
        <v>19.5</v>
      </c>
      <c r="J56" s="4" t="n">
        <f aca="true">-LN(RAND())/B56</f>
        <v>9.90887985251678</v>
      </c>
      <c r="K56" s="4" t="n">
        <f aca="false">K55+J56</f>
        <v>504.93952347609</v>
      </c>
      <c r="L56" s="4" t="n">
        <f aca="false">(1/$J$4)*(1+AB55)</f>
        <v>10</v>
      </c>
      <c r="M56" s="4" t="n">
        <f aca="false">L56+MAX(K56,Y$10:Y55)</f>
        <v>534.082392388945</v>
      </c>
      <c r="N56" s="4" t="n">
        <f aca="false">K56</f>
        <v>504.93952347609</v>
      </c>
      <c r="O56" s="4" t="n">
        <f aca="false">M56-K56</f>
        <v>29.1428689128558</v>
      </c>
      <c r="P56" s="4" t="n">
        <f aca="false">N56-K56</f>
        <v>0</v>
      </c>
      <c r="Q56" s="4" t="n">
        <f aca="false">A56-MATCH(K56,$M$9:M55,1)</f>
        <v>2</v>
      </c>
      <c r="R56" s="0" t="n">
        <f aca="false">-G56*(O56/3600)</f>
        <v>-0.126415518769232</v>
      </c>
      <c r="S56" s="0" t="n">
        <f aca="false">-1*I56-(H56*(P56/3600))</f>
        <v>-19.5</v>
      </c>
      <c r="T56" s="0" t="n">
        <f aca="false">-H56*(O56/3600)</f>
        <v>-0.28045895345384</v>
      </c>
      <c r="U56" s="0" t="n">
        <f aca="false">T56-S56</f>
        <v>19.2195410465462</v>
      </c>
      <c r="V56" s="0" t="n">
        <f aca="false">1/(1+EXP(U56))</f>
        <v>4.49841353078463E-009</v>
      </c>
      <c r="W56" s="0" t="n">
        <f aca="true">RAND()</f>
        <v>0.33403863922818</v>
      </c>
      <c r="X56" s="0" t="n">
        <f aca="false">IF(W56&lt;V56,1,0)</f>
        <v>0</v>
      </c>
      <c r="Y56" s="0" t="n">
        <f aca="false">(M56*(1-X56)+N56*X56)*D56+M56*E56</f>
        <v>534.082392388945</v>
      </c>
      <c r="Z56" s="0" t="n">
        <f aca="false">((1-X56)*O56+X56*P56)*D56+E56*O56</f>
        <v>29.1428689128558</v>
      </c>
      <c r="AA56" s="0" t="n">
        <f aca="false">IF(D56*X56&gt;0,AA55,Q56)</f>
        <v>2</v>
      </c>
      <c r="AB56" s="0" t="n">
        <f aca="false">(X56*D56)</f>
        <v>0</v>
      </c>
      <c r="AC56" s="0" t="n">
        <f aca="false">SUM(AB$10:AB55)/K56</f>
        <v>0</v>
      </c>
      <c r="AD56" s="0" t="n">
        <f aca="false">R56*E56+D56*(X56*S56+(1-X56)*T56)</f>
        <v>-0.126415518769232</v>
      </c>
      <c r="AE56" s="0" t="n">
        <f aca="false">Z56</f>
        <v>29.1428689128558</v>
      </c>
      <c r="AF56" s="0" t="n">
        <f aca="false">E56*O56</f>
        <v>29.1428689128558</v>
      </c>
      <c r="AG56" s="0" t="n">
        <f aca="false">((1-X56)*O56+X56*P56)*D56</f>
        <v>0</v>
      </c>
      <c r="AH56" s="0" t="n">
        <f aca="false">D56*(LN(EXP(S56)+EXP(T56)))</f>
        <v>-0</v>
      </c>
      <c r="AJ56" s="0" t="n">
        <f aca="false">$J$5</f>
        <v>10</v>
      </c>
      <c r="AK56" s="4" t="n">
        <f aca="false">AJ56+MAX(K56,AK$10:AK55)</f>
        <v>534.082392388945</v>
      </c>
      <c r="AL56" s="5" t="n">
        <f aca="false">AK56-K56</f>
        <v>29.1428689128558</v>
      </c>
      <c r="AM56" s="0" t="n">
        <f aca="false">-G56*AL56/3600</f>
        <v>-0.126415518769232</v>
      </c>
      <c r="AN56" s="0" t="n">
        <f aca="false">-H56*AL56/3600</f>
        <v>-0.28045895345384</v>
      </c>
      <c r="AO56" s="0" t="n">
        <f aca="false">AM56*E56+AN56*D56</f>
        <v>-0.126415518769232</v>
      </c>
      <c r="AP56" s="0" t="n">
        <f aca="false">AL56*D56</f>
        <v>0</v>
      </c>
      <c r="AR56" s="0" t="n">
        <f aca="false">AN56*D56</f>
        <v>-0</v>
      </c>
      <c r="AS56" s="0" t="n">
        <f aca="false">AH56-AR56</f>
        <v>0</v>
      </c>
    </row>
    <row r="57" customFormat="false" ht="12" hidden="false" customHeight="false" outlineLevel="0" collapsed="false">
      <c r="A57" s="3" t="n">
        <f aca="false">A56+1</f>
        <v>48</v>
      </c>
      <c r="B57" s="3" t="n">
        <f aca="false">IF(A57&lt;$N$4/3,0.1,(IF(A57&gt;2*$N$4/3,0.05,0.12)))</f>
        <v>0.1</v>
      </c>
      <c r="C57" s="4" t="n">
        <f aca="true">RAND()</f>
        <v>0.0877284354233826</v>
      </c>
      <c r="D57" s="0" t="n">
        <f aca="false">IF((C57&gt;$M$2),1,0)</f>
        <v>0</v>
      </c>
      <c r="E57" s="0" t="n">
        <f aca="false">1-D57</f>
        <v>1</v>
      </c>
      <c r="F57" s="0" t="n">
        <f aca="true">RAND()</f>
        <v>0.847011651859639</v>
      </c>
      <c r="G57" s="0" t="n">
        <f aca="false">7.75+F57*10</f>
        <v>16.2201165185964</v>
      </c>
      <c r="H57" s="0" t="n">
        <f aca="false">LOGINV(F57,2.64,1.139)</f>
        <v>44.9699739306914</v>
      </c>
      <c r="I57" s="0" t="n">
        <v>19.5</v>
      </c>
      <c r="J57" s="4" t="n">
        <f aca="true">-LN(RAND())/B57</f>
        <v>6.65135724594496</v>
      </c>
      <c r="K57" s="4" t="n">
        <f aca="false">K56+J57</f>
        <v>511.590880722035</v>
      </c>
      <c r="L57" s="4" t="n">
        <f aca="false">(1/$J$4)*(1+AB56)</f>
        <v>10</v>
      </c>
      <c r="M57" s="4" t="n">
        <f aca="false">L57+MAX(K57,Y$10:Y56)</f>
        <v>544.082392388945</v>
      </c>
      <c r="N57" s="4" t="n">
        <f aca="false">K57</f>
        <v>511.590880722035</v>
      </c>
      <c r="O57" s="4" t="n">
        <f aca="false">M57-K57</f>
        <v>32.4915116669108</v>
      </c>
      <c r="P57" s="4" t="n">
        <f aca="false">N57-K57</f>
        <v>0</v>
      </c>
      <c r="Q57" s="4" t="n">
        <f aca="false">A57-MATCH(K57,$M$9:M56,1)</f>
        <v>3</v>
      </c>
      <c r="R57" s="0" t="n">
        <f aca="false">-G57*(O57/3600)</f>
        <v>-0.146393362528508</v>
      </c>
      <c r="S57" s="0" t="n">
        <f aca="false">-1*I57-(H57*(P57/3600))</f>
        <v>-19.5</v>
      </c>
      <c r="T57" s="0" t="n">
        <f aca="false">-H57*(O57/3600)</f>
        <v>-0.405872897952704</v>
      </c>
      <c r="U57" s="0" t="n">
        <f aca="false">T57-S57</f>
        <v>19.0941271020473</v>
      </c>
      <c r="V57" s="0" t="n">
        <f aca="false">1/(1+EXP(U57))</f>
        <v>5.09948079578423E-009</v>
      </c>
      <c r="W57" s="0" t="n">
        <f aca="true">RAND()</f>
        <v>0.2711403204265</v>
      </c>
      <c r="X57" s="0" t="n">
        <f aca="false">IF(W57&lt;V57,1,0)</f>
        <v>0</v>
      </c>
      <c r="Y57" s="0" t="n">
        <f aca="false">(M57*(1-X57)+N57*X57)*D57+M57*E57</f>
        <v>544.082392388945</v>
      </c>
      <c r="Z57" s="0" t="n">
        <f aca="false">((1-X57)*O57+X57*P57)*D57+E57*O57</f>
        <v>32.4915116669108</v>
      </c>
      <c r="AA57" s="0" t="n">
        <f aca="false">IF(D57*X57&gt;0,AA56,Q57)</f>
        <v>3</v>
      </c>
      <c r="AB57" s="0" t="n">
        <f aca="false">(X57*D57)</f>
        <v>0</v>
      </c>
      <c r="AC57" s="0" t="n">
        <f aca="false">SUM(AB$10:AB56)/K57</f>
        <v>0</v>
      </c>
      <c r="AD57" s="0" t="n">
        <f aca="false">R57*E57+D57*(X57*S57+(1-X57)*T57)</f>
        <v>-0.146393362528508</v>
      </c>
      <c r="AE57" s="0" t="n">
        <f aca="false">Z57</f>
        <v>32.4915116669108</v>
      </c>
      <c r="AF57" s="0" t="n">
        <f aca="false">E57*O57</f>
        <v>32.4915116669108</v>
      </c>
      <c r="AG57" s="0" t="n">
        <f aca="false">((1-X57)*O57+X57*P57)*D57</f>
        <v>0</v>
      </c>
      <c r="AH57" s="0" t="n">
        <f aca="false">D57*(LN(EXP(S57)+EXP(T57)))</f>
        <v>-0</v>
      </c>
      <c r="AJ57" s="0" t="n">
        <f aca="false">$J$5</f>
        <v>10</v>
      </c>
      <c r="AK57" s="4" t="n">
        <f aca="false">AJ57+MAX(K57,AK$10:AK56)</f>
        <v>544.082392388945</v>
      </c>
      <c r="AL57" s="5" t="n">
        <f aca="false">AK57-K57</f>
        <v>32.4915116669108</v>
      </c>
      <c r="AM57" s="0" t="n">
        <f aca="false">-G57*AL57/3600</f>
        <v>-0.146393362528508</v>
      </c>
      <c r="AN57" s="0" t="n">
        <f aca="false">-H57*AL57/3600</f>
        <v>-0.405872897952704</v>
      </c>
      <c r="AO57" s="0" t="n">
        <f aca="false">AM57*E57+AN57*D57</f>
        <v>-0.146393362528508</v>
      </c>
      <c r="AP57" s="0" t="n">
        <f aca="false">AL57*D57</f>
        <v>0</v>
      </c>
      <c r="AR57" s="0" t="n">
        <f aca="false">AN57*D57</f>
        <v>-0</v>
      </c>
      <c r="AS57" s="0" t="n">
        <f aca="false">AH57-AR57</f>
        <v>0</v>
      </c>
    </row>
    <row r="58" customFormat="false" ht="12" hidden="false" customHeight="false" outlineLevel="0" collapsed="false">
      <c r="A58" s="3" t="n">
        <f aca="false">A57+1</f>
        <v>49</v>
      </c>
      <c r="B58" s="3" t="n">
        <f aca="false">IF(A58&lt;$N$4/3,0.1,(IF(A58&gt;2*$N$4/3,0.05,0.12)))</f>
        <v>0.1</v>
      </c>
      <c r="C58" s="4" t="n">
        <f aca="true">RAND()</f>
        <v>0.907911920787181</v>
      </c>
      <c r="D58" s="0" t="n">
        <f aca="false">IF((C58&gt;$M$2),1,0)</f>
        <v>1</v>
      </c>
      <c r="E58" s="0" t="n">
        <f aca="false">1-D58</f>
        <v>0</v>
      </c>
      <c r="F58" s="0" t="n">
        <f aca="true">RAND()</f>
        <v>0.0512929477010628</v>
      </c>
      <c r="G58" s="0" t="n">
        <f aca="false">7.75+F58*10</f>
        <v>8.26292947701063</v>
      </c>
      <c r="H58" s="0" t="n">
        <f aca="false">LOGINV(F58,2.64,1.139)</f>
        <v>2.18288149670804</v>
      </c>
      <c r="I58" s="0" t="n">
        <v>19.5</v>
      </c>
      <c r="J58" s="4" t="n">
        <f aca="true">-LN(RAND())/B58</f>
        <v>3.62701700765694</v>
      </c>
      <c r="K58" s="4" t="n">
        <f aca="false">K57+J58</f>
        <v>515.217897729692</v>
      </c>
      <c r="L58" s="4" t="n">
        <f aca="false">(1/$J$4)*(1+AB57)</f>
        <v>10</v>
      </c>
      <c r="M58" s="4" t="n">
        <f aca="false">L58+MAX(K58,Y$10:Y57)</f>
        <v>554.082392388945</v>
      </c>
      <c r="N58" s="4" t="n">
        <f aca="false">K58</f>
        <v>515.217897729692</v>
      </c>
      <c r="O58" s="4" t="n">
        <f aca="false">M58-K58</f>
        <v>38.8644946592539</v>
      </c>
      <c r="P58" s="4" t="n">
        <f aca="false">N58-K58</f>
        <v>0</v>
      </c>
      <c r="Q58" s="4" t="n">
        <f aca="false">A58-MATCH(K58,$M$9:M57,1)</f>
        <v>3</v>
      </c>
      <c r="R58" s="0" t="n">
        <f aca="false">-G58*(O58/3600)</f>
        <v>-0.0892040495914086</v>
      </c>
      <c r="S58" s="0" t="n">
        <f aca="false">-1*I58-(H58*(P58/3600))</f>
        <v>-19.5</v>
      </c>
      <c r="T58" s="0" t="n">
        <f aca="false">-H58*(O58/3600)</f>
        <v>-0.0235657184084983</v>
      </c>
      <c r="U58" s="0" t="n">
        <f aca="false">T58-S58</f>
        <v>19.4764342815915</v>
      </c>
      <c r="V58" s="0" t="n">
        <f aca="false">1/(1+EXP(U58))</f>
        <v>3.47930148826314E-009</v>
      </c>
      <c r="W58" s="0" t="n">
        <f aca="true">RAND()</f>
        <v>0.86677509378825</v>
      </c>
      <c r="X58" s="0" t="n">
        <f aca="false">IF(W58&lt;V58,1,0)</f>
        <v>0</v>
      </c>
      <c r="Y58" s="0" t="n">
        <f aca="false">(M58*(1-X58)+N58*X58)*D58+M58*E58</f>
        <v>554.082392388945</v>
      </c>
      <c r="Z58" s="0" t="n">
        <f aca="false">((1-X58)*O58+X58*P58)*D58+E58*O58</f>
        <v>38.8644946592539</v>
      </c>
      <c r="AA58" s="0" t="n">
        <f aca="false">IF(D58*X58&gt;0,AA57,Q58)</f>
        <v>3</v>
      </c>
      <c r="AB58" s="0" t="n">
        <f aca="false">(X58*D58)</f>
        <v>0</v>
      </c>
      <c r="AC58" s="0" t="n">
        <f aca="false">SUM(AB$10:AB57)/K58</f>
        <v>0</v>
      </c>
      <c r="AD58" s="0" t="n">
        <f aca="false">R58*E58+D58*(X58*S58+(1-X58)*T58)</f>
        <v>-0.0235657184084983</v>
      </c>
      <c r="AE58" s="0" t="n">
        <f aca="false">Z58</f>
        <v>38.8644946592539</v>
      </c>
      <c r="AF58" s="0" t="n">
        <f aca="false">E58*O58</f>
        <v>0</v>
      </c>
      <c r="AG58" s="0" t="n">
        <f aca="false">((1-X58)*O58+X58*P58)*D58</f>
        <v>38.8644946592539</v>
      </c>
      <c r="AH58" s="0" t="n">
        <f aca="false">D58*(LN(EXP(S58)+EXP(T58)))</f>
        <v>-0.0235657149291969</v>
      </c>
      <c r="AJ58" s="0" t="n">
        <f aca="false">$J$5</f>
        <v>10</v>
      </c>
      <c r="AK58" s="4" t="n">
        <f aca="false">AJ58+MAX(K58,AK$10:AK57)</f>
        <v>554.082392388945</v>
      </c>
      <c r="AL58" s="5" t="n">
        <f aca="false">AK58-K58</f>
        <v>38.8644946592539</v>
      </c>
      <c r="AM58" s="0" t="n">
        <f aca="false">-G58*AL58/3600</f>
        <v>-0.0892040495914086</v>
      </c>
      <c r="AN58" s="0" t="n">
        <f aca="false">-H58*AL58/3600</f>
        <v>-0.0235657184084983</v>
      </c>
      <c r="AO58" s="0" t="n">
        <f aca="false">AM58*E58+AN58*D58</f>
        <v>-0.0235657184084983</v>
      </c>
      <c r="AP58" s="0" t="n">
        <f aca="false">AL58*D58</f>
        <v>38.8644946592539</v>
      </c>
      <c r="AR58" s="0" t="n">
        <f aca="false">AN58*D58</f>
        <v>-0.0235657184084983</v>
      </c>
      <c r="AS58" s="0" t="n">
        <f aca="false">AH58-AR58</f>
        <v>3.47930142682862E-009</v>
      </c>
    </row>
    <row r="59" customFormat="false" ht="12" hidden="false" customHeight="false" outlineLevel="0" collapsed="false">
      <c r="A59" s="3" t="n">
        <f aca="false">A58+1</f>
        <v>50</v>
      </c>
      <c r="B59" s="3" t="n">
        <f aca="false">IF(A59&lt;$N$4/3,0.1,(IF(A59&gt;2*$N$4/3,0.05,0.12)))</f>
        <v>0.1</v>
      </c>
      <c r="C59" s="4" t="n">
        <f aca="true">RAND()</f>
        <v>0.459032288463982</v>
      </c>
      <c r="D59" s="0" t="n">
        <f aca="false">IF((C59&gt;$M$2),1,0)</f>
        <v>0</v>
      </c>
      <c r="E59" s="0" t="n">
        <f aca="false">1-D59</f>
        <v>1</v>
      </c>
      <c r="F59" s="0" t="n">
        <f aca="true">RAND()</f>
        <v>0.410546228727493</v>
      </c>
      <c r="G59" s="0" t="n">
        <f aca="false">7.75+F59*10</f>
        <v>11.8554622872749</v>
      </c>
      <c r="H59" s="0" t="n">
        <f aca="false">LOGINV(F59,2.64,1.139)</f>
        <v>10.83115200217</v>
      </c>
      <c r="I59" s="0" t="n">
        <v>19.5</v>
      </c>
      <c r="J59" s="4" t="n">
        <f aca="true">-LN(RAND())/B59</f>
        <v>6.37968290220264</v>
      </c>
      <c r="K59" s="4" t="n">
        <f aca="false">K58+J59</f>
        <v>521.597580631894</v>
      </c>
      <c r="L59" s="4" t="n">
        <f aca="false">(1/$J$4)*(1+AB58)</f>
        <v>10</v>
      </c>
      <c r="M59" s="4" t="n">
        <f aca="false">L59+MAX(K59,Y$10:Y58)</f>
        <v>564.082392388945</v>
      </c>
      <c r="N59" s="4" t="n">
        <f aca="false">K59</f>
        <v>521.597580631894</v>
      </c>
      <c r="O59" s="4" t="n">
        <f aca="false">M59-K59</f>
        <v>42.4848117570513</v>
      </c>
      <c r="P59" s="4" t="n">
        <f aca="false">N59-K59</f>
        <v>0</v>
      </c>
      <c r="Q59" s="4" t="n">
        <f aca="false">A59-MATCH(K59,$M$9:M58,1)</f>
        <v>4</v>
      </c>
      <c r="R59" s="0" t="n">
        <f aca="false">-G59*(O59/3600)</f>
        <v>-0.139910300991027</v>
      </c>
      <c r="S59" s="0" t="n">
        <f aca="false">-1*I59-(H59*(P59/3600))</f>
        <v>-19.5</v>
      </c>
      <c r="T59" s="0" t="n">
        <f aca="false">-H59*(O59/3600)</f>
        <v>-0.127822070534501</v>
      </c>
      <c r="U59" s="0" t="n">
        <f aca="false">T59-S59</f>
        <v>19.3721779294655</v>
      </c>
      <c r="V59" s="0" t="n">
        <f aca="false">1/(1+EXP(U59))</f>
        <v>3.86162432141864E-009</v>
      </c>
      <c r="W59" s="0" t="n">
        <f aca="true">RAND()</f>
        <v>0.466559654084823</v>
      </c>
      <c r="X59" s="0" t="n">
        <f aca="false">IF(W59&lt;V59,1,0)</f>
        <v>0</v>
      </c>
      <c r="Y59" s="0" t="n">
        <f aca="false">(M59*(1-X59)+N59*X59)*D59+M59*E59</f>
        <v>564.082392388945</v>
      </c>
      <c r="Z59" s="0" t="n">
        <f aca="false">((1-X59)*O59+X59*P59)*D59+E59*O59</f>
        <v>42.4848117570513</v>
      </c>
      <c r="AA59" s="0" t="n">
        <f aca="false">IF(D59*X59&gt;0,AA58,Q59)</f>
        <v>4</v>
      </c>
      <c r="AB59" s="0" t="n">
        <f aca="false">(X59*D59)</f>
        <v>0</v>
      </c>
      <c r="AC59" s="0" t="n">
        <f aca="false">SUM(AB$10:AB58)/K59</f>
        <v>0</v>
      </c>
      <c r="AD59" s="0" t="n">
        <f aca="false">R59*E59+D59*(X59*S59+(1-X59)*T59)</f>
        <v>-0.139910300991027</v>
      </c>
      <c r="AE59" s="0" t="n">
        <f aca="false">Z59</f>
        <v>42.4848117570513</v>
      </c>
      <c r="AF59" s="0" t="n">
        <f aca="false">E59*O59</f>
        <v>42.4848117570513</v>
      </c>
      <c r="AG59" s="0" t="n">
        <f aca="false">((1-X59)*O59+X59*P59)*D59</f>
        <v>0</v>
      </c>
      <c r="AH59" s="0" t="n">
        <f aca="false">D59*(LN(EXP(S59)+EXP(T59)))</f>
        <v>-0</v>
      </c>
      <c r="AJ59" s="0" t="n">
        <f aca="false">$J$5</f>
        <v>10</v>
      </c>
      <c r="AK59" s="4" t="n">
        <f aca="false">AJ59+MAX(K59,AK$10:AK58)</f>
        <v>564.082392388945</v>
      </c>
      <c r="AL59" s="5" t="n">
        <f aca="false">AK59-K59</f>
        <v>42.4848117570513</v>
      </c>
      <c r="AM59" s="0" t="n">
        <f aca="false">-G59*AL59/3600</f>
        <v>-0.139910300991027</v>
      </c>
      <c r="AN59" s="0" t="n">
        <f aca="false">-H59*AL59/3600</f>
        <v>-0.127822070534501</v>
      </c>
      <c r="AO59" s="0" t="n">
        <f aca="false">AM59*E59+AN59*D59</f>
        <v>-0.139910300991027</v>
      </c>
      <c r="AP59" s="0" t="n">
        <f aca="false">AL59*D59</f>
        <v>0</v>
      </c>
      <c r="AR59" s="0" t="n">
        <f aca="false">AN59*D59</f>
        <v>-0</v>
      </c>
      <c r="AS59" s="0" t="n">
        <f aca="false">AH59-AR59</f>
        <v>0</v>
      </c>
    </row>
    <row r="60" customFormat="false" ht="12" hidden="false" customHeight="false" outlineLevel="0" collapsed="false">
      <c r="A60" s="3" t="n">
        <f aca="false">A59+1</f>
        <v>51</v>
      </c>
      <c r="B60" s="3" t="n">
        <f aca="false">IF(A60&lt;$N$4/3,0.1,(IF(A60&gt;2*$N$4/3,0.05,0.12)))</f>
        <v>0.1</v>
      </c>
      <c r="C60" s="4" t="n">
        <f aca="true">RAND()</f>
        <v>0.259535462245806</v>
      </c>
      <c r="D60" s="0" t="n">
        <f aca="false">IF((C60&gt;$M$2),1,0)</f>
        <v>0</v>
      </c>
      <c r="E60" s="0" t="n">
        <f aca="false">1-D60</f>
        <v>1</v>
      </c>
      <c r="F60" s="0" t="n">
        <f aca="true">RAND()</f>
        <v>0.904374262661992</v>
      </c>
      <c r="G60" s="0" t="n">
        <f aca="false">7.75+F60*10</f>
        <v>16.7937426266199</v>
      </c>
      <c r="H60" s="0" t="n">
        <f aca="false">LOGINV(F60,2.64,1.139)</f>
        <v>62.0873962421887</v>
      </c>
      <c r="I60" s="0" t="n">
        <v>19.5</v>
      </c>
      <c r="J60" s="4" t="n">
        <f aca="true">-LN(RAND())/B60</f>
        <v>2.00844626006071</v>
      </c>
      <c r="K60" s="4" t="n">
        <f aca="false">K59+J60</f>
        <v>523.606026891955</v>
      </c>
      <c r="L60" s="4" t="n">
        <f aca="false">(1/$J$4)*(1+AB59)</f>
        <v>10</v>
      </c>
      <c r="M60" s="4" t="n">
        <f aca="false">L60+MAX(K60,Y$10:Y59)</f>
        <v>574.082392388945</v>
      </c>
      <c r="N60" s="4" t="n">
        <f aca="false">K60</f>
        <v>523.606026891955</v>
      </c>
      <c r="O60" s="4" t="n">
        <f aca="false">M60-K60</f>
        <v>50.4763654969905</v>
      </c>
      <c r="P60" s="4" t="n">
        <f aca="false">N60-K60</f>
        <v>0</v>
      </c>
      <c r="Q60" s="4" t="n">
        <f aca="false">A60-MATCH(K60,$M$9:M59,1)</f>
        <v>5</v>
      </c>
      <c r="R60" s="0" t="n">
        <f aca="false">-G60*(O60/3600)</f>
        <v>-0.235468636356571</v>
      </c>
      <c r="S60" s="0" t="n">
        <f aca="false">-1*I60-(H60*(P60/3600))</f>
        <v>-19.5</v>
      </c>
      <c r="T60" s="0" t="n">
        <f aca="false">-H60*(O60/3600)</f>
        <v>-0.870540584854775</v>
      </c>
      <c r="U60" s="0" t="n">
        <f aca="false">T60-S60</f>
        <v>18.6294594151452</v>
      </c>
      <c r="V60" s="0" t="n">
        <f aca="false">1/(1+EXP(U60))</f>
        <v>8.11574834071648E-009</v>
      </c>
      <c r="W60" s="0" t="n">
        <f aca="true">RAND()</f>
        <v>0.523780641667922</v>
      </c>
      <c r="X60" s="0" t="n">
        <f aca="false">IF(W60&lt;V60,1,0)</f>
        <v>0</v>
      </c>
      <c r="Y60" s="0" t="n">
        <f aca="false">(M60*(1-X60)+N60*X60)*D60+M60*E60</f>
        <v>574.082392388945</v>
      </c>
      <c r="Z60" s="0" t="n">
        <f aca="false">((1-X60)*O60+X60*P60)*D60+E60*O60</f>
        <v>50.4763654969905</v>
      </c>
      <c r="AA60" s="0" t="n">
        <f aca="false">IF(D60*X60&gt;0,AA59,Q60)</f>
        <v>5</v>
      </c>
      <c r="AB60" s="0" t="n">
        <f aca="false">(X60*D60)</f>
        <v>0</v>
      </c>
      <c r="AC60" s="0" t="n">
        <f aca="false">SUM(AB$10:AB59)/K60</f>
        <v>0</v>
      </c>
      <c r="AD60" s="0" t="n">
        <f aca="false">R60*E60+D60*(X60*S60+(1-X60)*T60)</f>
        <v>-0.235468636356571</v>
      </c>
      <c r="AE60" s="0" t="n">
        <f aca="false">Z60</f>
        <v>50.4763654969905</v>
      </c>
      <c r="AF60" s="0" t="n">
        <f aca="false">E60*O60</f>
        <v>50.4763654969905</v>
      </c>
      <c r="AG60" s="0" t="n">
        <f aca="false">((1-X60)*O60+X60*P60)*D60</f>
        <v>0</v>
      </c>
      <c r="AH60" s="0" t="n">
        <f aca="false">D60*(LN(EXP(S60)+EXP(T60)))</f>
        <v>-0</v>
      </c>
      <c r="AJ60" s="0" t="n">
        <f aca="false">$J$5</f>
        <v>10</v>
      </c>
      <c r="AK60" s="4" t="n">
        <f aca="false">AJ60+MAX(K60,AK$10:AK59)</f>
        <v>574.082392388945</v>
      </c>
      <c r="AL60" s="5" t="n">
        <f aca="false">AK60-K60</f>
        <v>50.4763654969905</v>
      </c>
      <c r="AM60" s="0" t="n">
        <f aca="false">-G60*AL60/3600</f>
        <v>-0.235468636356571</v>
      </c>
      <c r="AN60" s="0" t="n">
        <f aca="false">-H60*AL60/3600</f>
        <v>-0.870540584854775</v>
      </c>
      <c r="AO60" s="0" t="n">
        <f aca="false">AM60*E60+AN60*D60</f>
        <v>-0.235468636356571</v>
      </c>
      <c r="AP60" s="0" t="n">
        <f aca="false">AL60*D60</f>
        <v>0</v>
      </c>
      <c r="AR60" s="0" t="n">
        <f aca="false">AN60*D60</f>
        <v>-0</v>
      </c>
      <c r="AS60" s="0" t="n">
        <f aca="false">AH60-AR60</f>
        <v>0</v>
      </c>
    </row>
    <row r="61" customFormat="false" ht="12" hidden="false" customHeight="false" outlineLevel="0" collapsed="false">
      <c r="A61" s="3" t="n">
        <f aca="false">A60+1</f>
        <v>52</v>
      </c>
      <c r="B61" s="3" t="n">
        <f aca="false">IF(A61&lt;$N$4/3,0.1,(IF(A61&gt;2*$N$4/3,0.05,0.12)))</f>
        <v>0.1</v>
      </c>
      <c r="C61" s="4" t="n">
        <f aca="true">RAND()</f>
        <v>0.805283197884449</v>
      </c>
      <c r="D61" s="0" t="n">
        <f aca="false">IF((C61&gt;$M$2),1,0)</f>
        <v>0</v>
      </c>
      <c r="E61" s="0" t="n">
        <f aca="false">1-D61</f>
        <v>1</v>
      </c>
      <c r="F61" s="0" t="n">
        <f aca="true">RAND()</f>
        <v>0.951234264109245</v>
      </c>
      <c r="G61" s="0" t="n">
        <f aca="false">7.75+F61*10</f>
        <v>17.2623426410925</v>
      </c>
      <c r="H61" s="0" t="n">
        <f aca="false">LOGINV(F61,2.64,1.139)</f>
        <v>92.5043266086925</v>
      </c>
      <c r="I61" s="0" t="n">
        <v>19.5</v>
      </c>
      <c r="J61" s="4" t="n">
        <f aca="true">-LN(RAND())/B61</f>
        <v>5.03199775394299</v>
      </c>
      <c r="K61" s="4" t="n">
        <f aca="false">K60+J61</f>
        <v>528.638024645898</v>
      </c>
      <c r="L61" s="4" t="n">
        <f aca="false">(1/$J$4)*(1+AB60)</f>
        <v>10</v>
      </c>
      <c r="M61" s="4" t="n">
        <f aca="false">L61+MAX(K61,Y$10:Y60)</f>
        <v>584.082392388945</v>
      </c>
      <c r="N61" s="4" t="n">
        <f aca="false">K61</f>
        <v>528.638024645898</v>
      </c>
      <c r="O61" s="4" t="n">
        <f aca="false">M61-K61</f>
        <v>55.4443677430476</v>
      </c>
      <c r="P61" s="4" t="n">
        <f aca="false">N61-K61</f>
        <v>0</v>
      </c>
      <c r="Q61" s="4" t="n">
        <f aca="false">A61-MATCH(K61,$M$9:M60,1)</f>
        <v>5</v>
      </c>
      <c r="R61" s="0" t="n">
        <f aca="false">-G61*(O61/3600)</f>
        <v>-0.26586102041645</v>
      </c>
      <c r="S61" s="0" t="n">
        <f aca="false">-1*I61-(H61*(P61/3600))</f>
        <v>-19.5</v>
      </c>
      <c r="T61" s="0" t="n">
        <f aca="false">-H61*(O61/3600)</f>
        <v>-1.42467886175426</v>
      </c>
      <c r="U61" s="0" t="n">
        <f aca="false">T61-S61</f>
        <v>18.0753211382457</v>
      </c>
      <c r="V61" s="0" t="n">
        <f aca="false">1/(1+EXP(U61))</f>
        <v>1.41249775065654E-008</v>
      </c>
      <c r="W61" s="0" t="n">
        <f aca="true">RAND()</f>
        <v>0.570621751454071</v>
      </c>
      <c r="X61" s="0" t="n">
        <f aca="false">IF(W61&lt;V61,1,0)</f>
        <v>0</v>
      </c>
      <c r="Y61" s="0" t="n">
        <f aca="false">(M61*(1-X61)+N61*X61)*D61+M61*E61</f>
        <v>584.082392388945</v>
      </c>
      <c r="Z61" s="0" t="n">
        <f aca="false">((1-X61)*O61+X61*P61)*D61+E61*O61</f>
        <v>55.4443677430476</v>
      </c>
      <c r="AA61" s="0" t="n">
        <f aca="false">IF(D61*X61&gt;0,AA60,Q61)</f>
        <v>5</v>
      </c>
      <c r="AB61" s="0" t="n">
        <f aca="false">(X61*D61)</f>
        <v>0</v>
      </c>
      <c r="AC61" s="0" t="n">
        <f aca="false">SUM(AB$10:AB60)/K61</f>
        <v>0</v>
      </c>
      <c r="AD61" s="0" t="n">
        <f aca="false">R61*E61+D61*(X61*S61+(1-X61)*T61)</f>
        <v>-0.26586102041645</v>
      </c>
      <c r="AE61" s="0" t="n">
        <f aca="false">Z61</f>
        <v>55.4443677430476</v>
      </c>
      <c r="AF61" s="0" t="n">
        <f aca="false">E61*O61</f>
        <v>55.4443677430476</v>
      </c>
      <c r="AG61" s="0" t="n">
        <f aca="false">((1-X61)*O61+X61*P61)*D61</f>
        <v>0</v>
      </c>
      <c r="AH61" s="0" t="n">
        <f aca="false">D61*(LN(EXP(S61)+EXP(T61)))</f>
        <v>-0</v>
      </c>
      <c r="AJ61" s="0" t="n">
        <f aca="false">$J$5</f>
        <v>10</v>
      </c>
      <c r="AK61" s="4" t="n">
        <f aca="false">AJ61+MAX(K61,AK$10:AK60)</f>
        <v>584.082392388945</v>
      </c>
      <c r="AL61" s="5" t="n">
        <f aca="false">AK61-K61</f>
        <v>55.4443677430476</v>
      </c>
      <c r="AM61" s="0" t="n">
        <f aca="false">-G61*AL61/3600</f>
        <v>-0.26586102041645</v>
      </c>
      <c r="AN61" s="0" t="n">
        <f aca="false">-H61*AL61/3600</f>
        <v>-1.42467886175426</v>
      </c>
      <c r="AO61" s="0" t="n">
        <f aca="false">AM61*E61+AN61*D61</f>
        <v>-0.26586102041645</v>
      </c>
      <c r="AP61" s="0" t="n">
        <f aca="false">AL61*D61</f>
        <v>0</v>
      </c>
      <c r="AR61" s="0" t="n">
        <f aca="false">AN61*D61</f>
        <v>-0</v>
      </c>
      <c r="AS61" s="0" t="n">
        <f aca="false">AH61-AR61</f>
        <v>0</v>
      </c>
    </row>
    <row r="62" customFormat="false" ht="12" hidden="false" customHeight="false" outlineLevel="0" collapsed="false">
      <c r="A62" s="3" t="n">
        <f aca="false">A61+1</f>
        <v>53</v>
      </c>
      <c r="B62" s="3" t="n">
        <f aca="false">IF(A62&lt;$N$4/3,0.1,(IF(A62&gt;2*$N$4/3,0.05,0.12)))</f>
        <v>0.1</v>
      </c>
      <c r="C62" s="4" t="n">
        <f aca="true">RAND()</f>
        <v>0.634743610910749</v>
      </c>
      <c r="D62" s="0" t="n">
        <f aca="false">IF((C62&gt;$M$2),1,0)</f>
        <v>0</v>
      </c>
      <c r="E62" s="0" t="n">
        <f aca="false">1-D62</f>
        <v>1</v>
      </c>
      <c r="F62" s="0" t="n">
        <f aca="true">RAND()</f>
        <v>0.637549576855346</v>
      </c>
      <c r="G62" s="0" t="n">
        <f aca="false">7.75+F62*10</f>
        <v>14.1254957685535</v>
      </c>
      <c r="H62" s="0" t="n">
        <f aca="false">LOGINV(F62,2.64,1.139)</f>
        <v>20.9226635454204</v>
      </c>
      <c r="I62" s="0" t="n">
        <v>19.5</v>
      </c>
      <c r="J62" s="4" t="n">
        <f aca="true">-LN(RAND())/B62</f>
        <v>6.44651917194393</v>
      </c>
      <c r="K62" s="4" t="n">
        <f aca="false">K61+J62</f>
        <v>535.084543817842</v>
      </c>
      <c r="L62" s="4" t="n">
        <f aca="false">(1/$J$4)*(1+AB61)</f>
        <v>10</v>
      </c>
      <c r="M62" s="4" t="n">
        <f aca="false">L62+MAX(K62,Y$10:Y61)</f>
        <v>594.082392388945</v>
      </c>
      <c r="N62" s="4" t="n">
        <f aca="false">K62</f>
        <v>535.084543817842</v>
      </c>
      <c r="O62" s="4" t="n">
        <f aca="false">M62-K62</f>
        <v>58.9978485711036</v>
      </c>
      <c r="P62" s="4" t="n">
        <f aca="false">N62-K62</f>
        <v>0</v>
      </c>
      <c r="Q62" s="4" t="n">
        <f aca="false">A62-MATCH(K62,$M$9:M61,1)</f>
        <v>5</v>
      </c>
      <c r="R62" s="0" t="n">
        <f aca="false">-G62*(O62/3600)</f>
        <v>-0.23149273898469</v>
      </c>
      <c r="S62" s="0" t="n">
        <f aca="false">-1*I62-(H62*(P62/3600))</f>
        <v>-19.5</v>
      </c>
      <c r="T62" s="0" t="n">
        <f aca="false">-H62*(O62/3600)</f>
        <v>-0.34288670432135</v>
      </c>
      <c r="U62" s="0" t="n">
        <f aca="false">T62-S62</f>
        <v>19.1571132956787</v>
      </c>
      <c r="V62" s="0" t="n">
        <f aca="false">1/(1+EXP(U62))</f>
        <v>4.78819032095954E-009</v>
      </c>
      <c r="W62" s="0" t="n">
        <f aca="true">RAND()</f>
        <v>0.454821675900466</v>
      </c>
      <c r="X62" s="0" t="n">
        <f aca="false">IF(W62&lt;V62,1,0)</f>
        <v>0</v>
      </c>
      <c r="Y62" s="0" t="n">
        <f aca="false">(M62*(1-X62)+N62*X62)*D62+M62*E62</f>
        <v>594.082392388945</v>
      </c>
      <c r="Z62" s="0" t="n">
        <f aca="false">((1-X62)*O62+X62*P62)*D62+E62*O62</f>
        <v>58.9978485711036</v>
      </c>
      <c r="AA62" s="0" t="n">
        <f aca="false">IF(D62*X62&gt;0,AA61,Q62)</f>
        <v>5</v>
      </c>
      <c r="AB62" s="0" t="n">
        <f aca="false">(X62*D62)</f>
        <v>0</v>
      </c>
      <c r="AC62" s="0" t="n">
        <f aca="false">SUM(AB$10:AB61)/K62</f>
        <v>0</v>
      </c>
      <c r="AD62" s="0" t="n">
        <f aca="false">R62*E62+D62*(X62*S62+(1-X62)*T62)</f>
        <v>-0.23149273898469</v>
      </c>
      <c r="AE62" s="0" t="n">
        <f aca="false">Z62</f>
        <v>58.9978485711036</v>
      </c>
      <c r="AF62" s="0" t="n">
        <f aca="false">E62*O62</f>
        <v>58.9978485711036</v>
      </c>
      <c r="AG62" s="0" t="n">
        <f aca="false">((1-X62)*O62+X62*P62)*D62</f>
        <v>0</v>
      </c>
      <c r="AH62" s="0" t="n">
        <f aca="false">D62*(LN(EXP(S62)+EXP(T62)))</f>
        <v>-0</v>
      </c>
      <c r="AJ62" s="0" t="n">
        <f aca="false">$J$5</f>
        <v>10</v>
      </c>
      <c r="AK62" s="4" t="n">
        <f aca="false">AJ62+MAX(K62,AK$10:AK61)</f>
        <v>594.082392388945</v>
      </c>
      <c r="AL62" s="5" t="n">
        <f aca="false">AK62-K62</f>
        <v>58.9978485711036</v>
      </c>
      <c r="AM62" s="0" t="n">
        <f aca="false">-G62*AL62/3600</f>
        <v>-0.23149273898469</v>
      </c>
      <c r="AN62" s="0" t="n">
        <f aca="false">-H62*AL62/3600</f>
        <v>-0.34288670432135</v>
      </c>
      <c r="AO62" s="0" t="n">
        <f aca="false">AM62*E62+AN62*D62</f>
        <v>-0.23149273898469</v>
      </c>
      <c r="AP62" s="0" t="n">
        <f aca="false">AL62*D62</f>
        <v>0</v>
      </c>
      <c r="AR62" s="0" t="n">
        <f aca="false">AN62*D62</f>
        <v>-0</v>
      </c>
      <c r="AS62" s="0" t="n">
        <f aca="false">AH62-AR62</f>
        <v>0</v>
      </c>
    </row>
    <row r="63" customFormat="false" ht="12" hidden="false" customHeight="false" outlineLevel="0" collapsed="false">
      <c r="A63" s="3" t="n">
        <f aca="false">A62+1</f>
        <v>54</v>
      </c>
      <c r="B63" s="3" t="n">
        <f aca="false">IF(A63&lt;$N$4/3,0.1,(IF(A63&gt;2*$N$4/3,0.05,0.12)))</f>
        <v>0.1</v>
      </c>
      <c r="C63" s="4" t="n">
        <f aca="true">RAND()</f>
        <v>0.0909251660183097</v>
      </c>
      <c r="D63" s="0" t="n">
        <f aca="false">IF((C63&gt;$M$2),1,0)</f>
        <v>0</v>
      </c>
      <c r="E63" s="0" t="n">
        <f aca="false">1-D63</f>
        <v>1</v>
      </c>
      <c r="F63" s="0" t="n">
        <f aca="true">RAND()</f>
        <v>0.470394775963903</v>
      </c>
      <c r="G63" s="0" t="n">
        <f aca="false">7.75+F63*10</f>
        <v>12.453947759639</v>
      </c>
      <c r="H63" s="0" t="n">
        <f aca="false">LOGINV(F63,2.64,1.139)</f>
        <v>12.8764220040067</v>
      </c>
      <c r="I63" s="0" t="n">
        <v>19.5</v>
      </c>
      <c r="J63" s="4" t="n">
        <f aca="true">-LN(RAND())/B63</f>
        <v>1.39364211214357</v>
      </c>
      <c r="K63" s="4" t="n">
        <f aca="false">K62+J63</f>
        <v>536.478185929985</v>
      </c>
      <c r="L63" s="4" t="n">
        <f aca="false">(1/$J$4)*(1+AB62)</f>
        <v>10</v>
      </c>
      <c r="M63" s="4" t="n">
        <f aca="false">L63+MAX(K63,Y$10:Y62)</f>
        <v>604.082392388945</v>
      </c>
      <c r="N63" s="4" t="n">
        <f aca="false">K63</f>
        <v>536.478185929985</v>
      </c>
      <c r="O63" s="4" t="n">
        <f aca="false">M63-K63</f>
        <v>67.6042064589601</v>
      </c>
      <c r="P63" s="4" t="n">
        <f aca="false">N63-K63</f>
        <v>0</v>
      </c>
      <c r="Q63" s="4" t="n">
        <f aca="false">A63-MATCH(K63,$M$9:M62,1)</f>
        <v>6</v>
      </c>
      <c r="R63" s="0" t="n">
        <f aca="false">-G63*(O63/3600)</f>
        <v>-0.233872015436595</v>
      </c>
      <c r="S63" s="0" t="n">
        <f aca="false">-1*I63-(H63*(P63/3600))</f>
        <v>-19.5</v>
      </c>
      <c r="T63" s="0" t="n">
        <f aca="false">-H63*(O63/3600)</f>
        <v>-0.241805636558768</v>
      </c>
      <c r="U63" s="0" t="n">
        <f aca="false">T63-S63</f>
        <v>19.2581943634412</v>
      </c>
      <c r="V63" s="0" t="n">
        <f aca="false">1/(1+EXP(U63))</f>
        <v>4.32785253730848E-009</v>
      </c>
      <c r="W63" s="0" t="n">
        <f aca="true">RAND()</f>
        <v>0.328633976516823</v>
      </c>
      <c r="X63" s="0" t="n">
        <f aca="false">IF(W63&lt;V63,1,0)</f>
        <v>0</v>
      </c>
      <c r="Y63" s="0" t="n">
        <f aca="false">(M63*(1-X63)+N63*X63)*D63+M63*E63</f>
        <v>604.082392388945</v>
      </c>
      <c r="Z63" s="0" t="n">
        <f aca="false">((1-X63)*O63+X63*P63)*D63+E63*O63</f>
        <v>67.6042064589601</v>
      </c>
      <c r="AA63" s="0" t="n">
        <f aca="false">IF(D63*X63&gt;0,AA62,Q63)</f>
        <v>6</v>
      </c>
      <c r="AB63" s="0" t="n">
        <f aca="false">(X63*D63)</f>
        <v>0</v>
      </c>
      <c r="AC63" s="0" t="n">
        <f aca="false">SUM(AB$10:AB62)/K63</f>
        <v>0</v>
      </c>
      <c r="AD63" s="0" t="n">
        <f aca="false">R63*E63+D63*(X63*S63+(1-X63)*T63)</f>
        <v>-0.233872015436595</v>
      </c>
      <c r="AE63" s="0" t="n">
        <f aca="false">Z63</f>
        <v>67.6042064589601</v>
      </c>
      <c r="AF63" s="0" t="n">
        <f aca="false">E63*O63</f>
        <v>67.6042064589601</v>
      </c>
      <c r="AG63" s="0" t="n">
        <f aca="false">((1-X63)*O63+X63*P63)*D63</f>
        <v>0</v>
      </c>
      <c r="AH63" s="0" t="n">
        <f aca="false">D63*(LN(EXP(S63)+EXP(T63)))</f>
        <v>-0</v>
      </c>
      <c r="AJ63" s="0" t="n">
        <f aca="false">$J$5</f>
        <v>10</v>
      </c>
      <c r="AK63" s="4" t="n">
        <f aca="false">AJ63+MAX(K63,AK$10:AK62)</f>
        <v>604.082392388945</v>
      </c>
      <c r="AL63" s="5" t="n">
        <f aca="false">AK63-K63</f>
        <v>67.6042064589601</v>
      </c>
      <c r="AM63" s="0" t="n">
        <f aca="false">-G63*AL63/3600</f>
        <v>-0.233872015436595</v>
      </c>
      <c r="AN63" s="0" t="n">
        <f aca="false">-H63*AL63/3600</f>
        <v>-0.241805636558768</v>
      </c>
      <c r="AO63" s="0" t="n">
        <f aca="false">AM63*E63+AN63*D63</f>
        <v>-0.233872015436595</v>
      </c>
      <c r="AP63" s="0" t="n">
        <f aca="false">AL63*D63</f>
        <v>0</v>
      </c>
      <c r="AR63" s="0" t="n">
        <f aca="false">AN63*D63</f>
        <v>-0</v>
      </c>
      <c r="AS63" s="0" t="n">
        <f aca="false">AH63-AR63</f>
        <v>0</v>
      </c>
    </row>
    <row r="64" customFormat="false" ht="12" hidden="false" customHeight="false" outlineLevel="0" collapsed="false">
      <c r="A64" s="3" t="n">
        <f aca="false">A63+1</f>
        <v>55</v>
      </c>
      <c r="B64" s="3" t="n">
        <f aca="false">IF(A64&lt;$N$4/3,0.1,(IF(A64&gt;2*$N$4/3,0.05,0.12)))</f>
        <v>0.1</v>
      </c>
      <c r="C64" s="4" t="n">
        <f aca="true">RAND()</f>
        <v>0.584059764805716</v>
      </c>
      <c r="D64" s="0" t="n">
        <f aca="false">IF((C64&gt;$M$2),1,0)</f>
        <v>0</v>
      </c>
      <c r="E64" s="0" t="n">
        <f aca="false">1-D64</f>
        <v>1</v>
      </c>
      <c r="F64" s="0" t="n">
        <f aca="true">RAND()</f>
        <v>0.390365612318178</v>
      </c>
      <c r="G64" s="0" t="n">
        <f aca="false">7.75+F64*10</f>
        <v>11.6536561231818</v>
      </c>
      <c r="H64" s="0" t="n">
        <f aca="false">LOGINV(F64,2.64,1.139)</f>
        <v>10.2056433945495</v>
      </c>
      <c r="I64" s="0" t="n">
        <v>19.5</v>
      </c>
      <c r="J64" s="4" t="n">
        <f aca="true">-LN(RAND())/B64</f>
        <v>1.31921977427062</v>
      </c>
      <c r="K64" s="4" t="n">
        <f aca="false">K63+J64</f>
        <v>537.797405704256</v>
      </c>
      <c r="L64" s="4" t="n">
        <f aca="false">(1/$J$4)*(1+AB63)</f>
        <v>10</v>
      </c>
      <c r="M64" s="4" t="n">
        <f aca="false">L64+MAX(K64,Y$10:Y63)</f>
        <v>614.082392388945</v>
      </c>
      <c r="N64" s="4" t="n">
        <f aca="false">K64</f>
        <v>537.797405704256</v>
      </c>
      <c r="O64" s="4" t="n">
        <f aca="false">M64-K64</f>
        <v>76.2849866846894</v>
      </c>
      <c r="P64" s="4" t="n">
        <f aca="false">N64-K64</f>
        <v>0</v>
      </c>
      <c r="Q64" s="4" t="n">
        <f aca="false">A64-MATCH(K64,$M$9:M63,1)</f>
        <v>7</v>
      </c>
      <c r="R64" s="0" t="n">
        <f aca="false">-G64*(O64/3600)</f>
        <v>-0.246944167273576</v>
      </c>
      <c r="S64" s="0" t="n">
        <f aca="false">-1*I64-(H64*(P64/3600))</f>
        <v>-19.5</v>
      </c>
      <c r="T64" s="0" t="n">
        <f aca="false">-H64*(O64/3600)</f>
        <v>-0.21626038068386</v>
      </c>
      <c r="U64" s="0" t="n">
        <f aca="false">T64-S64</f>
        <v>19.2837396193161</v>
      </c>
      <c r="V64" s="0" t="n">
        <f aca="false">1/(1+EXP(U64))</f>
        <v>4.2186965815675E-009</v>
      </c>
      <c r="W64" s="0" t="n">
        <f aca="true">RAND()</f>
        <v>0.0625162580907723</v>
      </c>
      <c r="X64" s="0" t="n">
        <f aca="false">IF(W64&lt;V64,1,0)</f>
        <v>0</v>
      </c>
      <c r="Y64" s="0" t="n">
        <f aca="false">(M64*(1-X64)+N64*X64)*D64+M64*E64</f>
        <v>614.082392388945</v>
      </c>
      <c r="Z64" s="0" t="n">
        <f aca="false">((1-X64)*O64+X64*P64)*D64+E64*O64</f>
        <v>76.2849866846894</v>
      </c>
      <c r="AA64" s="0" t="n">
        <f aca="false">IF(D64*X64&gt;0,AA63,Q64)</f>
        <v>7</v>
      </c>
      <c r="AB64" s="0" t="n">
        <f aca="false">(X64*D64)</f>
        <v>0</v>
      </c>
      <c r="AC64" s="0" t="n">
        <f aca="false">SUM(AB$10:AB63)/K64</f>
        <v>0</v>
      </c>
      <c r="AD64" s="0" t="n">
        <f aca="false">R64*E64+D64*(X64*S64+(1-X64)*T64)</f>
        <v>-0.246944167273576</v>
      </c>
      <c r="AE64" s="0" t="n">
        <f aca="false">Z64</f>
        <v>76.2849866846894</v>
      </c>
      <c r="AF64" s="0" t="n">
        <f aca="false">E64*O64</f>
        <v>76.2849866846894</v>
      </c>
      <c r="AG64" s="0" t="n">
        <f aca="false">((1-X64)*O64+X64*P64)*D64</f>
        <v>0</v>
      </c>
      <c r="AH64" s="0" t="n">
        <f aca="false">D64*(LN(EXP(S64)+EXP(T64)))</f>
        <v>-0</v>
      </c>
      <c r="AJ64" s="0" t="n">
        <f aca="false">$J$5</f>
        <v>10</v>
      </c>
      <c r="AK64" s="4" t="n">
        <f aca="false">AJ64+MAX(K64,AK$10:AK63)</f>
        <v>614.082392388945</v>
      </c>
      <c r="AL64" s="5" t="n">
        <f aca="false">AK64-K64</f>
        <v>76.2849866846894</v>
      </c>
      <c r="AM64" s="0" t="n">
        <f aca="false">-G64*AL64/3600</f>
        <v>-0.246944167273576</v>
      </c>
      <c r="AN64" s="0" t="n">
        <f aca="false">-H64*AL64/3600</f>
        <v>-0.21626038068386</v>
      </c>
      <c r="AO64" s="0" t="n">
        <f aca="false">AM64*E64+AN64*D64</f>
        <v>-0.246944167273576</v>
      </c>
      <c r="AP64" s="0" t="n">
        <f aca="false">AL64*D64</f>
        <v>0</v>
      </c>
      <c r="AR64" s="0" t="n">
        <f aca="false">AN64*D64</f>
        <v>-0</v>
      </c>
      <c r="AS64" s="0" t="n">
        <f aca="false">AH64-AR64</f>
        <v>0</v>
      </c>
    </row>
    <row r="65" customFormat="false" ht="12" hidden="false" customHeight="false" outlineLevel="0" collapsed="false">
      <c r="A65" s="3" t="n">
        <f aca="false">A64+1</f>
        <v>56</v>
      </c>
      <c r="B65" s="3" t="n">
        <f aca="false">IF(A65&lt;$N$4/3,0.1,(IF(A65&gt;2*$N$4/3,0.05,0.12)))</f>
        <v>0.1</v>
      </c>
      <c r="C65" s="4" t="n">
        <f aca="true">RAND()</f>
        <v>0.987173335370265</v>
      </c>
      <c r="D65" s="0" t="n">
        <f aca="false">IF((C65&gt;$M$2),1,0)</f>
        <v>1</v>
      </c>
      <c r="E65" s="0" t="n">
        <f aca="false">1-D65</f>
        <v>0</v>
      </c>
      <c r="F65" s="0" t="n">
        <f aca="true">RAND()</f>
        <v>0.934863661062432</v>
      </c>
      <c r="G65" s="0" t="n">
        <f aca="false">7.75+F65*10</f>
        <v>17.0986366106243</v>
      </c>
      <c r="H65" s="0" t="n">
        <f aca="false">LOGINV(F65,2.64,1.139)</f>
        <v>78.5188170505887</v>
      </c>
      <c r="I65" s="0" t="n">
        <v>19.5</v>
      </c>
      <c r="J65" s="4" t="n">
        <f aca="true">-LN(RAND())/B65</f>
        <v>15.9126638937881</v>
      </c>
      <c r="K65" s="4" t="n">
        <f aca="false">K64+J65</f>
        <v>553.710069598044</v>
      </c>
      <c r="L65" s="4" t="n">
        <f aca="false">(1/$J$4)*(1+AB64)</f>
        <v>10</v>
      </c>
      <c r="M65" s="4" t="n">
        <f aca="false">L65+MAX(K65,Y$10:Y64)</f>
        <v>624.082392388945</v>
      </c>
      <c r="N65" s="4" t="n">
        <f aca="false">K65</f>
        <v>553.710069598044</v>
      </c>
      <c r="O65" s="4" t="n">
        <f aca="false">M65-K65</f>
        <v>70.3723227909013</v>
      </c>
      <c r="P65" s="4" t="n">
        <f aca="false">N65-K65</f>
        <v>0</v>
      </c>
      <c r="Q65" s="4" t="n">
        <f aca="false">A65-MATCH(K65,$M$9:M64,1)</f>
        <v>7</v>
      </c>
      <c r="R65" s="0" t="n">
        <f aca="false">-G65*(O65/3600)</f>
        <v>-0.334241881901994</v>
      </c>
      <c r="S65" s="0" t="n">
        <f aca="false">-1*I65-(H65*(P65/3600))</f>
        <v>-19.5</v>
      </c>
      <c r="T65" s="0" t="n">
        <f aca="false">-H65*(O65/3600)</f>
        <v>-1.53487542740104</v>
      </c>
      <c r="U65" s="0" t="n">
        <f aca="false">T65-S65</f>
        <v>17.965124572599</v>
      </c>
      <c r="V65" s="0" t="n">
        <f aca="false">1/(1+EXP(U65))</f>
        <v>1.57705022446812E-008</v>
      </c>
      <c r="W65" s="0" t="n">
        <f aca="true">RAND()</f>
        <v>0.220446323654043</v>
      </c>
      <c r="X65" s="0" t="n">
        <f aca="false">IF(W65&lt;V65,1,0)</f>
        <v>0</v>
      </c>
      <c r="Y65" s="0" t="n">
        <f aca="false">(M65*(1-X65)+N65*X65)*D65+M65*E65</f>
        <v>624.082392388945</v>
      </c>
      <c r="Z65" s="0" t="n">
        <f aca="false">((1-X65)*O65+X65*P65)*D65+E65*O65</f>
        <v>70.3723227909013</v>
      </c>
      <c r="AA65" s="0" t="n">
        <f aca="false">IF(D65*X65&gt;0,AA64,Q65)</f>
        <v>7</v>
      </c>
      <c r="AB65" s="0" t="n">
        <f aca="false">(X65*D65)</f>
        <v>0</v>
      </c>
      <c r="AC65" s="0" t="n">
        <f aca="false">SUM(AB$10:AB64)/K65</f>
        <v>0</v>
      </c>
      <c r="AD65" s="0" t="n">
        <f aca="false">R65*E65+D65*(X65*S65+(1-X65)*T65)</f>
        <v>-1.53487542740104</v>
      </c>
      <c r="AE65" s="0" t="n">
        <f aca="false">Z65</f>
        <v>70.3723227909013</v>
      </c>
      <c r="AF65" s="0" t="n">
        <f aca="false">E65*O65</f>
        <v>0</v>
      </c>
      <c r="AG65" s="0" t="n">
        <f aca="false">((1-X65)*O65+X65*P65)*D65</f>
        <v>70.3723227909013</v>
      </c>
      <c r="AH65" s="0" t="n">
        <f aca="false">D65*(LN(EXP(S65)+EXP(T65)))</f>
        <v>-1.53487541163054</v>
      </c>
      <c r="AJ65" s="0" t="n">
        <f aca="false">$J$5</f>
        <v>10</v>
      </c>
      <c r="AK65" s="4" t="n">
        <f aca="false">AJ65+MAX(K65,AK$10:AK64)</f>
        <v>624.082392388945</v>
      </c>
      <c r="AL65" s="5" t="n">
        <f aca="false">AK65-K65</f>
        <v>70.3723227909013</v>
      </c>
      <c r="AM65" s="0" t="n">
        <f aca="false">-G65*AL65/3600</f>
        <v>-0.334241881901994</v>
      </c>
      <c r="AN65" s="0" t="n">
        <f aca="false">-H65*AL65/3600</f>
        <v>-1.53487542740104</v>
      </c>
      <c r="AO65" s="0" t="n">
        <f aca="false">AM65*E65+AN65*D65</f>
        <v>-1.53487542740104</v>
      </c>
      <c r="AP65" s="0" t="n">
        <f aca="false">AL65*D65</f>
        <v>70.3723227909013</v>
      </c>
      <c r="AR65" s="0" t="n">
        <f aca="false">AN65*D65</f>
        <v>-1.53487542740104</v>
      </c>
      <c r="AS65" s="0" t="n">
        <f aca="false">AH65-AR65</f>
        <v>1.5770502459489E-008</v>
      </c>
    </row>
    <row r="66" customFormat="false" ht="12" hidden="false" customHeight="false" outlineLevel="0" collapsed="false">
      <c r="A66" s="3" t="n">
        <f aca="false">A65+1</f>
        <v>57</v>
      </c>
      <c r="B66" s="3" t="n">
        <f aca="false">IF(A66&lt;$N$4/3,0.1,(IF(A66&gt;2*$N$4/3,0.05,0.12)))</f>
        <v>0.1</v>
      </c>
      <c r="C66" s="4" t="n">
        <f aca="true">RAND()</f>
        <v>0.00530336716845014</v>
      </c>
      <c r="D66" s="0" t="n">
        <f aca="false">IF((C66&gt;$M$2),1,0)</f>
        <v>0</v>
      </c>
      <c r="E66" s="0" t="n">
        <f aca="false">1-D66</f>
        <v>1</v>
      </c>
      <c r="F66" s="0" t="n">
        <f aca="true">RAND()</f>
        <v>0.701928650704963</v>
      </c>
      <c r="G66" s="0" t="n">
        <f aca="false">7.75+F66*10</f>
        <v>14.7692865070496</v>
      </c>
      <c r="H66" s="0" t="n">
        <f aca="false">LOGINV(F66,2.64,1.139)</f>
        <v>25.626307377344</v>
      </c>
      <c r="I66" s="0" t="n">
        <v>19.5</v>
      </c>
      <c r="J66" s="4" t="n">
        <f aca="true">-LN(RAND())/B66</f>
        <v>18.6262396089911</v>
      </c>
      <c r="K66" s="4" t="n">
        <f aca="false">K65+J66</f>
        <v>572.336309207035</v>
      </c>
      <c r="L66" s="4" t="n">
        <f aca="false">(1/$J$4)*(1+AB65)</f>
        <v>10</v>
      </c>
      <c r="M66" s="4" t="n">
        <f aca="false">L66+MAX(K66,Y$10:Y65)</f>
        <v>634.082392388945</v>
      </c>
      <c r="N66" s="4" t="n">
        <f aca="false">K66</f>
        <v>572.336309207035</v>
      </c>
      <c r="O66" s="4" t="n">
        <f aca="false">M66-K66</f>
        <v>61.7460831819103</v>
      </c>
      <c r="P66" s="4" t="n">
        <f aca="false">N66-K66</f>
        <v>0</v>
      </c>
      <c r="Q66" s="4" t="n">
        <f aca="false">A66-MATCH(K66,$M$9:M65,1)</f>
        <v>6</v>
      </c>
      <c r="R66" s="0" t="n">
        <f aca="false">-G66*(O66/3600)</f>
        <v>-0.25331822033382</v>
      </c>
      <c r="S66" s="0" t="n">
        <f aca="false">-1*I66-(H66*(P66/3600))</f>
        <v>-19.5</v>
      </c>
      <c r="T66" s="0" t="n">
        <f aca="false">-H66*(O66/3600)</f>
        <v>-0.439534474157413</v>
      </c>
      <c r="U66" s="0" t="n">
        <f aca="false">T66-S66</f>
        <v>19.0604655258426</v>
      </c>
      <c r="V66" s="0" t="n">
        <f aca="false">1/(1+EXP(U66))</f>
        <v>5.27405916352943E-009</v>
      </c>
      <c r="W66" s="0" t="n">
        <f aca="true">RAND()</f>
        <v>0.583438356988999</v>
      </c>
      <c r="X66" s="0" t="n">
        <f aca="false">IF(W66&lt;V66,1,0)</f>
        <v>0</v>
      </c>
      <c r="Y66" s="0" t="n">
        <f aca="false">(M66*(1-X66)+N66*X66)*D66+M66*E66</f>
        <v>634.082392388945</v>
      </c>
      <c r="Z66" s="0" t="n">
        <f aca="false">((1-X66)*O66+X66*P66)*D66+E66*O66</f>
        <v>61.7460831819103</v>
      </c>
      <c r="AA66" s="0" t="n">
        <f aca="false">IF(D66*X66&gt;0,AA65,Q66)</f>
        <v>6</v>
      </c>
      <c r="AB66" s="0" t="n">
        <f aca="false">(X66*D66)</f>
        <v>0</v>
      </c>
      <c r="AC66" s="0" t="n">
        <f aca="false">SUM(AB$10:AB65)/K66</f>
        <v>0</v>
      </c>
      <c r="AD66" s="0" t="n">
        <f aca="false">R66*E66+D66*(X66*S66+(1-X66)*T66)</f>
        <v>-0.25331822033382</v>
      </c>
      <c r="AE66" s="0" t="n">
        <f aca="false">Z66</f>
        <v>61.7460831819103</v>
      </c>
      <c r="AF66" s="0" t="n">
        <f aca="false">E66*O66</f>
        <v>61.7460831819103</v>
      </c>
      <c r="AG66" s="0" t="n">
        <f aca="false">((1-X66)*O66+X66*P66)*D66</f>
        <v>0</v>
      </c>
      <c r="AH66" s="0" t="n">
        <f aca="false">D66*(LN(EXP(S66)+EXP(T66)))</f>
        <v>-0</v>
      </c>
      <c r="AJ66" s="0" t="n">
        <f aca="false">$J$5</f>
        <v>10</v>
      </c>
      <c r="AK66" s="4" t="n">
        <f aca="false">AJ66+MAX(K66,AK$10:AK65)</f>
        <v>634.082392388945</v>
      </c>
      <c r="AL66" s="5" t="n">
        <f aca="false">AK66-K66</f>
        <v>61.7460831819103</v>
      </c>
      <c r="AM66" s="0" t="n">
        <f aca="false">-G66*AL66/3600</f>
        <v>-0.25331822033382</v>
      </c>
      <c r="AN66" s="0" t="n">
        <f aca="false">-H66*AL66/3600</f>
        <v>-0.439534474157413</v>
      </c>
      <c r="AO66" s="0" t="n">
        <f aca="false">AM66*E66+AN66*D66</f>
        <v>-0.25331822033382</v>
      </c>
      <c r="AP66" s="0" t="n">
        <f aca="false">AL66*D66</f>
        <v>0</v>
      </c>
      <c r="AR66" s="0" t="n">
        <f aca="false">AN66*D66</f>
        <v>-0</v>
      </c>
      <c r="AS66" s="0" t="n">
        <f aca="false">AH66-AR66</f>
        <v>0</v>
      </c>
    </row>
    <row r="67" customFormat="false" ht="12" hidden="false" customHeight="false" outlineLevel="0" collapsed="false">
      <c r="A67" s="3" t="n">
        <f aca="false">A66+1</f>
        <v>58</v>
      </c>
      <c r="B67" s="3" t="n">
        <f aca="false">IF(A67&lt;$N$4/3,0.1,(IF(A67&gt;2*$N$4/3,0.05,0.12)))</f>
        <v>0.1</v>
      </c>
      <c r="C67" s="4" t="n">
        <f aca="true">RAND()</f>
        <v>0.012723095356623</v>
      </c>
      <c r="D67" s="0" t="n">
        <f aca="false">IF((C67&gt;$M$2),1,0)</f>
        <v>0</v>
      </c>
      <c r="E67" s="0" t="n">
        <f aca="false">1-D67</f>
        <v>1</v>
      </c>
      <c r="F67" s="0" t="n">
        <f aca="true">RAND()</f>
        <v>0.0476128842939017</v>
      </c>
      <c r="G67" s="0" t="n">
        <f aca="false">7.75+F67*10</f>
        <v>8.22612884293902</v>
      </c>
      <c r="H67" s="0" t="n">
        <f aca="false">LOGINV(F67,2.64,1.139)</f>
        <v>2.09516362708551</v>
      </c>
      <c r="I67" s="0" t="n">
        <v>19.5</v>
      </c>
      <c r="J67" s="4" t="n">
        <f aca="true">-LN(RAND())/B67</f>
        <v>9.77448747111197</v>
      </c>
      <c r="K67" s="4" t="n">
        <f aca="false">K66+J67</f>
        <v>582.110796678147</v>
      </c>
      <c r="L67" s="4" t="n">
        <f aca="false">(1/$J$4)*(1+AB66)</f>
        <v>10</v>
      </c>
      <c r="M67" s="4" t="n">
        <f aca="false">L67+MAX(K67,Y$10:Y66)</f>
        <v>644.082392388945</v>
      </c>
      <c r="N67" s="4" t="n">
        <f aca="false">K67</f>
        <v>582.110796678147</v>
      </c>
      <c r="O67" s="4" t="n">
        <f aca="false">M67-K67</f>
        <v>61.9715957107983</v>
      </c>
      <c r="P67" s="4" t="n">
        <f aca="false">N67-K67</f>
        <v>0</v>
      </c>
      <c r="Q67" s="4" t="n">
        <f aca="false">A67-MATCH(K67,$M$9:M66,1)</f>
        <v>6</v>
      </c>
      <c r="R67" s="0" t="n">
        <f aca="false">-G67*(O67/3600)</f>
        <v>-0.14160731414432</v>
      </c>
      <c r="S67" s="0" t="n">
        <f aca="false">-1*I67-(H67*(P67/3600))</f>
        <v>-19.5</v>
      </c>
      <c r="T67" s="0" t="n">
        <f aca="false">-H67*(O67/3600)</f>
        <v>-0.0360668425682536</v>
      </c>
      <c r="U67" s="0" t="n">
        <f aca="false">T67-S67</f>
        <v>19.4639331574317</v>
      </c>
      <c r="V67" s="0" t="n">
        <f aca="false">1/(1+EXP(U67))</f>
        <v>3.52306967376523E-009</v>
      </c>
      <c r="W67" s="0" t="n">
        <f aca="true">RAND()</f>
        <v>0.0491682377223238</v>
      </c>
      <c r="X67" s="0" t="n">
        <f aca="false">IF(W67&lt;V67,1,0)</f>
        <v>0</v>
      </c>
      <c r="Y67" s="0" t="n">
        <f aca="false">(M67*(1-X67)+N67*X67)*D67+M67*E67</f>
        <v>644.082392388945</v>
      </c>
      <c r="Z67" s="0" t="n">
        <f aca="false">((1-X67)*O67+X67*P67)*D67+E67*O67</f>
        <v>61.9715957107983</v>
      </c>
      <c r="AA67" s="0" t="n">
        <f aca="false">IF(D67*X67&gt;0,AA66,Q67)</f>
        <v>6</v>
      </c>
      <c r="AB67" s="0" t="n">
        <f aca="false">(X67*D67)</f>
        <v>0</v>
      </c>
      <c r="AC67" s="0" t="n">
        <f aca="false">SUM(AB$10:AB66)/K67</f>
        <v>0</v>
      </c>
      <c r="AD67" s="0" t="n">
        <f aca="false">R67*E67+D67*(X67*S67+(1-X67)*T67)</f>
        <v>-0.14160731414432</v>
      </c>
      <c r="AE67" s="0" t="n">
        <f aca="false">Z67</f>
        <v>61.9715957107983</v>
      </c>
      <c r="AF67" s="0" t="n">
        <f aca="false">E67*O67</f>
        <v>61.9715957107983</v>
      </c>
      <c r="AG67" s="0" t="n">
        <f aca="false">((1-X67)*O67+X67*P67)*D67</f>
        <v>0</v>
      </c>
      <c r="AH67" s="0" t="n">
        <f aca="false">D67*(LN(EXP(S67)+EXP(T67)))</f>
        <v>-0</v>
      </c>
      <c r="AJ67" s="0" t="n">
        <f aca="false">$J$5</f>
        <v>10</v>
      </c>
      <c r="AK67" s="4" t="n">
        <f aca="false">AJ67+MAX(K67,AK$10:AK66)</f>
        <v>644.082392388945</v>
      </c>
      <c r="AL67" s="5" t="n">
        <f aca="false">AK67-K67</f>
        <v>61.9715957107983</v>
      </c>
      <c r="AM67" s="0" t="n">
        <f aca="false">-G67*AL67/3600</f>
        <v>-0.14160731414432</v>
      </c>
      <c r="AN67" s="0" t="n">
        <f aca="false">-H67*AL67/3600</f>
        <v>-0.0360668425682536</v>
      </c>
      <c r="AO67" s="0" t="n">
        <f aca="false">AM67*E67+AN67*D67</f>
        <v>-0.14160731414432</v>
      </c>
      <c r="AP67" s="0" t="n">
        <f aca="false">AL67*D67</f>
        <v>0</v>
      </c>
      <c r="AR67" s="0" t="n">
        <f aca="false">AN67*D67</f>
        <v>-0</v>
      </c>
      <c r="AS67" s="0" t="n">
        <f aca="false">AH67-AR67</f>
        <v>0</v>
      </c>
    </row>
    <row r="68" customFormat="false" ht="12" hidden="false" customHeight="false" outlineLevel="0" collapsed="false">
      <c r="A68" s="3" t="n">
        <f aca="false">A67+1</f>
        <v>59</v>
      </c>
      <c r="B68" s="3" t="n">
        <f aca="false">IF(A68&lt;$N$4/3,0.1,(IF(A68&gt;2*$N$4/3,0.05,0.12)))</f>
        <v>0.1</v>
      </c>
      <c r="C68" s="4" t="n">
        <f aca="true">RAND()</f>
        <v>0.263400483413145</v>
      </c>
      <c r="D68" s="0" t="n">
        <f aca="false">IF((C68&gt;$M$2),1,0)</f>
        <v>0</v>
      </c>
      <c r="E68" s="0" t="n">
        <f aca="false">1-D68</f>
        <v>1</v>
      </c>
      <c r="F68" s="0" t="n">
        <f aca="true">RAND()</f>
        <v>0.88220851429954</v>
      </c>
      <c r="G68" s="0" t="n">
        <f aca="false">7.75+F68*10</f>
        <v>16.5720851429954</v>
      </c>
      <c r="H68" s="0" t="n">
        <f aca="false">LOGINV(F68,2.64,1.139)</f>
        <v>54.1072093142612</v>
      </c>
      <c r="I68" s="0" t="n">
        <v>19.5</v>
      </c>
      <c r="J68" s="4" t="n">
        <f aca="true">-LN(RAND())/B68</f>
        <v>6.91200455117221</v>
      </c>
      <c r="K68" s="4" t="n">
        <f aca="false">K67+J68</f>
        <v>589.022801229319</v>
      </c>
      <c r="L68" s="4" t="n">
        <f aca="false">(1/$J$4)*(1+AB67)</f>
        <v>10</v>
      </c>
      <c r="M68" s="4" t="n">
        <f aca="false">L68+MAX(K68,Y$10:Y67)</f>
        <v>654.082392388945</v>
      </c>
      <c r="N68" s="4" t="n">
        <f aca="false">K68</f>
        <v>589.022801229319</v>
      </c>
      <c r="O68" s="4" t="n">
        <f aca="false">M68-K68</f>
        <v>65.0595911596261</v>
      </c>
      <c r="P68" s="4" t="n">
        <f aca="false">N68-K68</f>
        <v>0</v>
      </c>
      <c r="Q68" s="4" t="n">
        <f aca="false">A68-MATCH(K68,$M$9:M67,1)</f>
        <v>6</v>
      </c>
      <c r="R68" s="0" t="n">
        <f aca="false">-G68*(O68/3600)</f>
        <v>-0.29949252335161</v>
      </c>
      <c r="S68" s="0" t="n">
        <f aca="false">-1*I68-(H68*(P68/3600))</f>
        <v>-19.5</v>
      </c>
      <c r="T68" s="0" t="n">
        <f aca="false">-H68*(O68/3600)</f>
        <v>-0.977831365770595</v>
      </c>
      <c r="U68" s="0" t="n">
        <f aca="false">T68-S68</f>
        <v>18.5221686342294</v>
      </c>
      <c r="V68" s="0" t="n">
        <f aca="false">1/(1+EXP(U68))</f>
        <v>9.03492112152268E-009</v>
      </c>
      <c r="W68" s="0" t="n">
        <f aca="true">RAND()</f>
        <v>0.803182087413172</v>
      </c>
      <c r="X68" s="0" t="n">
        <f aca="false">IF(W68&lt;V68,1,0)</f>
        <v>0</v>
      </c>
      <c r="Y68" s="0" t="n">
        <f aca="false">(M68*(1-X68)+N68*X68)*D68+M68*E68</f>
        <v>654.082392388945</v>
      </c>
      <c r="Z68" s="0" t="n">
        <f aca="false">((1-X68)*O68+X68*P68)*D68+E68*O68</f>
        <v>65.0595911596261</v>
      </c>
      <c r="AA68" s="0" t="n">
        <f aca="false">IF(D68*X68&gt;0,AA67,Q68)</f>
        <v>6</v>
      </c>
      <c r="AB68" s="0" t="n">
        <f aca="false">(X68*D68)</f>
        <v>0</v>
      </c>
      <c r="AC68" s="0" t="n">
        <f aca="false">SUM(AB$10:AB67)/K68</f>
        <v>0</v>
      </c>
      <c r="AD68" s="0" t="n">
        <f aca="false">R68*E68+D68*(X68*S68+(1-X68)*T68)</f>
        <v>-0.29949252335161</v>
      </c>
      <c r="AE68" s="0" t="n">
        <f aca="false">Z68</f>
        <v>65.0595911596261</v>
      </c>
      <c r="AF68" s="0" t="n">
        <f aca="false">E68*O68</f>
        <v>65.0595911596261</v>
      </c>
      <c r="AG68" s="0" t="n">
        <f aca="false">((1-X68)*O68+X68*P68)*D68</f>
        <v>0</v>
      </c>
      <c r="AH68" s="0" t="n">
        <f aca="false">D68*(LN(EXP(S68)+EXP(T68)))</f>
        <v>-0</v>
      </c>
      <c r="AJ68" s="0" t="n">
        <f aca="false">$J$5</f>
        <v>10</v>
      </c>
      <c r="AK68" s="4" t="n">
        <f aca="false">AJ68+MAX(K68,AK$10:AK67)</f>
        <v>654.082392388945</v>
      </c>
      <c r="AL68" s="5" t="n">
        <f aca="false">AK68-K68</f>
        <v>65.0595911596261</v>
      </c>
      <c r="AM68" s="0" t="n">
        <f aca="false">-G68*AL68/3600</f>
        <v>-0.299492523351609</v>
      </c>
      <c r="AN68" s="0" t="n">
        <f aca="false">-H68*AL68/3600</f>
        <v>-0.977831365770595</v>
      </c>
      <c r="AO68" s="0" t="n">
        <f aca="false">AM68*E68+AN68*D68</f>
        <v>-0.299492523351609</v>
      </c>
      <c r="AP68" s="0" t="n">
        <f aca="false">AL68*D68</f>
        <v>0</v>
      </c>
      <c r="AR68" s="0" t="n">
        <f aca="false">AN68*D68</f>
        <v>-0</v>
      </c>
      <c r="AS68" s="0" t="n">
        <f aca="false">AH68-AR68</f>
        <v>0</v>
      </c>
    </row>
    <row r="69" customFormat="false" ht="12" hidden="false" customHeight="false" outlineLevel="0" collapsed="false">
      <c r="A69" s="3" t="n">
        <f aca="false">A68+1</f>
        <v>60</v>
      </c>
      <c r="B69" s="3" t="n">
        <f aca="false">IF(A69&lt;$N$4/3,0.1,(IF(A69&gt;2*$N$4/3,0.05,0.12)))</f>
        <v>0.1</v>
      </c>
      <c r="C69" s="4" t="n">
        <f aca="true">RAND()</f>
        <v>0.492897339222025</v>
      </c>
      <c r="D69" s="0" t="n">
        <f aca="false">IF((C69&gt;$M$2),1,0)</f>
        <v>0</v>
      </c>
      <c r="E69" s="0" t="n">
        <f aca="false">1-D69</f>
        <v>1</v>
      </c>
      <c r="F69" s="0" t="n">
        <f aca="true">RAND()</f>
        <v>0.8157808302479</v>
      </c>
      <c r="G69" s="0" t="n">
        <f aca="false">7.75+F69*10</f>
        <v>15.907808302479</v>
      </c>
      <c r="H69" s="0" t="n">
        <f aca="false">LOGINV(F69,2.64,1.139)</f>
        <v>39.0334659804214</v>
      </c>
      <c r="I69" s="0" t="n">
        <v>19.5</v>
      </c>
      <c r="J69" s="4" t="n">
        <f aca="true">-LN(RAND())/B69</f>
        <v>10.9895161270359</v>
      </c>
      <c r="K69" s="4" t="n">
        <f aca="false">K68+J69</f>
        <v>600.012317356355</v>
      </c>
      <c r="L69" s="4" t="n">
        <f aca="false">(1/$J$4)*(1+AB68)</f>
        <v>10</v>
      </c>
      <c r="M69" s="4" t="n">
        <f aca="false">L69+MAX(K69,Y$10:Y68)</f>
        <v>664.082392388945</v>
      </c>
      <c r="N69" s="4" t="n">
        <f aca="false">K69</f>
        <v>600.012317356355</v>
      </c>
      <c r="O69" s="4" t="n">
        <f aca="false">M69-K69</f>
        <v>64.0700750325901</v>
      </c>
      <c r="P69" s="4" t="n">
        <f aca="false">N69-K69</f>
        <v>0</v>
      </c>
      <c r="Q69" s="4" t="n">
        <f aca="false">A69-MATCH(K69,$M$9:M68,1)</f>
        <v>6</v>
      </c>
      <c r="R69" s="0" t="n">
        <f aca="false">-G69*(O69/3600)</f>
        <v>-0.283115130984414</v>
      </c>
      <c r="S69" s="0" t="n">
        <f aca="false">-1*I69-(H69*(P69/3600))</f>
        <v>-19.5</v>
      </c>
      <c r="T69" s="0" t="n">
        <f aca="false">-H69*(O69/3600)</f>
        <v>-0.694688081707681</v>
      </c>
      <c r="U69" s="0" t="n">
        <f aca="false">T69-S69</f>
        <v>18.8053119182923</v>
      </c>
      <c r="V69" s="0" t="n">
        <f aca="false">1/(1+EXP(U69))</f>
        <v>6.80701645513414E-009</v>
      </c>
      <c r="W69" s="0" t="n">
        <f aca="true">RAND()</f>
        <v>0.721885902887293</v>
      </c>
      <c r="X69" s="0" t="n">
        <f aca="false">IF(W69&lt;V69,1,0)</f>
        <v>0</v>
      </c>
      <c r="Y69" s="0" t="n">
        <f aca="false">(M69*(1-X69)+N69*X69)*D69+M69*E69</f>
        <v>664.082392388945</v>
      </c>
      <c r="Z69" s="0" t="n">
        <f aca="false">((1-X69)*O69+X69*P69)*D69+E69*O69</f>
        <v>64.0700750325901</v>
      </c>
      <c r="AA69" s="0" t="n">
        <f aca="false">IF(D69*X69&gt;0,AA68,Q69)</f>
        <v>6</v>
      </c>
      <c r="AB69" s="0" t="n">
        <f aca="false">(X69*D69)</f>
        <v>0</v>
      </c>
      <c r="AC69" s="0" t="n">
        <f aca="false">SUM(AB$10:AB68)/K69</f>
        <v>0</v>
      </c>
      <c r="AD69" s="0" t="n">
        <f aca="false">R69*E69+D69*(X69*S69+(1-X69)*T69)</f>
        <v>-0.283115130984414</v>
      </c>
      <c r="AE69" s="0" t="n">
        <f aca="false">Z69</f>
        <v>64.0700750325901</v>
      </c>
      <c r="AF69" s="0" t="n">
        <f aca="false">E69*O69</f>
        <v>64.0700750325901</v>
      </c>
      <c r="AG69" s="0" t="n">
        <f aca="false">((1-X69)*O69+X69*P69)*D69</f>
        <v>0</v>
      </c>
      <c r="AH69" s="0" t="n">
        <f aca="false">D69*(LN(EXP(S69)+EXP(T69)))</f>
        <v>-0</v>
      </c>
      <c r="AJ69" s="0" t="n">
        <f aca="false">$J$5</f>
        <v>10</v>
      </c>
      <c r="AK69" s="4" t="n">
        <f aca="false">AJ69+MAX(K69,AK$10:AK68)</f>
        <v>664.082392388945</v>
      </c>
      <c r="AL69" s="5" t="n">
        <f aca="false">AK69-K69</f>
        <v>64.0700750325901</v>
      </c>
      <c r="AM69" s="0" t="n">
        <f aca="false">-G69*AL69/3600</f>
        <v>-0.283115130984414</v>
      </c>
      <c r="AN69" s="0" t="n">
        <f aca="false">-H69*AL69/3600</f>
        <v>-0.694688081707681</v>
      </c>
      <c r="AO69" s="0" t="n">
        <f aca="false">AM69*E69+AN69*D69</f>
        <v>-0.283115130984414</v>
      </c>
      <c r="AP69" s="0" t="n">
        <f aca="false">AL69*D69</f>
        <v>0</v>
      </c>
      <c r="AR69" s="0" t="n">
        <f aca="false">AN69*D69</f>
        <v>-0</v>
      </c>
      <c r="AS69" s="0" t="n">
        <f aca="false">AH69-AR69</f>
        <v>0</v>
      </c>
    </row>
    <row r="70" customFormat="false" ht="12" hidden="false" customHeight="false" outlineLevel="0" collapsed="false">
      <c r="A70" s="3" t="n">
        <f aca="false">A69+1</f>
        <v>61</v>
      </c>
      <c r="B70" s="3" t="n">
        <f aca="false">IF(A70&lt;$N$4/3,0.1,(IF(A70&gt;2*$N$4/3,0.05,0.12)))</f>
        <v>0.1</v>
      </c>
      <c r="C70" s="4" t="n">
        <f aca="true">RAND()</f>
        <v>0.671193498233489</v>
      </c>
      <c r="D70" s="0" t="n">
        <f aca="false">IF((C70&gt;$M$2),1,0)</f>
        <v>0</v>
      </c>
      <c r="E70" s="0" t="n">
        <f aca="false">1-D70</f>
        <v>1</v>
      </c>
      <c r="F70" s="0" t="n">
        <f aca="true">RAND()</f>
        <v>0.985278488760202</v>
      </c>
      <c r="G70" s="0" t="n">
        <f aca="false">7.75+F70*10</f>
        <v>17.602784887602</v>
      </c>
      <c r="H70" s="0" t="n">
        <f aca="false">LOGINV(F70,2.64,1.139)</f>
        <v>167.364900758432</v>
      </c>
      <c r="I70" s="0" t="n">
        <v>19.5</v>
      </c>
      <c r="J70" s="4" t="n">
        <f aca="true">-LN(RAND())/B70</f>
        <v>17.1112124709268</v>
      </c>
      <c r="K70" s="4" t="n">
        <f aca="false">K69+J70</f>
        <v>617.123529827282</v>
      </c>
      <c r="L70" s="4" t="n">
        <f aca="false">(1/$J$4)*(1+AB69)</f>
        <v>10</v>
      </c>
      <c r="M70" s="4" t="n">
        <f aca="false">L70+MAX(K70,Y$10:Y69)</f>
        <v>674.082392388945</v>
      </c>
      <c r="N70" s="4" t="n">
        <f aca="false">K70</f>
        <v>617.123529827282</v>
      </c>
      <c r="O70" s="4" t="n">
        <f aca="false">M70-K70</f>
        <v>56.9588625616633</v>
      </c>
      <c r="P70" s="4" t="n">
        <f aca="false">N70-K70</f>
        <v>0</v>
      </c>
      <c r="Q70" s="4" t="n">
        <f aca="false">A70-MATCH(K70,$M$9:M69,1)</f>
        <v>5</v>
      </c>
      <c r="R70" s="0" t="n">
        <f aca="false">-G70*(O70/3600)</f>
        <v>-0.278509612532069</v>
      </c>
      <c r="S70" s="0" t="n">
        <f aca="false">-1*I70-(H70*(P70/3600))</f>
        <v>-19.5</v>
      </c>
      <c r="T70" s="0" t="n">
        <f aca="false">-H70*(O70/3600)</f>
        <v>-2.6480317722072</v>
      </c>
      <c r="U70" s="0" t="n">
        <f aca="false">T70-S70</f>
        <v>16.8519682277928</v>
      </c>
      <c r="V70" s="0" t="n">
        <f aca="false">1/(1+EXP(U70))</f>
        <v>4.80046346353061E-008</v>
      </c>
      <c r="W70" s="0" t="n">
        <f aca="true">RAND()</f>
        <v>0.884530001287952</v>
      </c>
      <c r="X70" s="0" t="n">
        <f aca="false">IF(W70&lt;V70,1,0)</f>
        <v>0</v>
      </c>
      <c r="Y70" s="0" t="n">
        <f aca="false">(M70*(1-X70)+N70*X70)*D70+M70*E70</f>
        <v>674.082392388945</v>
      </c>
      <c r="Z70" s="0" t="n">
        <f aca="false">((1-X70)*O70+X70*P70)*D70+E70*O70</f>
        <v>56.9588625616633</v>
      </c>
      <c r="AA70" s="0" t="n">
        <f aca="false">IF(D70*X70&gt;0,AA69,Q70)</f>
        <v>5</v>
      </c>
      <c r="AB70" s="0" t="n">
        <f aca="false">(X70*D70)</f>
        <v>0</v>
      </c>
      <c r="AC70" s="0" t="n">
        <f aca="false">SUM(AB$10:AB69)/K70</f>
        <v>0</v>
      </c>
      <c r="AD70" s="0" t="n">
        <f aca="false">R70*E70+D70*(X70*S70+(1-X70)*T70)</f>
        <v>-0.278509612532069</v>
      </c>
      <c r="AE70" s="0" t="n">
        <f aca="false">Z70</f>
        <v>56.9588625616633</v>
      </c>
      <c r="AF70" s="0" t="n">
        <f aca="false">E70*O70</f>
        <v>56.9588625616633</v>
      </c>
      <c r="AG70" s="0" t="n">
        <f aca="false">((1-X70)*O70+X70*P70)*D70</f>
        <v>0</v>
      </c>
      <c r="AH70" s="0" t="n">
        <f aca="false">D70*(LN(EXP(S70)+EXP(T70)))</f>
        <v>-0</v>
      </c>
      <c r="AJ70" s="0" t="n">
        <f aca="false">$J$5</f>
        <v>10</v>
      </c>
      <c r="AK70" s="4" t="n">
        <f aca="false">AJ70+MAX(K70,AK$10:AK69)</f>
        <v>674.082392388945</v>
      </c>
      <c r="AL70" s="5" t="n">
        <f aca="false">AK70-K70</f>
        <v>56.9588625616633</v>
      </c>
      <c r="AM70" s="0" t="n">
        <f aca="false">-G70*AL70/3600</f>
        <v>-0.278509612532069</v>
      </c>
      <c r="AN70" s="0" t="n">
        <f aca="false">-H70*AL70/3600</f>
        <v>-2.6480317722072</v>
      </c>
      <c r="AO70" s="0" t="n">
        <f aca="false">AM70*E70+AN70*D70</f>
        <v>-0.278509612532069</v>
      </c>
      <c r="AP70" s="0" t="n">
        <f aca="false">AL70*D70</f>
        <v>0</v>
      </c>
      <c r="AR70" s="0" t="n">
        <f aca="false">AN70*D70</f>
        <v>-0</v>
      </c>
      <c r="AS70" s="0" t="n">
        <f aca="false">AH70-AR70</f>
        <v>0</v>
      </c>
    </row>
    <row r="71" customFormat="false" ht="12" hidden="false" customHeight="false" outlineLevel="0" collapsed="false">
      <c r="A71" s="3" t="n">
        <f aca="false">A70+1</f>
        <v>62</v>
      </c>
      <c r="B71" s="3" t="n">
        <f aca="false">IF(A71&lt;$N$4/3,0.1,(IF(A71&gt;2*$N$4/3,0.05,0.12)))</f>
        <v>0.1</v>
      </c>
      <c r="C71" s="4" t="n">
        <f aca="true">RAND()</f>
        <v>0.793297767544597</v>
      </c>
      <c r="D71" s="0" t="n">
        <f aca="false">IF((C71&gt;$M$2),1,0)</f>
        <v>0</v>
      </c>
      <c r="E71" s="0" t="n">
        <f aca="false">1-D71</f>
        <v>1</v>
      </c>
      <c r="F71" s="0" t="n">
        <f aca="true">RAND()</f>
        <v>0.523324109636745</v>
      </c>
      <c r="G71" s="0" t="n">
        <f aca="false">7.75+F71*10</f>
        <v>12.9832410963675</v>
      </c>
      <c r="H71" s="0" t="n">
        <f aca="false">LOGINV(F71,2.64,1.139)</f>
        <v>14.9787041944457</v>
      </c>
      <c r="I71" s="0" t="n">
        <v>19.5</v>
      </c>
      <c r="J71" s="4" t="n">
        <f aca="true">-LN(RAND())/B71</f>
        <v>0.803618661713961</v>
      </c>
      <c r="K71" s="4" t="n">
        <f aca="false">K70+J71</f>
        <v>617.927148488996</v>
      </c>
      <c r="L71" s="4" t="n">
        <f aca="false">(1/$J$4)*(1+AB70)</f>
        <v>10</v>
      </c>
      <c r="M71" s="4" t="n">
        <f aca="false">L71+MAX(K71,Y$10:Y70)</f>
        <v>684.082392388945</v>
      </c>
      <c r="N71" s="4" t="n">
        <f aca="false">K71</f>
        <v>617.927148488996</v>
      </c>
      <c r="O71" s="4" t="n">
        <f aca="false">M71-K71</f>
        <v>66.1552438999494</v>
      </c>
      <c r="P71" s="4" t="n">
        <f aca="false">N71-K71</f>
        <v>0</v>
      </c>
      <c r="Q71" s="4" t="n">
        <f aca="false">A71-MATCH(K71,$M$9:M70,1)</f>
        <v>6</v>
      </c>
      <c r="R71" s="0" t="n">
        <f aca="false">-G71*(O71/3600)</f>
        <v>-0.238585967039454</v>
      </c>
      <c r="S71" s="0" t="n">
        <f aca="false">-1*I71-(H71*(P71/3600))</f>
        <v>-19.5</v>
      </c>
      <c r="T71" s="0" t="n">
        <f aca="false">-H71*(O71/3600)</f>
        <v>-0.275255508135763</v>
      </c>
      <c r="U71" s="0" t="n">
        <f aca="false">T71-S71</f>
        <v>19.2247444918642</v>
      </c>
      <c r="V71" s="0" t="n">
        <f aca="false">1/(1+EXP(U71))</f>
        <v>4.47506707574199E-009</v>
      </c>
      <c r="W71" s="0" t="n">
        <f aca="true">RAND()</f>
        <v>0.276727556960014</v>
      </c>
      <c r="X71" s="0" t="n">
        <f aca="false">IF(W71&lt;V71,1,0)</f>
        <v>0</v>
      </c>
      <c r="Y71" s="0" t="n">
        <f aca="false">(M71*(1-X71)+N71*X71)*D71+M71*E71</f>
        <v>684.082392388945</v>
      </c>
      <c r="Z71" s="0" t="n">
        <f aca="false">((1-X71)*O71+X71*P71)*D71+E71*O71</f>
        <v>66.1552438999494</v>
      </c>
      <c r="AA71" s="0" t="n">
        <f aca="false">IF(D71*X71&gt;0,AA70,Q71)</f>
        <v>6</v>
      </c>
      <c r="AB71" s="0" t="n">
        <f aca="false">(X71*D71)</f>
        <v>0</v>
      </c>
      <c r="AC71" s="0" t="n">
        <f aca="false">SUM(AB$10:AB70)/K71</f>
        <v>0</v>
      </c>
      <c r="AD71" s="0" t="n">
        <f aca="false">R71*E71+D71*(X71*S71+(1-X71)*T71)</f>
        <v>-0.238585967039454</v>
      </c>
      <c r="AE71" s="0" t="n">
        <f aca="false">Z71</f>
        <v>66.1552438999494</v>
      </c>
      <c r="AF71" s="0" t="n">
        <f aca="false">E71*O71</f>
        <v>66.1552438999494</v>
      </c>
      <c r="AG71" s="0" t="n">
        <f aca="false">((1-X71)*O71+X71*P71)*D71</f>
        <v>0</v>
      </c>
      <c r="AH71" s="0" t="n">
        <f aca="false">D71*(LN(EXP(S71)+EXP(T71)))</f>
        <v>-0</v>
      </c>
      <c r="AJ71" s="0" t="n">
        <f aca="false">$J$5</f>
        <v>10</v>
      </c>
      <c r="AK71" s="4" t="n">
        <f aca="false">AJ71+MAX(K71,AK$10:AK70)</f>
        <v>684.082392388945</v>
      </c>
      <c r="AL71" s="5" t="n">
        <f aca="false">AK71-K71</f>
        <v>66.1552438999494</v>
      </c>
      <c r="AM71" s="0" t="n">
        <f aca="false">-G71*AL71/3600</f>
        <v>-0.238585967039454</v>
      </c>
      <c r="AN71" s="0" t="n">
        <f aca="false">-H71*AL71/3600</f>
        <v>-0.275255508135763</v>
      </c>
      <c r="AO71" s="0" t="n">
        <f aca="false">AM71*E71+AN71*D71</f>
        <v>-0.238585967039454</v>
      </c>
      <c r="AP71" s="0" t="n">
        <f aca="false">AL71*D71</f>
        <v>0</v>
      </c>
      <c r="AR71" s="0" t="n">
        <f aca="false">AN71*D71</f>
        <v>-0</v>
      </c>
      <c r="AS71" s="0" t="n">
        <f aca="false">AH71-AR71</f>
        <v>0</v>
      </c>
    </row>
    <row r="72" customFormat="false" ht="12" hidden="false" customHeight="false" outlineLevel="0" collapsed="false">
      <c r="A72" s="3" t="n">
        <f aca="false">A71+1</f>
        <v>63</v>
      </c>
      <c r="B72" s="3" t="n">
        <f aca="false">IF(A72&lt;$N$4/3,0.1,(IF(A72&gt;2*$N$4/3,0.05,0.12)))</f>
        <v>0.1</v>
      </c>
      <c r="C72" s="4" t="n">
        <f aca="true">RAND()</f>
        <v>0.964188078509642</v>
      </c>
      <c r="D72" s="0" t="n">
        <f aca="false">IF((C72&gt;$M$2),1,0)</f>
        <v>1</v>
      </c>
      <c r="E72" s="0" t="n">
        <f aca="false">1-D72</f>
        <v>0</v>
      </c>
      <c r="F72" s="0" t="n">
        <f aca="true">RAND()</f>
        <v>0.363425970948106</v>
      </c>
      <c r="G72" s="0" t="n">
        <f aca="false">7.75+F72*10</f>
        <v>11.3842597094811</v>
      </c>
      <c r="H72" s="0" t="n">
        <f aca="false">LOGINV(F72,2.64,1.139)</f>
        <v>9.41334962384827</v>
      </c>
      <c r="I72" s="0" t="n">
        <v>19.5</v>
      </c>
      <c r="J72" s="4" t="n">
        <f aca="true">-LN(RAND())/B72</f>
        <v>8.39411940296441</v>
      </c>
      <c r="K72" s="4" t="n">
        <f aca="false">K71+J72</f>
        <v>626.32126789196</v>
      </c>
      <c r="L72" s="4" t="n">
        <f aca="false">(1/$J$4)*(1+AB71)</f>
        <v>10</v>
      </c>
      <c r="M72" s="4" t="n">
        <f aca="false">L72+MAX(K72,Y$10:Y71)</f>
        <v>694.082392388945</v>
      </c>
      <c r="N72" s="4" t="n">
        <f aca="false">K72</f>
        <v>626.32126789196</v>
      </c>
      <c r="O72" s="4" t="n">
        <f aca="false">M72-K72</f>
        <v>67.761124496985</v>
      </c>
      <c r="P72" s="4" t="n">
        <f aca="false">N72-K72</f>
        <v>0</v>
      </c>
      <c r="Q72" s="4" t="n">
        <f aca="false">A72-MATCH(K72,$M$9:M71,1)</f>
        <v>6</v>
      </c>
      <c r="R72" s="0" t="n">
        <f aca="false">-G72*(O72/3600)</f>
        <v>-0.214280622077821</v>
      </c>
      <c r="S72" s="0" t="n">
        <f aca="false">-1*I72-(H72*(P72/3600))</f>
        <v>-19.5</v>
      </c>
      <c r="T72" s="0" t="n">
        <f aca="false">-H72*(O72/3600)</f>
        <v>-0.177183098832008</v>
      </c>
      <c r="U72" s="0" t="n">
        <f aca="false">T72-S72</f>
        <v>19.322816901168</v>
      </c>
      <c r="V72" s="0" t="n">
        <f aca="false">1/(1+EXP(U72))</f>
        <v>4.05702088344943E-009</v>
      </c>
      <c r="W72" s="0" t="n">
        <f aca="true">RAND()</f>
        <v>0.145501788243783</v>
      </c>
      <c r="X72" s="0" t="n">
        <f aca="false">IF(W72&lt;V72,1,0)</f>
        <v>0</v>
      </c>
      <c r="Y72" s="0" t="n">
        <f aca="false">(M72*(1-X72)+N72*X72)*D72+M72*E72</f>
        <v>694.082392388945</v>
      </c>
      <c r="Z72" s="0" t="n">
        <f aca="false">((1-X72)*O72+X72*P72)*D72+E72*O72</f>
        <v>67.761124496985</v>
      </c>
      <c r="AA72" s="0" t="n">
        <f aca="false">IF(D72*X72&gt;0,AA71,Q72)</f>
        <v>6</v>
      </c>
      <c r="AB72" s="0" t="n">
        <f aca="false">(X72*D72)</f>
        <v>0</v>
      </c>
      <c r="AC72" s="0" t="n">
        <f aca="false">SUM(AB$10:AB71)/K72</f>
        <v>0</v>
      </c>
      <c r="AD72" s="0" t="n">
        <f aca="false">R72*E72+D72*(X72*S72+(1-X72)*T72)</f>
        <v>-0.177183098832008</v>
      </c>
      <c r="AE72" s="0" t="n">
        <f aca="false">Z72</f>
        <v>67.761124496985</v>
      </c>
      <c r="AF72" s="0" t="n">
        <f aca="false">E72*O72</f>
        <v>0</v>
      </c>
      <c r="AG72" s="0" t="n">
        <f aca="false">((1-X72)*O72+X72*P72)*D72</f>
        <v>67.761124496985</v>
      </c>
      <c r="AH72" s="0" t="n">
        <f aca="false">D72*(LN(EXP(S72)+EXP(T72)))</f>
        <v>-0.177183094774987</v>
      </c>
      <c r="AJ72" s="0" t="n">
        <f aca="false">$J$5</f>
        <v>10</v>
      </c>
      <c r="AK72" s="4" t="n">
        <f aca="false">AJ72+MAX(K72,AK$10:AK71)</f>
        <v>694.082392388945</v>
      </c>
      <c r="AL72" s="5" t="n">
        <f aca="false">AK72-K72</f>
        <v>67.761124496985</v>
      </c>
      <c r="AM72" s="0" t="n">
        <f aca="false">-G72*AL72/3600</f>
        <v>-0.214280622077821</v>
      </c>
      <c r="AN72" s="0" t="n">
        <f aca="false">-H72*AL72/3600</f>
        <v>-0.177183098832008</v>
      </c>
      <c r="AO72" s="0" t="n">
        <f aca="false">AM72*E72+AN72*D72</f>
        <v>-0.177183098832008</v>
      </c>
      <c r="AP72" s="0" t="n">
        <f aca="false">AL72*D72</f>
        <v>67.761124496985</v>
      </c>
      <c r="AR72" s="0" t="n">
        <f aca="false">AN72*D72</f>
        <v>-0.177183098832008</v>
      </c>
      <c r="AS72" s="0" t="n">
        <f aca="false">AH72-AR72</f>
        <v>4.05702091366145E-009</v>
      </c>
    </row>
    <row r="73" customFormat="false" ht="12" hidden="false" customHeight="false" outlineLevel="0" collapsed="false">
      <c r="A73" s="3" t="n">
        <f aca="false">A72+1</f>
        <v>64</v>
      </c>
      <c r="B73" s="3" t="n">
        <f aca="false">IF(A73&lt;$N$4/3,0.1,(IF(A73&gt;2*$N$4/3,0.05,0.12)))</f>
        <v>0.1</v>
      </c>
      <c r="C73" s="4" t="n">
        <f aca="true">RAND()</f>
        <v>0.185179954872136</v>
      </c>
      <c r="D73" s="0" t="n">
        <f aca="false">IF((C73&gt;$M$2),1,0)</f>
        <v>0</v>
      </c>
      <c r="E73" s="0" t="n">
        <f aca="false">1-D73</f>
        <v>1</v>
      </c>
      <c r="F73" s="0" t="n">
        <f aca="true">RAND()</f>
        <v>0.410488048703121</v>
      </c>
      <c r="G73" s="0" t="n">
        <f aca="false">7.75+F73*10</f>
        <v>11.8548804870312</v>
      </c>
      <c r="H73" s="0" t="n">
        <f aca="false">LOGINV(F73,2.64,1.139)</f>
        <v>10.8293064032814</v>
      </c>
      <c r="I73" s="0" t="n">
        <v>19.5</v>
      </c>
      <c r="J73" s="4" t="n">
        <f aca="true">-LN(RAND())/B73</f>
        <v>0.842224642993868</v>
      </c>
      <c r="K73" s="4" t="n">
        <f aca="false">K72+J73</f>
        <v>627.163492534954</v>
      </c>
      <c r="L73" s="4" t="n">
        <f aca="false">(1/$J$4)*(1+AB72)</f>
        <v>10</v>
      </c>
      <c r="M73" s="4" t="n">
        <f aca="false">L73+MAX(K73,Y$10:Y72)</f>
        <v>704.082392388945</v>
      </c>
      <c r="N73" s="4" t="n">
        <f aca="false">K73</f>
        <v>627.163492534954</v>
      </c>
      <c r="O73" s="4" t="n">
        <f aca="false">M73-K73</f>
        <v>76.9188998539911</v>
      </c>
      <c r="P73" s="4" t="n">
        <f aca="false">N73-K73</f>
        <v>0</v>
      </c>
      <c r="Q73" s="4" t="n">
        <f aca="false">A73-MATCH(K73,$M$9:M72,1)</f>
        <v>7</v>
      </c>
      <c r="R73" s="0" t="n">
        <f aca="false">-G73*(O73/3600)</f>
        <v>-0.253295656934163</v>
      </c>
      <c r="S73" s="0" t="n">
        <f aca="false">-1*I73-(H73*(P73/3600))</f>
        <v>-19.5</v>
      </c>
      <c r="T73" s="0" t="n">
        <f aca="false">-H73*(O73/3600)</f>
        <v>-0.231382870756163</v>
      </c>
      <c r="U73" s="0" t="n">
        <f aca="false">T73-S73</f>
        <v>19.2686171292438</v>
      </c>
      <c r="V73" s="0" t="n">
        <f aca="false">1/(1+EXP(U73))</f>
        <v>4.28297860555343E-009</v>
      </c>
      <c r="W73" s="0" t="n">
        <f aca="true">RAND()</f>
        <v>0.594316069583367</v>
      </c>
      <c r="X73" s="0" t="n">
        <f aca="false">IF(W73&lt;V73,1,0)</f>
        <v>0</v>
      </c>
      <c r="Y73" s="0" t="n">
        <f aca="false">(M73*(1-X73)+N73*X73)*D73+M73*E73</f>
        <v>704.082392388945</v>
      </c>
      <c r="Z73" s="0" t="n">
        <f aca="false">((1-X73)*O73+X73*P73)*D73+E73*O73</f>
        <v>76.9188998539911</v>
      </c>
      <c r="AA73" s="0" t="n">
        <f aca="false">IF(D73*X73&gt;0,AA72,Q73)</f>
        <v>7</v>
      </c>
      <c r="AB73" s="0" t="n">
        <f aca="false">(X73*D73)</f>
        <v>0</v>
      </c>
      <c r="AC73" s="0" t="n">
        <f aca="false">SUM(AB$10:AB72)/K73</f>
        <v>0</v>
      </c>
      <c r="AD73" s="0" t="n">
        <f aca="false">R73*E73+D73*(X73*S73+(1-X73)*T73)</f>
        <v>-0.253295656934163</v>
      </c>
      <c r="AE73" s="0" t="n">
        <f aca="false">Z73</f>
        <v>76.9188998539911</v>
      </c>
      <c r="AF73" s="0" t="n">
        <f aca="false">E73*O73</f>
        <v>76.9188998539911</v>
      </c>
      <c r="AG73" s="0" t="n">
        <f aca="false">((1-X73)*O73+X73*P73)*D73</f>
        <v>0</v>
      </c>
      <c r="AH73" s="0" t="n">
        <f aca="false">D73*(LN(EXP(S73)+EXP(T73)))</f>
        <v>-0</v>
      </c>
      <c r="AJ73" s="0" t="n">
        <f aca="false">$J$5</f>
        <v>10</v>
      </c>
      <c r="AK73" s="4" t="n">
        <f aca="false">AJ73+MAX(K73,AK$10:AK72)</f>
        <v>704.082392388945</v>
      </c>
      <c r="AL73" s="5" t="n">
        <f aca="false">AK73-K73</f>
        <v>76.9188998539911</v>
      </c>
      <c r="AM73" s="0" t="n">
        <f aca="false">-G73*AL73/3600</f>
        <v>-0.253295656934163</v>
      </c>
      <c r="AN73" s="0" t="n">
        <f aca="false">-H73*AL73/3600</f>
        <v>-0.231382870756163</v>
      </c>
      <c r="AO73" s="0" t="n">
        <f aca="false">AM73*E73+AN73*D73</f>
        <v>-0.253295656934163</v>
      </c>
      <c r="AP73" s="0" t="n">
        <f aca="false">AL73*D73</f>
        <v>0</v>
      </c>
      <c r="AR73" s="0" t="n">
        <f aca="false">AN73*D73</f>
        <v>-0</v>
      </c>
      <c r="AS73" s="0" t="n">
        <f aca="false">AH73-AR73</f>
        <v>0</v>
      </c>
    </row>
    <row r="74" customFormat="false" ht="12" hidden="false" customHeight="false" outlineLevel="0" collapsed="false">
      <c r="A74" s="3" t="n">
        <f aca="false">A73+1</f>
        <v>65</v>
      </c>
      <c r="B74" s="3" t="n">
        <f aca="false">IF(A74&lt;$N$4/3,0.1,(IF(A74&gt;2*$N$4/3,0.05,0.12)))</f>
        <v>0.1</v>
      </c>
      <c r="C74" s="4" t="n">
        <f aca="true">RAND()</f>
        <v>0.226909564560927</v>
      </c>
      <c r="D74" s="0" t="n">
        <f aca="false">IF((C74&gt;$M$2),1,0)</f>
        <v>0</v>
      </c>
      <c r="E74" s="0" t="n">
        <f aca="false">1-D74</f>
        <v>1</v>
      </c>
      <c r="F74" s="0" t="n">
        <f aca="true">RAND()</f>
        <v>0.4294493650386</v>
      </c>
      <c r="G74" s="0" t="n">
        <f aca="false">7.75+F74*10</f>
        <v>12.044493650386</v>
      </c>
      <c r="H74" s="0" t="n">
        <f aca="false">LOGINV(F74,2.64,1.139)</f>
        <v>11.4445415396923</v>
      </c>
      <c r="I74" s="0" t="n">
        <v>19.5</v>
      </c>
      <c r="J74" s="4" t="n">
        <f aca="true">-LN(RAND())/B74</f>
        <v>19.4194595178057</v>
      </c>
      <c r="K74" s="4" t="n">
        <f aca="false">K73+J74</f>
        <v>646.58295205276</v>
      </c>
      <c r="L74" s="4" t="n">
        <f aca="false">(1/$J$4)*(1+AB73)</f>
        <v>10</v>
      </c>
      <c r="M74" s="4" t="n">
        <f aca="false">L74+MAX(K74,Y$10:Y73)</f>
        <v>714.082392388945</v>
      </c>
      <c r="N74" s="4" t="n">
        <f aca="false">K74</f>
        <v>646.58295205276</v>
      </c>
      <c r="O74" s="4" t="n">
        <f aca="false">M74-K74</f>
        <v>67.4994403361854</v>
      </c>
      <c r="P74" s="4" t="n">
        <f aca="false">N74-K74</f>
        <v>0</v>
      </c>
      <c r="Q74" s="4" t="n">
        <f aca="false">A74-MATCH(K74,$M$9:M73,1)</f>
        <v>6</v>
      </c>
      <c r="R74" s="0" t="n">
        <f aca="false">-G74*(O74/3600)</f>
        <v>-0.22583238348161</v>
      </c>
      <c r="S74" s="0" t="n">
        <f aca="false">-1*I74-(H74*(P74/3600))</f>
        <v>-19.5</v>
      </c>
      <c r="T74" s="0" t="n">
        <f aca="false">-H74*(O74/3600)</f>
        <v>-0.214583374675959</v>
      </c>
      <c r="U74" s="0" t="n">
        <f aca="false">T74-S74</f>
        <v>19.285416625324</v>
      </c>
      <c r="V74" s="0" t="n">
        <f aca="false">1/(1+EXP(U74))</f>
        <v>4.21162773099362E-009</v>
      </c>
      <c r="W74" s="0" t="n">
        <f aca="true">RAND()</f>
        <v>0.478627539377252</v>
      </c>
      <c r="X74" s="0" t="n">
        <f aca="false">IF(W74&lt;V74,1,0)</f>
        <v>0</v>
      </c>
      <c r="Y74" s="0" t="n">
        <f aca="false">(M74*(1-X74)+N74*X74)*D74+M74*E74</f>
        <v>714.082392388945</v>
      </c>
      <c r="Z74" s="0" t="n">
        <f aca="false">((1-X74)*O74+X74*P74)*D74+E74*O74</f>
        <v>67.4994403361854</v>
      </c>
      <c r="AA74" s="0" t="n">
        <f aca="false">IF(D74*X74&gt;0,AA73,Q74)</f>
        <v>6</v>
      </c>
      <c r="AB74" s="0" t="n">
        <f aca="false">(X74*D74)</f>
        <v>0</v>
      </c>
      <c r="AC74" s="0" t="n">
        <f aca="false">SUM(AB$10:AB73)/K74</f>
        <v>0</v>
      </c>
      <c r="AD74" s="0" t="n">
        <f aca="false">R74*E74+D74*(X74*S74+(1-X74)*T74)</f>
        <v>-0.22583238348161</v>
      </c>
      <c r="AE74" s="0" t="n">
        <f aca="false">Z74</f>
        <v>67.4994403361854</v>
      </c>
      <c r="AF74" s="0" t="n">
        <f aca="false">E74*O74</f>
        <v>67.4994403361854</v>
      </c>
      <c r="AG74" s="0" t="n">
        <f aca="false">((1-X74)*O74+X74*P74)*D74</f>
        <v>0</v>
      </c>
      <c r="AH74" s="0" t="n">
        <f aca="false">D74*(LN(EXP(S74)+EXP(T74)))</f>
        <v>-0</v>
      </c>
      <c r="AJ74" s="0" t="n">
        <f aca="false">$J$5</f>
        <v>10</v>
      </c>
      <c r="AK74" s="4" t="n">
        <f aca="false">AJ74+MAX(K74,AK$10:AK73)</f>
        <v>714.082392388945</v>
      </c>
      <c r="AL74" s="5" t="n">
        <f aca="false">AK74-K74</f>
        <v>67.4994403361854</v>
      </c>
      <c r="AM74" s="0" t="n">
        <f aca="false">-G74*AL74/3600</f>
        <v>-0.22583238348161</v>
      </c>
      <c r="AN74" s="0" t="n">
        <f aca="false">-H74*AL74/3600</f>
        <v>-0.214583374675959</v>
      </c>
      <c r="AO74" s="0" t="n">
        <f aca="false">AM74*E74+AN74*D74</f>
        <v>-0.22583238348161</v>
      </c>
      <c r="AP74" s="0" t="n">
        <f aca="false">AL74*D74</f>
        <v>0</v>
      </c>
      <c r="AR74" s="0" t="n">
        <f aca="false">AN74*D74</f>
        <v>-0</v>
      </c>
      <c r="AS74" s="0" t="n">
        <f aca="false">AH74-AR74</f>
        <v>0</v>
      </c>
    </row>
    <row r="75" customFormat="false" ht="12" hidden="false" customHeight="false" outlineLevel="0" collapsed="false">
      <c r="A75" s="3" t="n">
        <f aca="false">A74+1</f>
        <v>66</v>
      </c>
      <c r="B75" s="3" t="n">
        <f aca="false">IF(A75&lt;$N$4/3,0.1,(IF(A75&gt;2*$N$4/3,0.05,0.12)))</f>
        <v>0.1</v>
      </c>
      <c r="C75" s="4" t="n">
        <f aca="true">RAND()</f>
        <v>0.246419398866648</v>
      </c>
      <c r="D75" s="0" t="n">
        <f aca="false">IF((C75&gt;$M$2),1,0)</f>
        <v>0</v>
      </c>
      <c r="E75" s="0" t="n">
        <f aca="false">1-D75</f>
        <v>1</v>
      </c>
      <c r="F75" s="0" t="n">
        <f aca="true">RAND()</f>
        <v>0.564388987762883</v>
      </c>
      <c r="G75" s="0" t="n">
        <f aca="false">7.75+F75*10</f>
        <v>13.3938898776288</v>
      </c>
      <c r="H75" s="0" t="n">
        <f aca="false">LOGINV(F75,2.64,1.139)</f>
        <v>16.8548635010013</v>
      </c>
      <c r="I75" s="0" t="n">
        <v>19.5</v>
      </c>
      <c r="J75" s="4" t="n">
        <f aca="true">-LN(RAND())/B75</f>
        <v>1.90631637498311</v>
      </c>
      <c r="K75" s="4" t="n">
        <f aca="false">K74+J75</f>
        <v>648.489268427743</v>
      </c>
      <c r="L75" s="4" t="n">
        <f aca="false">(1/$J$4)*(1+AB74)</f>
        <v>10</v>
      </c>
      <c r="M75" s="4" t="n">
        <f aca="false">L75+MAX(K75,Y$10:Y74)</f>
        <v>724.082392388945</v>
      </c>
      <c r="N75" s="4" t="n">
        <f aca="false">K75</f>
        <v>648.489268427743</v>
      </c>
      <c r="O75" s="4" t="n">
        <f aca="false">M75-K75</f>
        <v>75.5931239612023</v>
      </c>
      <c r="P75" s="4" t="n">
        <f aca="false">N75-K75</f>
        <v>0</v>
      </c>
      <c r="Q75" s="4" t="n">
        <f aca="false">A75-MATCH(K75,$M$9:M74,1)</f>
        <v>7</v>
      </c>
      <c r="R75" s="0" t="n">
        <f aca="false">-G75*(O75/3600)</f>
        <v>-0.281246104956191</v>
      </c>
      <c r="S75" s="0" t="n">
        <f aca="false">-1*I75-(H75*(P75/3600))</f>
        <v>-19.5</v>
      </c>
      <c r="T75" s="0" t="n">
        <f aca="false">-H75*(O75/3600)</f>
        <v>-0.353919940550093</v>
      </c>
      <c r="U75" s="0" t="n">
        <f aca="false">T75-S75</f>
        <v>19.1460800594499</v>
      </c>
      <c r="V75" s="0" t="n">
        <f aca="false">1/(1+EXP(U75))</f>
        <v>4.84131206913639E-009</v>
      </c>
      <c r="W75" s="0" t="n">
        <f aca="true">RAND()</f>
        <v>0.396821067400398</v>
      </c>
      <c r="X75" s="0" t="n">
        <f aca="false">IF(W75&lt;V75,1,0)</f>
        <v>0</v>
      </c>
      <c r="Y75" s="0" t="n">
        <f aca="false">(M75*(1-X75)+N75*X75)*D75+M75*E75</f>
        <v>724.082392388945</v>
      </c>
      <c r="Z75" s="0" t="n">
        <f aca="false">((1-X75)*O75+X75*P75)*D75+E75*O75</f>
        <v>75.5931239612023</v>
      </c>
      <c r="AA75" s="0" t="n">
        <f aca="false">IF(D75*X75&gt;0,AA74,Q75)</f>
        <v>7</v>
      </c>
      <c r="AB75" s="0" t="n">
        <f aca="false">(X75*D75)</f>
        <v>0</v>
      </c>
      <c r="AC75" s="0" t="n">
        <f aca="false">SUM(AB$10:AB74)/K75</f>
        <v>0</v>
      </c>
      <c r="AD75" s="0" t="n">
        <f aca="false">R75*E75+D75*(X75*S75+(1-X75)*T75)</f>
        <v>-0.281246104956191</v>
      </c>
      <c r="AE75" s="0" t="n">
        <f aca="false">Z75</f>
        <v>75.5931239612023</v>
      </c>
      <c r="AF75" s="0" t="n">
        <f aca="false">E75*O75</f>
        <v>75.5931239612023</v>
      </c>
      <c r="AG75" s="0" t="n">
        <f aca="false">((1-X75)*O75+X75*P75)*D75</f>
        <v>0</v>
      </c>
      <c r="AH75" s="0" t="n">
        <f aca="false">D75*(LN(EXP(S75)+EXP(T75)))</f>
        <v>-0</v>
      </c>
      <c r="AJ75" s="0" t="n">
        <f aca="false">$J$5</f>
        <v>10</v>
      </c>
      <c r="AK75" s="4" t="n">
        <f aca="false">AJ75+MAX(K75,AK$10:AK74)</f>
        <v>724.082392388945</v>
      </c>
      <c r="AL75" s="5" t="n">
        <f aca="false">AK75-K75</f>
        <v>75.5931239612023</v>
      </c>
      <c r="AM75" s="0" t="n">
        <f aca="false">-G75*AL75/3600</f>
        <v>-0.281246104956191</v>
      </c>
      <c r="AN75" s="0" t="n">
        <f aca="false">-H75*AL75/3600</f>
        <v>-0.353919940550093</v>
      </c>
      <c r="AO75" s="0" t="n">
        <f aca="false">AM75*E75+AN75*D75</f>
        <v>-0.281246104956191</v>
      </c>
      <c r="AP75" s="0" t="n">
        <f aca="false">AL75*D75</f>
        <v>0</v>
      </c>
      <c r="AR75" s="0" t="n">
        <f aca="false">AN75*D75</f>
        <v>-0</v>
      </c>
      <c r="AS75" s="0" t="n">
        <f aca="false">AH75-AR75</f>
        <v>0</v>
      </c>
    </row>
    <row r="76" customFormat="false" ht="12" hidden="false" customHeight="false" outlineLevel="0" collapsed="false">
      <c r="A76" s="3" t="n">
        <f aca="false">A75+1</f>
        <v>67</v>
      </c>
      <c r="B76" s="3" t="n">
        <f aca="false">IF(A76&lt;$N$4/3,0.1,(IF(A76&gt;2*$N$4/3,0.05,0.12)))</f>
        <v>0.1</v>
      </c>
      <c r="C76" s="4" t="n">
        <f aca="true">RAND()</f>
        <v>0.0576798716966376</v>
      </c>
      <c r="D76" s="0" t="n">
        <f aca="false">IF((C76&gt;$M$2),1,0)</f>
        <v>0</v>
      </c>
      <c r="E76" s="0" t="n">
        <f aca="false">1-D76</f>
        <v>1</v>
      </c>
      <c r="F76" s="0" t="n">
        <f aca="true">RAND()</f>
        <v>0.398539040428737</v>
      </c>
      <c r="G76" s="0" t="n">
        <f aca="false">7.75+F76*10</f>
        <v>11.7353904042874</v>
      </c>
      <c r="H76" s="0" t="n">
        <f aca="false">LOGINV(F76,2.64,1.139)</f>
        <v>10.4555028743749</v>
      </c>
      <c r="I76" s="0" t="n">
        <v>19.5</v>
      </c>
      <c r="J76" s="4" t="n">
        <f aca="true">-LN(RAND())/B76</f>
        <v>18.2601527265162</v>
      </c>
      <c r="K76" s="4" t="n">
        <f aca="false">K75+J76</f>
        <v>666.749421154259</v>
      </c>
      <c r="L76" s="4" t="n">
        <f aca="false">(1/$J$4)*(1+AB75)</f>
        <v>10</v>
      </c>
      <c r="M76" s="4" t="n">
        <f aca="false">L76+MAX(K76,Y$10:Y75)</f>
        <v>734.082392388945</v>
      </c>
      <c r="N76" s="4" t="n">
        <f aca="false">K76</f>
        <v>666.749421154259</v>
      </c>
      <c r="O76" s="4" t="n">
        <f aca="false">M76-K76</f>
        <v>67.3329712346862</v>
      </c>
      <c r="P76" s="4" t="n">
        <f aca="false">N76-K76</f>
        <v>0</v>
      </c>
      <c r="Q76" s="4" t="n">
        <f aca="false">A76-MATCH(K76,$M$9:M75,1)</f>
        <v>6</v>
      </c>
      <c r="R76" s="0" t="n">
        <f aca="false">-G76*(O76/3600)</f>
        <v>-0.219494084588804</v>
      </c>
      <c r="S76" s="0" t="n">
        <f aca="false">-1*I76-(H76*(P76/3600))</f>
        <v>-19.5</v>
      </c>
      <c r="T76" s="0" t="n">
        <f aca="false">-H76*(O76/3600)</f>
        <v>-0.195555576190129</v>
      </c>
      <c r="U76" s="0" t="n">
        <f aca="false">T76-S76</f>
        <v>19.3044444238099</v>
      </c>
      <c r="V76" s="0" t="n">
        <f aca="false">1/(1+EXP(U76))</f>
        <v>4.13224733961271E-009</v>
      </c>
      <c r="W76" s="0" t="n">
        <f aca="true">RAND()</f>
        <v>0.460153402461155</v>
      </c>
      <c r="X76" s="0" t="n">
        <f aca="false">IF(W76&lt;V76,1,0)</f>
        <v>0</v>
      </c>
      <c r="Y76" s="0" t="n">
        <f aca="false">(M76*(1-X76)+N76*X76)*D76+M76*E76</f>
        <v>734.082392388945</v>
      </c>
      <c r="Z76" s="0" t="n">
        <f aca="false">((1-X76)*O76+X76*P76)*D76+E76*O76</f>
        <v>67.3329712346862</v>
      </c>
      <c r="AA76" s="0" t="n">
        <f aca="false">IF(D76*X76&gt;0,AA75,Q76)</f>
        <v>6</v>
      </c>
      <c r="AB76" s="0" t="n">
        <f aca="false">(X76*D76)</f>
        <v>0</v>
      </c>
      <c r="AC76" s="0" t="n">
        <f aca="false">SUM(AB$10:AB75)/K76</f>
        <v>0</v>
      </c>
      <c r="AD76" s="0" t="n">
        <f aca="false">R76*E76+D76*(X76*S76+(1-X76)*T76)</f>
        <v>-0.219494084588804</v>
      </c>
      <c r="AE76" s="0" t="n">
        <f aca="false">Z76</f>
        <v>67.3329712346862</v>
      </c>
      <c r="AF76" s="0" t="n">
        <f aca="false">E76*O76</f>
        <v>67.3329712346862</v>
      </c>
      <c r="AG76" s="0" t="n">
        <f aca="false">((1-X76)*O76+X76*P76)*D76</f>
        <v>0</v>
      </c>
      <c r="AH76" s="0" t="n">
        <f aca="false">D76*(LN(EXP(S76)+EXP(T76)))</f>
        <v>-0</v>
      </c>
      <c r="AJ76" s="0" t="n">
        <f aca="false">$J$5</f>
        <v>10</v>
      </c>
      <c r="AK76" s="4" t="n">
        <f aca="false">AJ76+MAX(K76,AK$10:AK75)</f>
        <v>734.082392388945</v>
      </c>
      <c r="AL76" s="5" t="n">
        <f aca="false">AK76-K76</f>
        <v>67.3329712346862</v>
      </c>
      <c r="AM76" s="0" t="n">
        <f aca="false">-G76*AL76/3600</f>
        <v>-0.219494084588804</v>
      </c>
      <c r="AN76" s="0" t="n">
        <f aca="false">-H76*AL76/3600</f>
        <v>-0.195555576190129</v>
      </c>
      <c r="AO76" s="0" t="n">
        <f aca="false">AM76*E76+AN76*D76</f>
        <v>-0.219494084588804</v>
      </c>
      <c r="AP76" s="0" t="n">
        <f aca="false">AL76*D76</f>
        <v>0</v>
      </c>
      <c r="AR76" s="0" t="n">
        <f aca="false">AN76*D76</f>
        <v>-0</v>
      </c>
      <c r="AS76" s="0" t="n">
        <f aca="false">AH76-AR76</f>
        <v>0</v>
      </c>
    </row>
    <row r="77" customFormat="false" ht="12" hidden="false" customHeight="false" outlineLevel="0" collapsed="false">
      <c r="A77" s="3" t="n">
        <f aca="false">A76+1</f>
        <v>68</v>
      </c>
      <c r="B77" s="3" t="n">
        <f aca="false">IF(A77&lt;$N$4/3,0.1,(IF(A77&gt;2*$N$4/3,0.05,0.12)))</f>
        <v>0.1</v>
      </c>
      <c r="C77" s="4" t="n">
        <f aca="true">RAND()</f>
        <v>0.400580852691124</v>
      </c>
      <c r="D77" s="0" t="n">
        <f aca="false">IF((C77&gt;$M$2),1,0)</f>
        <v>0</v>
      </c>
      <c r="E77" s="0" t="n">
        <f aca="false">1-D77</f>
        <v>1</v>
      </c>
      <c r="F77" s="0" t="n">
        <f aca="true">RAND()</f>
        <v>0.571283050764252</v>
      </c>
      <c r="G77" s="0" t="n">
        <f aca="false">7.75+F77*10</f>
        <v>13.4628305076425</v>
      </c>
      <c r="H77" s="0" t="n">
        <f aca="false">LOGINV(F77,2.64,1.139)</f>
        <v>17.1948831487999</v>
      </c>
      <c r="I77" s="0" t="n">
        <v>19.5</v>
      </c>
      <c r="J77" s="4" t="n">
        <f aca="true">-LN(RAND())/B77</f>
        <v>8.50747208521379</v>
      </c>
      <c r="K77" s="4" t="n">
        <f aca="false">K76+J77</f>
        <v>675.256893239473</v>
      </c>
      <c r="L77" s="4" t="n">
        <f aca="false">(1/$J$4)*(1+AB76)</f>
        <v>10</v>
      </c>
      <c r="M77" s="4" t="n">
        <f aca="false">L77+MAX(K77,Y$10:Y76)</f>
        <v>744.082392388945</v>
      </c>
      <c r="N77" s="4" t="n">
        <f aca="false">K77</f>
        <v>675.256893239473</v>
      </c>
      <c r="O77" s="4" t="n">
        <f aca="false">M77-K77</f>
        <v>68.8254991494724</v>
      </c>
      <c r="P77" s="4" t="n">
        <f aca="false">N77-K77</f>
        <v>0</v>
      </c>
      <c r="Q77" s="4" t="n">
        <f aca="false">A77-MATCH(K77,$M$9:M76,1)</f>
        <v>6</v>
      </c>
      <c r="R77" s="0" t="n">
        <f aca="false">-G77*(O77/3600)</f>
        <v>-0.257385008237012</v>
      </c>
      <c r="S77" s="0" t="n">
        <f aca="false">-1*I77-(H77*(P77/3600))</f>
        <v>-19.5</v>
      </c>
      <c r="T77" s="0" t="n">
        <f aca="false">-H77*(O77/3600)</f>
        <v>-0.328735115425835</v>
      </c>
      <c r="U77" s="0" t="n">
        <f aca="false">T77-S77</f>
        <v>19.1712648845742</v>
      </c>
      <c r="V77" s="0" t="n">
        <f aca="false">1/(1+EXP(U77))</f>
        <v>4.72090702595314E-009</v>
      </c>
      <c r="W77" s="0" t="n">
        <f aca="true">RAND()</f>
        <v>0.926656625403502</v>
      </c>
      <c r="X77" s="0" t="n">
        <f aca="false">IF(W77&lt;V77,1,0)</f>
        <v>0</v>
      </c>
      <c r="Y77" s="0" t="n">
        <f aca="false">(M77*(1-X77)+N77*X77)*D77+M77*E77</f>
        <v>744.082392388945</v>
      </c>
      <c r="Z77" s="0" t="n">
        <f aca="false">((1-X77)*O77+X77*P77)*D77+E77*O77</f>
        <v>68.8254991494724</v>
      </c>
      <c r="AA77" s="0" t="n">
        <f aca="false">IF(D77*X77&gt;0,AA76,Q77)</f>
        <v>6</v>
      </c>
      <c r="AB77" s="0" t="n">
        <f aca="false">(X77*D77)</f>
        <v>0</v>
      </c>
      <c r="AC77" s="0" t="n">
        <f aca="false">SUM(AB$10:AB76)/K77</f>
        <v>0</v>
      </c>
      <c r="AD77" s="0" t="n">
        <f aca="false">R77*E77+D77*(X77*S77+(1-X77)*T77)</f>
        <v>-0.257385008237012</v>
      </c>
      <c r="AE77" s="0" t="n">
        <f aca="false">Z77</f>
        <v>68.8254991494724</v>
      </c>
      <c r="AF77" s="0" t="n">
        <f aca="false">E77*O77</f>
        <v>68.8254991494724</v>
      </c>
      <c r="AG77" s="0" t="n">
        <f aca="false">((1-X77)*O77+X77*P77)*D77</f>
        <v>0</v>
      </c>
      <c r="AH77" s="0" t="n">
        <f aca="false">D77*(LN(EXP(S77)+EXP(T77)))</f>
        <v>-0</v>
      </c>
      <c r="AJ77" s="0" t="n">
        <f aca="false">$J$5</f>
        <v>10</v>
      </c>
      <c r="AK77" s="4" t="n">
        <f aca="false">AJ77+MAX(K77,AK$10:AK76)</f>
        <v>744.082392388945</v>
      </c>
      <c r="AL77" s="5" t="n">
        <f aca="false">AK77-K77</f>
        <v>68.8254991494724</v>
      </c>
      <c r="AM77" s="0" t="n">
        <f aca="false">-G77*AL77/3600</f>
        <v>-0.257385008237012</v>
      </c>
      <c r="AN77" s="0" t="n">
        <f aca="false">-H77*AL77/3600</f>
        <v>-0.328735115425835</v>
      </c>
      <c r="AO77" s="0" t="n">
        <f aca="false">AM77*E77+AN77*D77</f>
        <v>-0.257385008237012</v>
      </c>
      <c r="AP77" s="0" t="n">
        <f aca="false">AL77*D77</f>
        <v>0</v>
      </c>
      <c r="AR77" s="0" t="n">
        <f aca="false">AN77*D77</f>
        <v>-0</v>
      </c>
      <c r="AS77" s="0" t="n">
        <f aca="false">AH77-AR77</f>
        <v>0</v>
      </c>
    </row>
    <row r="78" customFormat="false" ht="12" hidden="false" customHeight="false" outlineLevel="0" collapsed="false">
      <c r="A78" s="3" t="n">
        <f aca="false">A77+1</f>
        <v>69</v>
      </c>
      <c r="B78" s="3" t="n">
        <f aca="false">IF(A78&lt;$N$4/3,0.1,(IF(A78&gt;2*$N$4/3,0.05,0.12)))</f>
        <v>0.1</v>
      </c>
      <c r="C78" s="4" t="n">
        <f aca="true">RAND()</f>
        <v>0.447016991171371</v>
      </c>
      <c r="D78" s="0" t="n">
        <f aca="false">IF((C78&gt;$M$2),1,0)</f>
        <v>0</v>
      </c>
      <c r="E78" s="0" t="n">
        <f aca="false">1-D78</f>
        <v>1</v>
      </c>
      <c r="F78" s="0" t="n">
        <f aca="true">RAND()</f>
        <v>0.0964927169507633</v>
      </c>
      <c r="G78" s="0" t="n">
        <f aca="false">7.75+F78*10</f>
        <v>8.71492716950763</v>
      </c>
      <c r="H78" s="0" t="n">
        <f aca="false">LOGINV(F78,2.64,1.139)</f>
        <v>3.18117947490606</v>
      </c>
      <c r="I78" s="0" t="n">
        <v>19.5</v>
      </c>
      <c r="J78" s="4" t="n">
        <f aca="true">-LN(RAND())/B78</f>
        <v>10.4137161045051</v>
      </c>
      <c r="K78" s="4" t="n">
        <f aca="false">K77+J78</f>
        <v>685.670609343978</v>
      </c>
      <c r="L78" s="4" t="n">
        <f aca="false">(1/$J$4)*(1+AB77)</f>
        <v>10</v>
      </c>
      <c r="M78" s="4" t="n">
        <f aca="false">L78+MAX(K78,Y$10:Y77)</f>
        <v>754.082392388945</v>
      </c>
      <c r="N78" s="4" t="n">
        <f aca="false">K78</f>
        <v>685.670609343978</v>
      </c>
      <c r="O78" s="4" t="n">
        <f aca="false">M78-K78</f>
        <v>68.4117830449673</v>
      </c>
      <c r="P78" s="4" t="n">
        <f aca="false">N78-K78</f>
        <v>0</v>
      </c>
      <c r="Q78" s="4" t="n">
        <f aca="false">A78-MATCH(K78,$M$9:M77,1)</f>
        <v>6</v>
      </c>
      <c r="R78" s="0" t="n">
        <f aca="false">-G78*(O78/3600)</f>
        <v>-0.165612140770291</v>
      </c>
      <c r="S78" s="0" t="n">
        <f aca="false">-1*I78-(H78*(P78/3600))</f>
        <v>-19.5</v>
      </c>
      <c r="T78" s="0" t="n">
        <f aca="false">-H78*(O78/3600)</f>
        <v>-0.0604528222401045</v>
      </c>
      <c r="U78" s="0" t="n">
        <f aca="false">T78-S78</f>
        <v>19.4395471777599</v>
      </c>
      <c r="V78" s="0" t="n">
        <f aca="false">1/(1+EXP(U78))</f>
        <v>3.61003928868019E-009</v>
      </c>
      <c r="W78" s="0" t="n">
        <f aca="true">RAND()</f>
        <v>0.129107863617462</v>
      </c>
      <c r="X78" s="0" t="n">
        <f aca="false">IF(W78&lt;V78,1,0)</f>
        <v>0</v>
      </c>
      <c r="Y78" s="0" t="n">
        <f aca="false">(M78*(1-X78)+N78*X78)*D78+M78*E78</f>
        <v>754.082392388945</v>
      </c>
      <c r="Z78" s="0" t="n">
        <f aca="false">((1-X78)*O78+X78*P78)*D78+E78*O78</f>
        <v>68.4117830449673</v>
      </c>
      <c r="AA78" s="0" t="n">
        <f aca="false">IF(D78*X78&gt;0,AA77,Q78)</f>
        <v>6</v>
      </c>
      <c r="AB78" s="0" t="n">
        <f aca="false">(X78*D78)</f>
        <v>0</v>
      </c>
      <c r="AC78" s="0" t="n">
        <f aca="false">SUM(AB$10:AB77)/K78</f>
        <v>0</v>
      </c>
      <c r="AD78" s="0" t="n">
        <f aca="false">R78*E78+D78*(X78*S78+(1-X78)*T78)</f>
        <v>-0.165612140770291</v>
      </c>
      <c r="AE78" s="0" t="n">
        <f aca="false">Z78</f>
        <v>68.4117830449673</v>
      </c>
      <c r="AF78" s="0" t="n">
        <f aca="false">E78*O78</f>
        <v>68.4117830449673</v>
      </c>
      <c r="AG78" s="0" t="n">
        <f aca="false">((1-X78)*O78+X78*P78)*D78</f>
        <v>0</v>
      </c>
      <c r="AH78" s="0" t="n">
        <f aca="false">D78*(LN(EXP(S78)+EXP(T78)))</f>
        <v>-0</v>
      </c>
      <c r="AJ78" s="0" t="n">
        <f aca="false">$J$5</f>
        <v>10</v>
      </c>
      <c r="AK78" s="4" t="n">
        <f aca="false">AJ78+MAX(K78,AK$10:AK77)</f>
        <v>754.082392388945</v>
      </c>
      <c r="AL78" s="5" t="n">
        <f aca="false">AK78-K78</f>
        <v>68.4117830449673</v>
      </c>
      <c r="AM78" s="0" t="n">
        <f aca="false">-G78*AL78/3600</f>
        <v>-0.165612140770291</v>
      </c>
      <c r="AN78" s="0" t="n">
        <f aca="false">-H78*AL78/3600</f>
        <v>-0.0604528222401046</v>
      </c>
      <c r="AO78" s="0" t="n">
        <f aca="false">AM78*E78+AN78*D78</f>
        <v>-0.165612140770291</v>
      </c>
      <c r="AP78" s="0" t="n">
        <f aca="false">AL78*D78</f>
        <v>0</v>
      </c>
      <c r="AR78" s="0" t="n">
        <f aca="false">AN78*D78</f>
        <v>-0</v>
      </c>
      <c r="AS78" s="0" t="n">
        <f aca="false">AH78-AR78</f>
        <v>0</v>
      </c>
    </row>
    <row r="79" customFormat="false" ht="12" hidden="false" customHeight="false" outlineLevel="0" collapsed="false">
      <c r="A79" s="3" t="n">
        <f aca="false">A78+1</f>
        <v>70</v>
      </c>
      <c r="B79" s="3" t="n">
        <f aca="false">IF(A79&lt;$N$4/3,0.1,(IF(A79&gt;2*$N$4/3,0.05,0.12)))</f>
        <v>0.1</v>
      </c>
      <c r="C79" s="4" t="n">
        <f aca="true">RAND()</f>
        <v>0.718557350491819</v>
      </c>
      <c r="D79" s="0" t="n">
        <f aca="false">IF((C79&gt;$M$2),1,0)</f>
        <v>0</v>
      </c>
      <c r="E79" s="0" t="n">
        <f aca="false">1-D79</f>
        <v>1</v>
      </c>
      <c r="F79" s="0" t="n">
        <f aca="true">RAND()</f>
        <v>0.600915579557483</v>
      </c>
      <c r="G79" s="0" t="n">
        <f aca="false">7.75+F79*10</f>
        <v>13.7591557955748</v>
      </c>
      <c r="H79" s="0" t="n">
        <f aca="false">LOGINV(F79,2.64,1.139)</f>
        <v>18.7512879291793</v>
      </c>
      <c r="I79" s="0" t="n">
        <v>19.5</v>
      </c>
      <c r="J79" s="4" t="n">
        <f aca="true">-LN(RAND())/B79</f>
        <v>2.32725491563243</v>
      </c>
      <c r="K79" s="4" t="n">
        <f aca="false">K78+J79</f>
        <v>687.997864259611</v>
      </c>
      <c r="L79" s="4" t="n">
        <f aca="false">(1/$J$4)*(1+AB78)</f>
        <v>10</v>
      </c>
      <c r="M79" s="4" t="n">
        <f aca="false">L79+MAX(K79,Y$10:Y78)</f>
        <v>764.082392388945</v>
      </c>
      <c r="N79" s="4" t="n">
        <f aca="false">K79</f>
        <v>687.997864259611</v>
      </c>
      <c r="O79" s="4" t="n">
        <f aca="false">M79-K79</f>
        <v>76.0845281293348</v>
      </c>
      <c r="P79" s="4" t="n">
        <f aca="false">N79-K79</f>
        <v>0</v>
      </c>
      <c r="Q79" s="4" t="n">
        <f aca="false">A79-MATCH(K79,$M$9:M78,1)</f>
        <v>7</v>
      </c>
      <c r="R79" s="0" t="n">
        <f aca="false">-G79*(O79/3600)</f>
        <v>-0.290794132267865</v>
      </c>
      <c r="S79" s="0" t="n">
        <f aca="false">-1*I79-(H79*(P79/3600))</f>
        <v>-19.5</v>
      </c>
      <c r="T79" s="0" t="n">
        <f aca="false">-H79*(O79/3600)</f>
        <v>-0.396300803863582</v>
      </c>
      <c r="U79" s="0" t="n">
        <f aca="false">T79-S79</f>
        <v>19.1036991961364</v>
      </c>
      <c r="V79" s="0" t="n">
        <f aca="false">1/(1+EXP(U79))</f>
        <v>5.05090096234277E-009</v>
      </c>
      <c r="W79" s="0" t="n">
        <f aca="true">RAND()</f>
        <v>0.279447802420821</v>
      </c>
      <c r="X79" s="0" t="n">
        <f aca="false">IF(W79&lt;V79,1,0)</f>
        <v>0</v>
      </c>
      <c r="Y79" s="0" t="n">
        <f aca="false">(M79*(1-X79)+N79*X79)*D79+M79*E79</f>
        <v>764.082392388945</v>
      </c>
      <c r="Z79" s="0" t="n">
        <f aca="false">((1-X79)*O79+X79*P79)*D79+E79*O79</f>
        <v>76.0845281293348</v>
      </c>
      <c r="AA79" s="0" t="n">
        <f aca="false">IF(D79*X79&gt;0,AA78,Q79)</f>
        <v>7</v>
      </c>
      <c r="AB79" s="0" t="n">
        <f aca="false">(X79*D79)</f>
        <v>0</v>
      </c>
      <c r="AC79" s="0" t="n">
        <f aca="false">SUM(AB$10:AB78)/K79</f>
        <v>0</v>
      </c>
      <c r="AD79" s="0" t="n">
        <f aca="false">R79*E79+D79*(X79*S79+(1-X79)*T79)</f>
        <v>-0.290794132267865</v>
      </c>
      <c r="AE79" s="0" t="n">
        <f aca="false">Z79</f>
        <v>76.0845281293348</v>
      </c>
      <c r="AF79" s="0" t="n">
        <f aca="false">E79*O79</f>
        <v>76.0845281293348</v>
      </c>
      <c r="AG79" s="0" t="n">
        <f aca="false">((1-X79)*O79+X79*P79)*D79</f>
        <v>0</v>
      </c>
      <c r="AH79" s="0" t="n">
        <f aca="false">D79*(LN(EXP(S79)+EXP(T79)))</f>
        <v>-0</v>
      </c>
      <c r="AJ79" s="0" t="n">
        <f aca="false">$J$5</f>
        <v>10</v>
      </c>
      <c r="AK79" s="4" t="n">
        <f aca="false">AJ79+MAX(K79,AK$10:AK78)</f>
        <v>764.082392388945</v>
      </c>
      <c r="AL79" s="5" t="n">
        <f aca="false">AK79-K79</f>
        <v>76.0845281293348</v>
      </c>
      <c r="AM79" s="0" t="n">
        <f aca="false">-G79*AL79/3600</f>
        <v>-0.290794132267865</v>
      </c>
      <c r="AN79" s="0" t="n">
        <f aca="false">-H79*AL79/3600</f>
        <v>-0.396300803863582</v>
      </c>
      <c r="AO79" s="0" t="n">
        <f aca="false">AM79*E79+AN79*D79</f>
        <v>-0.290794132267865</v>
      </c>
      <c r="AP79" s="0" t="n">
        <f aca="false">AL79*D79</f>
        <v>0</v>
      </c>
      <c r="AR79" s="0" t="n">
        <f aca="false">AN79*D79</f>
        <v>-0</v>
      </c>
      <c r="AS79" s="0" t="n">
        <f aca="false">AH79-AR79</f>
        <v>0</v>
      </c>
    </row>
    <row r="80" customFormat="false" ht="12" hidden="false" customHeight="false" outlineLevel="0" collapsed="false">
      <c r="A80" s="3" t="n">
        <f aca="false">A79+1</f>
        <v>71</v>
      </c>
      <c r="B80" s="3" t="n">
        <f aca="false">IF(A80&lt;$N$4/3,0.1,(IF(A80&gt;2*$N$4/3,0.05,0.12)))</f>
        <v>0.1</v>
      </c>
      <c r="C80" s="4" t="n">
        <f aca="true">RAND()</f>
        <v>0.564146993932593</v>
      </c>
      <c r="D80" s="0" t="n">
        <f aca="false">IF((C80&gt;$M$2),1,0)</f>
        <v>0</v>
      </c>
      <c r="E80" s="0" t="n">
        <f aca="false">1-D80</f>
        <v>1</v>
      </c>
      <c r="F80" s="0" t="n">
        <f aca="true">RAND()</f>
        <v>0.113392119777939</v>
      </c>
      <c r="G80" s="0" t="n">
        <f aca="false">7.75+F80*10</f>
        <v>8.88392119777939</v>
      </c>
      <c r="H80" s="0" t="n">
        <f aca="false">LOGINV(F80,2.64,1.139)</f>
        <v>3.53710583139451</v>
      </c>
      <c r="I80" s="0" t="n">
        <v>19.5</v>
      </c>
      <c r="J80" s="4" t="n">
        <f aca="true">-LN(RAND())/B80</f>
        <v>5.71438079638144</v>
      </c>
      <c r="K80" s="4" t="n">
        <f aca="false">K79+J80</f>
        <v>693.712245055992</v>
      </c>
      <c r="L80" s="4" t="n">
        <f aca="false">(1/$J$4)*(1+AB79)</f>
        <v>10</v>
      </c>
      <c r="M80" s="4" t="n">
        <f aca="false">L80+MAX(K80,Y$10:Y79)</f>
        <v>774.082392388945</v>
      </c>
      <c r="N80" s="4" t="n">
        <f aca="false">K80</f>
        <v>693.712245055992</v>
      </c>
      <c r="O80" s="4" t="n">
        <f aca="false">M80-K80</f>
        <v>80.3701473329534</v>
      </c>
      <c r="P80" s="4" t="n">
        <f aca="false">N80-K80</f>
        <v>0</v>
      </c>
      <c r="Q80" s="4" t="n">
        <f aca="false">A80-MATCH(K80,$M$9:M79,1)</f>
        <v>8</v>
      </c>
      <c r="R80" s="0" t="n">
        <f aca="false">-G80*(O80/3600)</f>
        <v>-0.198333904322188</v>
      </c>
      <c r="S80" s="0" t="n">
        <f aca="false">-1*I80-(H80*(P80/3600))</f>
        <v>-19.5</v>
      </c>
      <c r="T80" s="0" t="n">
        <f aca="false">-H80*(O80/3600)</f>
        <v>-0.0789660324448404</v>
      </c>
      <c r="U80" s="0" t="n">
        <f aca="false">T80-S80</f>
        <v>19.4210339675552</v>
      </c>
      <c r="V80" s="0" t="n">
        <f aca="false">1/(1+EXP(U80))</f>
        <v>3.6774951906433E-009</v>
      </c>
      <c r="W80" s="0" t="n">
        <f aca="true">RAND()</f>
        <v>0.0158627483880582</v>
      </c>
      <c r="X80" s="0" t="n">
        <f aca="false">IF(W80&lt;V80,1,0)</f>
        <v>0</v>
      </c>
      <c r="Y80" s="0" t="n">
        <f aca="false">(M80*(1-X80)+N80*X80)*D80+M80*E80</f>
        <v>774.082392388945</v>
      </c>
      <c r="Z80" s="0" t="n">
        <f aca="false">((1-X80)*O80+X80*P80)*D80+E80*O80</f>
        <v>80.3701473329534</v>
      </c>
      <c r="AA80" s="0" t="n">
        <f aca="false">IF(D80*X80&gt;0,AA79,Q80)</f>
        <v>8</v>
      </c>
      <c r="AB80" s="0" t="n">
        <f aca="false">(X80*D80)</f>
        <v>0</v>
      </c>
      <c r="AC80" s="0" t="n">
        <f aca="false">SUM(AB$10:AB79)/K80</f>
        <v>0</v>
      </c>
      <c r="AD80" s="0" t="n">
        <f aca="false">R80*E80+D80*(X80*S80+(1-X80)*T80)</f>
        <v>-0.198333904322188</v>
      </c>
      <c r="AE80" s="0" t="n">
        <f aca="false">Z80</f>
        <v>80.3701473329534</v>
      </c>
      <c r="AF80" s="0" t="n">
        <f aca="false">E80*O80</f>
        <v>80.3701473329534</v>
      </c>
      <c r="AG80" s="0" t="n">
        <f aca="false">((1-X80)*O80+X80*P80)*D80</f>
        <v>0</v>
      </c>
      <c r="AH80" s="0" t="n">
        <f aca="false">D80*(LN(EXP(S80)+EXP(T80)))</f>
        <v>-0</v>
      </c>
      <c r="AJ80" s="0" t="n">
        <f aca="false">$J$5</f>
        <v>10</v>
      </c>
      <c r="AK80" s="4" t="n">
        <f aca="false">AJ80+MAX(K80,AK$10:AK79)</f>
        <v>774.082392388945</v>
      </c>
      <c r="AL80" s="5" t="n">
        <f aca="false">AK80-K80</f>
        <v>80.3701473329534</v>
      </c>
      <c r="AM80" s="0" t="n">
        <f aca="false">-G80*AL80/3600</f>
        <v>-0.198333904322188</v>
      </c>
      <c r="AN80" s="0" t="n">
        <f aca="false">-H80*AL80/3600</f>
        <v>-0.0789660324448404</v>
      </c>
      <c r="AO80" s="0" t="n">
        <f aca="false">AM80*E80+AN80*D80</f>
        <v>-0.198333904322188</v>
      </c>
      <c r="AP80" s="0" t="n">
        <f aca="false">AL80*D80</f>
        <v>0</v>
      </c>
      <c r="AR80" s="0" t="n">
        <f aca="false">AN80*D80</f>
        <v>-0</v>
      </c>
      <c r="AS80" s="0" t="n">
        <f aca="false">AH80-AR80</f>
        <v>0</v>
      </c>
    </row>
    <row r="81" customFormat="false" ht="12" hidden="false" customHeight="false" outlineLevel="0" collapsed="false">
      <c r="A81" s="3" t="n">
        <f aca="false">A80+1</f>
        <v>72</v>
      </c>
      <c r="B81" s="3" t="n">
        <f aca="false">IF(A81&lt;$N$4/3,0.1,(IF(A81&gt;2*$N$4/3,0.05,0.12)))</f>
        <v>0.1</v>
      </c>
      <c r="C81" s="4" t="n">
        <f aca="true">RAND()</f>
        <v>0.576708047006168</v>
      </c>
      <c r="D81" s="0" t="n">
        <f aca="false">IF((C81&gt;$M$2),1,0)</f>
        <v>0</v>
      </c>
      <c r="E81" s="0" t="n">
        <f aca="false">1-D81</f>
        <v>1</v>
      </c>
      <c r="F81" s="0" t="n">
        <f aca="true">RAND()</f>
        <v>0.287684117218099</v>
      </c>
      <c r="G81" s="0" t="n">
        <f aca="false">7.75+F81*10</f>
        <v>10.626841172181</v>
      </c>
      <c r="H81" s="0" t="n">
        <f aca="false">LOGINV(F81,2.64,1.139)</f>
        <v>7.40365870208471</v>
      </c>
      <c r="I81" s="0" t="n">
        <v>19.5</v>
      </c>
      <c r="J81" s="4" t="n">
        <f aca="true">-LN(RAND())/B81</f>
        <v>6.96267001827823</v>
      </c>
      <c r="K81" s="4" t="n">
        <f aca="false">K80+J81</f>
        <v>700.67491507427</v>
      </c>
      <c r="L81" s="4" t="n">
        <f aca="false">(1/$J$4)*(1+AB80)</f>
        <v>10</v>
      </c>
      <c r="M81" s="4" t="n">
        <f aca="false">L81+MAX(K81,Y$10:Y80)</f>
        <v>784.082392388945</v>
      </c>
      <c r="N81" s="4" t="n">
        <f aca="false">K81</f>
        <v>700.67491507427</v>
      </c>
      <c r="O81" s="4" t="n">
        <f aca="false">M81-K81</f>
        <v>83.4074773146751</v>
      </c>
      <c r="P81" s="4" t="n">
        <f aca="false">N81-K81</f>
        <v>0</v>
      </c>
      <c r="Q81" s="4" t="n">
        <f aca="false">A81-MATCH(K81,$M$9:M80,1)</f>
        <v>8</v>
      </c>
      <c r="R81" s="0" t="n">
        <f aca="false">-G81*(O81/3600)</f>
        <v>-0.24621055944315</v>
      </c>
      <c r="S81" s="0" t="n">
        <f aca="false">-1*I81-(H81*(P81/3600))</f>
        <v>-19.5</v>
      </c>
      <c r="T81" s="0" t="n">
        <f aca="false">-H81*(O81/3600)</f>
        <v>-0.171533470899924</v>
      </c>
      <c r="U81" s="0" t="n">
        <f aca="false">T81-S81</f>
        <v>19.3284665291001</v>
      </c>
      <c r="V81" s="0" t="n">
        <f aca="false">1/(1+EXP(U81))</f>
        <v>4.03416484987434E-009</v>
      </c>
      <c r="W81" s="0" t="n">
        <f aca="true">RAND()</f>
        <v>0.592283838870907</v>
      </c>
      <c r="X81" s="0" t="n">
        <f aca="false">IF(W81&lt;V81,1,0)</f>
        <v>0</v>
      </c>
      <c r="Y81" s="0" t="n">
        <f aca="false">(M81*(1-X81)+N81*X81)*D81+M81*E81</f>
        <v>784.082392388945</v>
      </c>
      <c r="Z81" s="0" t="n">
        <f aca="false">((1-X81)*O81+X81*P81)*D81+E81*O81</f>
        <v>83.4074773146751</v>
      </c>
      <c r="AA81" s="0" t="n">
        <f aca="false">IF(D81*X81&gt;0,AA80,Q81)</f>
        <v>8</v>
      </c>
      <c r="AB81" s="0" t="n">
        <f aca="false">(X81*D81)</f>
        <v>0</v>
      </c>
      <c r="AC81" s="0" t="n">
        <f aca="false">SUM(AB$10:AB80)/K81</f>
        <v>0</v>
      </c>
      <c r="AD81" s="0" t="n">
        <f aca="false">R81*E81+D81*(X81*S81+(1-X81)*T81)</f>
        <v>-0.24621055944315</v>
      </c>
      <c r="AE81" s="0" t="n">
        <f aca="false">Z81</f>
        <v>83.4074773146751</v>
      </c>
      <c r="AF81" s="0" t="n">
        <f aca="false">E81*O81</f>
        <v>83.4074773146751</v>
      </c>
      <c r="AG81" s="0" t="n">
        <f aca="false">((1-X81)*O81+X81*P81)*D81</f>
        <v>0</v>
      </c>
      <c r="AH81" s="0" t="n">
        <f aca="false">D81*(LN(EXP(S81)+EXP(T81)))</f>
        <v>-0</v>
      </c>
      <c r="AJ81" s="0" t="n">
        <f aca="false">$J$5</f>
        <v>10</v>
      </c>
      <c r="AK81" s="4" t="n">
        <f aca="false">AJ81+MAX(K81,AK$10:AK80)</f>
        <v>784.082392388945</v>
      </c>
      <c r="AL81" s="5" t="n">
        <f aca="false">AK81-K81</f>
        <v>83.4074773146751</v>
      </c>
      <c r="AM81" s="0" t="n">
        <f aca="false">-G81*AL81/3600</f>
        <v>-0.24621055944315</v>
      </c>
      <c r="AN81" s="0" t="n">
        <f aca="false">-H81*AL81/3600</f>
        <v>-0.171533470899924</v>
      </c>
      <c r="AO81" s="0" t="n">
        <f aca="false">AM81*E81+AN81*D81</f>
        <v>-0.24621055944315</v>
      </c>
      <c r="AP81" s="0" t="n">
        <f aca="false">AL81*D81</f>
        <v>0</v>
      </c>
      <c r="AR81" s="0" t="n">
        <f aca="false">AN81*D81</f>
        <v>-0</v>
      </c>
      <c r="AS81" s="0" t="n">
        <f aca="false">AH81-AR81</f>
        <v>0</v>
      </c>
    </row>
    <row r="82" customFormat="false" ht="12" hidden="false" customHeight="false" outlineLevel="0" collapsed="false">
      <c r="A82" s="3" t="n">
        <f aca="false">A81+1</f>
        <v>73</v>
      </c>
      <c r="B82" s="3" t="n">
        <f aca="false">IF(A82&lt;$N$4/3,0.1,(IF(A82&gt;2*$N$4/3,0.05,0.12)))</f>
        <v>0.1</v>
      </c>
      <c r="C82" s="4" t="n">
        <f aca="true">RAND()</f>
        <v>0.734428400973879</v>
      </c>
      <c r="D82" s="0" t="n">
        <f aca="false">IF((C82&gt;$M$2),1,0)</f>
        <v>0</v>
      </c>
      <c r="E82" s="0" t="n">
        <f aca="false">1-D82</f>
        <v>1</v>
      </c>
      <c r="F82" s="0" t="n">
        <f aca="true">RAND()</f>
        <v>0.472638008144064</v>
      </c>
      <c r="G82" s="0" t="n">
        <f aca="false">7.75+F82*10</f>
        <v>12.4763800814406</v>
      </c>
      <c r="H82" s="0" t="n">
        <f aca="false">LOGINV(F82,2.64,1.139)</f>
        <v>12.9593664906927</v>
      </c>
      <c r="I82" s="0" t="n">
        <v>19.5</v>
      </c>
      <c r="J82" s="4" t="n">
        <f aca="true">-LN(RAND())/B82</f>
        <v>10.4746709149805</v>
      </c>
      <c r="K82" s="4" t="n">
        <f aca="false">K81+J82</f>
        <v>711.149585989251</v>
      </c>
      <c r="L82" s="4" t="n">
        <f aca="false">(1/$J$4)*(1+AB81)</f>
        <v>10</v>
      </c>
      <c r="M82" s="4" t="n">
        <f aca="false">L82+MAX(K82,Y$10:Y81)</f>
        <v>794.082392388945</v>
      </c>
      <c r="N82" s="4" t="n">
        <f aca="false">K82</f>
        <v>711.149585989251</v>
      </c>
      <c r="O82" s="4" t="n">
        <f aca="false">M82-K82</f>
        <v>82.9328063996946</v>
      </c>
      <c r="P82" s="4" t="n">
        <f aca="false">N82-K82</f>
        <v>0</v>
      </c>
      <c r="Q82" s="4" t="n">
        <f aca="false">A82-MATCH(K82,$M$9:M81,1)</f>
        <v>8</v>
      </c>
      <c r="R82" s="0" t="n">
        <f aca="false">-G82*(O82/3600)</f>
        <v>-0.287417003850867</v>
      </c>
      <c r="S82" s="0" t="n">
        <f aca="false">-1*I82-(H82*(P82/3600))</f>
        <v>-19.5</v>
      </c>
      <c r="T82" s="0" t="n">
        <f aca="false">-H82*(O82/3600)</f>
        <v>-0.298543508954253</v>
      </c>
      <c r="U82" s="0" t="n">
        <f aca="false">T82-S82</f>
        <v>19.2014564910457</v>
      </c>
      <c r="V82" s="0" t="n">
        <f aca="false">1/(1+EXP(U82))</f>
        <v>4.58050539971202E-009</v>
      </c>
      <c r="W82" s="0" t="n">
        <f aca="true">RAND()</f>
        <v>0.588644851773106</v>
      </c>
      <c r="X82" s="0" t="n">
        <f aca="false">IF(W82&lt;V82,1,0)</f>
        <v>0</v>
      </c>
      <c r="Y82" s="0" t="n">
        <f aca="false">(M82*(1-X82)+N82*X82)*D82+M82*E82</f>
        <v>794.082392388945</v>
      </c>
      <c r="Z82" s="0" t="n">
        <f aca="false">((1-X82)*O82+X82*P82)*D82+E82*O82</f>
        <v>82.9328063996946</v>
      </c>
      <c r="AA82" s="0" t="n">
        <f aca="false">IF(D82*X82&gt;0,AA81,Q82)</f>
        <v>8</v>
      </c>
      <c r="AB82" s="0" t="n">
        <f aca="false">(X82*D82)</f>
        <v>0</v>
      </c>
      <c r="AC82" s="0" t="n">
        <f aca="false">SUM(AB$10:AB81)/K82</f>
        <v>0</v>
      </c>
      <c r="AD82" s="0" t="n">
        <f aca="false">R82*E82+D82*(X82*S82+(1-X82)*T82)</f>
        <v>-0.287417003850867</v>
      </c>
      <c r="AE82" s="0" t="n">
        <f aca="false">Z82</f>
        <v>82.9328063996946</v>
      </c>
      <c r="AF82" s="0" t="n">
        <f aca="false">E82*O82</f>
        <v>82.9328063996946</v>
      </c>
      <c r="AG82" s="0" t="n">
        <f aca="false">((1-X82)*O82+X82*P82)*D82</f>
        <v>0</v>
      </c>
      <c r="AH82" s="0" t="n">
        <f aca="false">D82*(LN(EXP(S82)+EXP(T82)))</f>
        <v>-0</v>
      </c>
      <c r="AJ82" s="0" t="n">
        <f aca="false">$J$5</f>
        <v>10</v>
      </c>
      <c r="AK82" s="4" t="n">
        <f aca="false">AJ82+MAX(K82,AK$10:AK81)</f>
        <v>794.082392388945</v>
      </c>
      <c r="AL82" s="5" t="n">
        <f aca="false">AK82-K82</f>
        <v>82.9328063996946</v>
      </c>
      <c r="AM82" s="0" t="n">
        <f aca="false">-G82*AL82/3600</f>
        <v>-0.287417003850867</v>
      </c>
      <c r="AN82" s="0" t="n">
        <f aca="false">-H82*AL82/3600</f>
        <v>-0.298543508954253</v>
      </c>
      <c r="AO82" s="0" t="n">
        <f aca="false">AM82*E82+AN82*D82</f>
        <v>-0.287417003850867</v>
      </c>
      <c r="AP82" s="0" t="n">
        <f aca="false">AL82*D82</f>
        <v>0</v>
      </c>
      <c r="AR82" s="0" t="n">
        <f aca="false">AN82*D82</f>
        <v>-0</v>
      </c>
      <c r="AS82" s="0" t="n">
        <f aca="false">AH82-AR82</f>
        <v>0</v>
      </c>
    </row>
    <row r="83" customFormat="false" ht="12" hidden="false" customHeight="false" outlineLevel="0" collapsed="false">
      <c r="A83" s="3" t="n">
        <f aca="false">A82+1</f>
        <v>74</v>
      </c>
      <c r="B83" s="3" t="n">
        <f aca="false">IF(A83&lt;$N$4/3,0.1,(IF(A83&gt;2*$N$4/3,0.05,0.12)))</f>
        <v>0.1</v>
      </c>
      <c r="C83" s="4" t="n">
        <f aca="true">RAND()</f>
        <v>0.501684081503571</v>
      </c>
      <c r="D83" s="0" t="n">
        <f aca="false">IF((C83&gt;$M$2),1,0)</f>
        <v>0</v>
      </c>
      <c r="E83" s="0" t="n">
        <f aca="false">1-D83</f>
        <v>1</v>
      </c>
      <c r="F83" s="0" t="n">
        <f aca="true">RAND()</f>
        <v>0.193603157348899</v>
      </c>
      <c r="G83" s="0" t="n">
        <f aca="false">7.75+F83*10</f>
        <v>9.68603157348899</v>
      </c>
      <c r="H83" s="0" t="n">
        <f aca="false">LOGINV(F83,2.64,1.139)</f>
        <v>5.23366921506304</v>
      </c>
      <c r="I83" s="0" t="n">
        <v>19.5</v>
      </c>
      <c r="J83" s="4" t="n">
        <f aca="true">-LN(RAND())/B83</f>
        <v>22.9798711685836</v>
      </c>
      <c r="K83" s="4" t="n">
        <f aca="false">K82+J83</f>
        <v>734.129457157834</v>
      </c>
      <c r="L83" s="4" t="n">
        <f aca="false">(1/$J$4)*(1+AB82)</f>
        <v>10</v>
      </c>
      <c r="M83" s="4" t="n">
        <f aca="false">L83+MAX(K83,Y$10:Y82)</f>
        <v>804.082392388945</v>
      </c>
      <c r="N83" s="4" t="n">
        <f aca="false">K83</f>
        <v>734.129457157834</v>
      </c>
      <c r="O83" s="4" t="n">
        <f aca="false">M83-K83</f>
        <v>69.952935231111</v>
      </c>
      <c r="P83" s="4" t="n">
        <f aca="false">N83-K83</f>
        <v>0</v>
      </c>
      <c r="Q83" s="4" t="n">
        <f aca="false">A83-MATCH(K83,$M$9:M82,1)</f>
        <v>6</v>
      </c>
      <c r="R83" s="0" t="n">
        <f aca="false">-G83*(O83/3600)</f>
        <v>-0.188212872029659</v>
      </c>
      <c r="S83" s="0" t="n">
        <f aca="false">-1*I83-(H83*(P83/3600))</f>
        <v>-19.5</v>
      </c>
      <c r="T83" s="0" t="n">
        <f aca="false">-H83*(O83/3600)</f>
        <v>-0.101697367672879</v>
      </c>
      <c r="U83" s="0" t="n">
        <f aca="false">T83-S83</f>
        <v>19.3983026323271</v>
      </c>
      <c r="V83" s="0" t="n">
        <f aca="false">1/(1+EXP(U83))</f>
        <v>3.76204691235126E-009</v>
      </c>
      <c r="W83" s="0" t="n">
        <f aca="true">RAND()</f>
        <v>0.0723440075967672</v>
      </c>
      <c r="X83" s="0" t="n">
        <f aca="false">IF(W83&lt;V83,1,0)</f>
        <v>0</v>
      </c>
      <c r="Y83" s="0" t="n">
        <f aca="false">(M83*(1-X83)+N83*X83)*D83+M83*E83</f>
        <v>804.082392388945</v>
      </c>
      <c r="Z83" s="0" t="n">
        <f aca="false">((1-X83)*O83+X83*P83)*D83+E83*O83</f>
        <v>69.952935231111</v>
      </c>
      <c r="AA83" s="0" t="n">
        <f aca="false">IF(D83*X83&gt;0,AA82,Q83)</f>
        <v>6</v>
      </c>
      <c r="AB83" s="0" t="n">
        <f aca="false">(X83*D83)</f>
        <v>0</v>
      </c>
      <c r="AC83" s="0" t="n">
        <f aca="false">SUM(AB$10:AB82)/K83</f>
        <v>0</v>
      </c>
      <c r="AD83" s="0" t="n">
        <f aca="false">R83*E83+D83*(X83*S83+(1-X83)*T83)</f>
        <v>-0.188212872029659</v>
      </c>
      <c r="AE83" s="0" t="n">
        <f aca="false">Z83</f>
        <v>69.952935231111</v>
      </c>
      <c r="AF83" s="0" t="n">
        <f aca="false">E83*O83</f>
        <v>69.952935231111</v>
      </c>
      <c r="AG83" s="0" t="n">
        <f aca="false">((1-X83)*O83+X83*P83)*D83</f>
        <v>0</v>
      </c>
      <c r="AH83" s="0" t="n">
        <f aca="false">D83*(LN(EXP(S83)+EXP(T83)))</f>
        <v>-0</v>
      </c>
      <c r="AJ83" s="0" t="n">
        <f aca="false">$J$5</f>
        <v>10</v>
      </c>
      <c r="AK83" s="4" t="n">
        <f aca="false">AJ83+MAX(K83,AK$10:AK82)</f>
        <v>804.082392388945</v>
      </c>
      <c r="AL83" s="5" t="n">
        <f aca="false">AK83-K83</f>
        <v>69.952935231111</v>
      </c>
      <c r="AM83" s="0" t="n">
        <f aca="false">-G83*AL83/3600</f>
        <v>-0.188212872029659</v>
      </c>
      <c r="AN83" s="0" t="n">
        <f aca="false">-H83*AL83/3600</f>
        <v>-0.101697367672879</v>
      </c>
      <c r="AO83" s="0" t="n">
        <f aca="false">AM83*E83+AN83*D83</f>
        <v>-0.188212872029659</v>
      </c>
      <c r="AP83" s="0" t="n">
        <f aca="false">AL83*D83</f>
        <v>0</v>
      </c>
      <c r="AR83" s="0" t="n">
        <f aca="false">AN83*D83</f>
        <v>-0</v>
      </c>
      <c r="AS83" s="0" t="n">
        <f aca="false">AH83-AR83</f>
        <v>0</v>
      </c>
    </row>
    <row r="84" customFormat="false" ht="12" hidden="false" customHeight="false" outlineLevel="0" collapsed="false">
      <c r="A84" s="3" t="n">
        <f aca="false">A83+1</f>
        <v>75</v>
      </c>
      <c r="B84" s="3" t="n">
        <f aca="false">IF(A84&lt;$N$4/3,0.1,(IF(A84&gt;2*$N$4/3,0.05,0.12)))</f>
        <v>0.1</v>
      </c>
      <c r="C84" s="4" t="n">
        <f aca="true">RAND()</f>
        <v>0.354475068621005</v>
      </c>
      <c r="D84" s="0" t="n">
        <f aca="false">IF((C84&gt;$M$2),1,0)</f>
        <v>0</v>
      </c>
      <c r="E84" s="0" t="n">
        <f aca="false">1-D84</f>
        <v>1</v>
      </c>
      <c r="F84" s="0" t="n">
        <f aca="true">RAND()</f>
        <v>0.562611547555428</v>
      </c>
      <c r="G84" s="0" t="n">
        <f aca="false">7.75+F84*10</f>
        <v>13.3761154755543</v>
      </c>
      <c r="H84" s="0" t="n">
        <f aca="false">LOGINV(F84,2.64,1.139)</f>
        <v>16.7684528709024</v>
      </c>
      <c r="I84" s="0" t="n">
        <v>19.5</v>
      </c>
      <c r="J84" s="4" t="n">
        <f aca="true">-LN(RAND())/B84</f>
        <v>4.39556546349396</v>
      </c>
      <c r="K84" s="4" t="n">
        <f aca="false">K83+J84</f>
        <v>738.525022621328</v>
      </c>
      <c r="L84" s="4" t="n">
        <f aca="false">(1/$J$4)*(1+AB83)</f>
        <v>10</v>
      </c>
      <c r="M84" s="4" t="n">
        <f aca="false">L84+MAX(K84,Y$10:Y83)</f>
        <v>814.082392388945</v>
      </c>
      <c r="N84" s="4" t="n">
        <f aca="false">K84</f>
        <v>738.525022621328</v>
      </c>
      <c r="O84" s="4" t="n">
        <f aca="false">M84-K84</f>
        <v>75.5573697676171</v>
      </c>
      <c r="P84" s="4" t="n">
        <f aca="false">N84-K84</f>
        <v>0</v>
      </c>
      <c r="Q84" s="4" t="n">
        <f aca="false">A84-MATCH(K84,$M$9:M83,1)</f>
        <v>7</v>
      </c>
      <c r="R84" s="0" t="n">
        <f aca="false">-G84*(O84/3600)</f>
        <v>-0.280740028622444</v>
      </c>
      <c r="S84" s="0" t="n">
        <f aca="false">-1*I84-(H84*(P84/3600))</f>
        <v>-19.5</v>
      </c>
      <c r="T84" s="0" t="n">
        <f aca="false">-H84*(O84/3600)</f>
        <v>-0.351938942777121</v>
      </c>
      <c r="U84" s="0" t="n">
        <f aca="false">T84-S84</f>
        <v>19.1480610572229</v>
      </c>
      <c r="V84" s="0" t="n">
        <f aca="false">1/(1+EXP(U84))</f>
        <v>4.83173093399252E-009</v>
      </c>
      <c r="W84" s="0" t="n">
        <f aca="true">RAND()</f>
        <v>0.149074791218439</v>
      </c>
      <c r="X84" s="0" t="n">
        <f aca="false">IF(W84&lt;V84,1,0)</f>
        <v>0</v>
      </c>
      <c r="Y84" s="0" t="n">
        <f aca="false">(M84*(1-X84)+N84*X84)*D84+M84*E84</f>
        <v>814.082392388945</v>
      </c>
      <c r="Z84" s="0" t="n">
        <f aca="false">((1-X84)*O84+X84*P84)*D84+E84*O84</f>
        <v>75.5573697676171</v>
      </c>
      <c r="AA84" s="0" t="n">
        <f aca="false">IF(D84*X84&gt;0,AA83,Q84)</f>
        <v>7</v>
      </c>
      <c r="AB84" s="0" t="n">
        <f aca="false">(X84*D84)</f>
        <v>0</v>
      </c>
      <c r="AC84" s="0" t="n">
        <f aca="false">SUM(AB$10:AB83)/K84</f>
        <v>0</v>
      </c>
      <c r="AD84" s="0" t="n">
        <f aca="false">R84*E84+D84*(X84*S84+(1-X84)*T84)</f>
        <v>-0.280740028622444</v>
      </c>
      <c r="AE84" s="0" t="n">
        <f aca="false">Z84</f>
        <v>75.5573697676171</v>
      </c>
      <c r="AF84" s="0" t="n">
        <f aca="false">E84*O84</f>
        <v>75.5573697676171</v>
      </c>
      <c r="AG84" s="0" t="n">
        <f aca="false">((1-X84)*O84+X84*P84)*D84</f>
        <v>0</v>
      </c>
      <c r="AH84" s="0" t="n">
        <f aca="false">D84*(LN(EXP(S84)+EXP(T84)))</f>
        <v>-0</v>
      </c>
      <c r="AJ84" s="0" t="n">
        <f aca="false">$J$5</f>
        <v>10</v>
      </c>
      <c r="AK84" s="4" t="n">
        <f aca="false">AJ84+MAX(K84,AK$10:AK83)</f>
        <v>814.082392388945</v>
      </c>
      <c r="AL84" s="5" t="n">
        <f aca="false">AK84-K84</f>
        <v>75.5573697676171</v>
      </c>
      <c r="AM84" s="0" t="n">
        <f aca="false">-G84*AL84/3600</f>
        <v>-0.280740028622444</v>
      </c>
      <c r="AN84" s="0" t="n">
        <f aca="false">-H84*AL84/3600</f>
        <v>-0.351938942777121</v>
      </c>
      <c r="AO84" s="0" t="n">
        <f aca="false">AM84*E84+AN84*D84</f>
        <v>-0.280740028622444</v>
      </c>
      <c r="AP84" s="0" t="n">
        <f aca="false">AL84*D84</f>
        <v>0</v>
      </c>
      <c r="AR84" s="0" t="n">
        <f aca="false">AN84*D84</f>
        <v>-0</v>
      </c>
      <c r="AS84" s="0" t="n">
        <f aca="false">AH84-AR84</f>
        <v>0</v>
      </c>
    </row>
    <row r="85" customFormat="false" ht="12" hidden="false" customHeight="false" outlineLevel="0" collapsed="false">
      <c r="A85" s="3" t="n">
        <f aca="false">A84+1</f>
        <v>76</v>
      </c>
      <c r="B85" s="3" t="n">
        <f aca="false">IF(A85&lt;$N$4/3,0.1,(IF(A85&gt;2*$N$4/3,0.05,0.12)))</f>
        <v>0.1</v>
      </c>
      <c r="C85" s="4" t="n">
        <f aca="true">RAND()</f>
        <v>0.937172785167791</v>
      </c>
      <c r="D85" s="0" t="n">
        <f aca="false">IF((C85&gt;$M$2),1,0)</f>
        <v>1</v>
      </c>
      <c r="E85" s="0" t="n">
        <f aca="false">1-D85</f>
        <v>0</v>
      </c>
      <c r="F85" s="0" t="n">
        <f aca="true">RAND()</f>
        <v>0.0872991676848945</v>
      </c>
      <c r="G85" s="0" t="n">
        <f aca="false">7.75+F85*10</f>
        <v>8.62299167684895</v>
      </c>
      <c r="H85" s="0" t="n">
        <f aca="false">LOGINV(F85,2.64,1.139)</f>
        <v>2.9853625498533</v>
      </c>
      <c r="I85" s="0" t="n">
        <v>19.5</v>
      </c>
      <c r="J85" s="4" t="n">
        <f aca="true">-LN(RAND())/B85</f>
        <v>4.27656016407094</v>
      </c>
      <c r="K85" s="4" t="n">
        <f aca="false">K84+J85</f>
        <v>742.801582785399</v>
      </c>
      <c r="L85" s="4" t="n">
        <f aca="false">(1/$J$4)*(1+AB84)</f>
        <v>10</v>
      </c>
      <c r="M85" s="4" t="n">
        <f aca="false">L85+MAX(K85,Y$10:Y84)</f>
        <v>824.082392388945</v>
      </c>
      <c r="N85" s="4" t="n">
        <f aca="false">K85</f>
        <v>742.801582785399</v>
      </c>
      <c r="O85" s="4" t="n">
        <f aca="false">M85-K85</f>
        <v>81.2808096035461</v>
      </c>
      <c r="P85" s="4" t="n">
        <f aca="false">N85-K85</f>
        <v>0</v>
      </c>
      <c r="Q85" s="4" t="n">
        <f aca="false">A85-MATCH(K85,$M$9:M84,1)</f>
        <v>8</v>
      </c>
      <c r="R85" s="0" t="n">
        <f aca="false">-G85*(O85/3600)</f>
        <v>-0.194689929083034</v>
      </c>
      <c r="S85" s="0" t="n">
        <f aca="false">-1*I85-(H85*(P85/3600))</f>
        <v>-19.5</v>
      </c>
      <c r="T85" s="0" t="n">
        <f aca="false">-H85*(O85/3600)</f>
        <v>-0.0674035236144953</v>
      </c>
      <c r="U85" s="0" t="n">
        <f aca="false">T85-S85</f>
        <v>19.4325964763855</v>
      </c>
      <c r="V85" s="0" t="n">
        <f aca="false">1/(1+EXP(U85))</f>
        <v>3.63521900058952E-009</v>
      </c>
      <c r="W85" s="0" t="n">
        <f aca="true">RAND()</f>
        <v>0.57317144082006</v>
      </c>
      <c r="X85" s="0" t="n">
        <f aca="false">IF(W85&lt;V85,1,0)</f>
        <v>0</v>
      </c>
      <c r="Y85" s="0" t="n">
        <f aca="false">(M85*(1-X85)+N85*X85)*D85+M85*E85</f>
        <v>824.082392388945</v>
      </c>
      <c r="Z85" s="0" t="n">
        <f aca="false">((1-X85)*O85+X85*P85)*D85+E85*O85</f>
        <v>81.2808096035461</v>
      </c>
      <c r="AA85" s="0" t="n">
        <f aca="false">IF(D85*X85&gt;0,AA84,Q85)</f>
        <v>8</v>
      </c>
      <c r="AB85" s="0" t="n">
        <f aca="false">(X85*D85)</f>
        <v>0</v>
      </c>
      <c r="AC85" s="0" t="n">
        <f aca="false">SUM(AB$10:AB84)/K85</f>
        <v>0</v>
      </c>
      <c r="AD85" s="0" t="n">
        <f aca="false">R85*E85+D85*(X85*S85+(1-X85)*T85)</f>
        <v>-0.0674035236144953</v>
      </c>
      <c r="AE85" s="0" t="n">
        <f aca="false">Z85</f>
        <v>81.2808096035461</v>
      </c>
      <c r="AF85" s="0" t="n">
        <f aca="false">E85*O85</f>
        <v>0</v>
      </c>
      <c r="AG85" s="0" t="n">
        <f aca="false">((1-X85)*O85+X85*P85)*D85</f>
        <v>81.2808096035461</v>
      </c>
      <c r="AH85" s="0" t="n">
        <f aca="false">D85*(LN(EXP(S85)+EXP(T85)))</f>
        <v>-0.0674035199792763</v>
      </c>
      <c r="AJ85" s="0" t="n">
        <f aca="false">$J$5</f>
        <v>10</v>
      </c>
      <c r="AK85" s="4" t="n">
        <f aca="false">AJ85+MAX(K85,AK$10:AK84)</f>
        <v>824.082392388945</v>
      </c>
      <c r="AL85" s="5" t="n">
        <f aca="false">AK85-K85</f>
        <v>81.2808096035461</v>
      </c>
      <c r="AM85" s="0" t="n">
        <f aca="false">-G85*AL85/3600</f>
        <v>-0.194689929083034</v>
      </c>
      <c r="AN85" s="0" t="n">
        <f aca="false">-H85*AL85/3600</f>
        <v>-0.0674035236144953</v>
      </c>
      <c r="AO85" s="0" t="n">
        <f aca="false">AM85*E85+AN85*D85</f>
        <v>-0.0674035236144953</v>
      </c>
      <c r="AP85" s="0" t="n">
        <f aca="false">AL85*D85</f>
        <v>81.2808096035461</v>
      </c>
      <c r="AR85" s="0" t="n">
        <f aca="false">AN85*D85</f>
        <v>-0.0674035236144953</v>
      </c>
      <c r="AS85" s="0" t="n">
        <f aca="false">AH85-AR85</f>
        <v>3.63521902857489E-009</v>
      </c>
    </row>
    <row r="86" customFormat="false" ht="12" hidden="false" customHeight="false" outlineLevel="0" collapsed="false">
      <c r="A86" s="3" t="n">
        <f aca="false">A85+1</f>
        <v>77</v>
      </c>
      <c r="B86" s="3" t="n">
        <f aca="false">IF(A86&lt;$N$4/3,0.1,(IF(A86&gt;2*$N$4/3,0.05,0.12)))</f>
        <v>0.1</v>
      </c>
      <c r="C86" s="4" t="n">
        <f aca="true">RAND()</f>
        <v>0.813339431823659</v>
      </c>
      <c r="D86" s="0" t="n">
        <f aca="false">IF((C86&gt;$M$2),1,0)</f>
        <v>0</v>
      </c>
      <c r="E86" s="0" t="n">
        <f aca="false">1-D86</f>
        <v>1</v>
      </c>
      <c r="F86" s="0" t="n">
        <f aca="true">RAND()</f>
        <v>0.623958911681352</v>
      </c>
      <c r="G86" s="0" t="n">
        <f aca="false">7.75+F86*10</f>
        <v>13.9895891168135</v>
      </c>
      <c r="H86" s="0" t="n">
        <f aca="false">LOGINV(F86,2.64,1.139)</f>
        <v>20.0816095970505</v>
      </c>
      <c r="I86" s="0" t="n">
        <v>19.5</v>
      </c>
      <c r="J86" s="4" t="n">
        <f aca="true">-LN(RAND())/B86</f>
        <v>0.53062223677894</v>
      </c>
      <c r="K86" s="4" t="n">
        <f aca="false">K85+J86</f>
        <v>743.332205022178</v>
      </c>
      <c r="L86" s="4" t="n">
        <f aca="false">(1/$J$4)*(1+AB85)</f>
        <v>10</v>
      </c>
      <c r="M86" s="4" t="n">
        <f aca="false">L86+MAX(K86,Y$10:Y85)</f>
        <v>834.082392388945</v>
      </c>
      <c r="N86" s="4" t="n">
        <f aca="false">K86</f>
        <v>743.332205022178</v>
      </c>
      <c r="O86" s="4" t="n">
        <f aca="false">M86-K86</f>
        <v>90.7501873667671</v>
      </c>
      <c r="P86" s="4" t="n">
        <f aca="false">N86-K86</f>
        <v>0</v>
      </c>
      <c r="Q86" s="4" t="n">
        <f aca="false">A86-MATCH(K86,$M$9:M85,1)</f>
        <v>9</v>
      </c>
      <c r="R86" s="0" t="n">
        <f aca="false">-G86*(O86/3600)</f>
        <v>-0.352654953759698</v>
      </c>
      <c r="S86" s="0" t="n">
        <f aca="false">-1*I86-(H86*(P86/3600))</f>
        <v>-19.5</v>
      </c>
      <c r="T86" s="0" t="n">
        <f aca="false">-H86*(O86/3600)</f>
        <v>-0.506224953766278</v>
      </c>
      <c r="U86" s="0" t="n">
        <f aca="false">T86-S86</f>
        <v>18.9937750462337</v>
      </c>
      <c r="V86" s="0" t="n">
        <f aca="false">1/(1+EXP(U86))</f>
        <v>5.63778233445708E-009</v>
      </c>
      <c r="W86" s="0" t="n">
        <f aca="true">RAND()</f>
        <v>0.736108135146627</v>
      </c>
      <c r="X86" s="0" t="n">
        <f aca="false">IF(W86&lt;V86,1,0)</f>
        <v>0</v>
      </c>
      <c r="Y86" s="0" t="n">
        <f aca="false">(M86*(1-X86)+N86*X86)*D86+M86*E86</f>
        <v>834.082392388945</v>
      </c>
      <c r="Z86" s="0" t="n">
        <f aca="false">((1-X86)*O86+X86*P86)*D86+E86*O86</f>
        <v>90.7501873667671</v>
      </c>
      <c r="AA86" s="0" t="n">
        <f aca="false">IF(D86*X86&gt;0,AA85,Q86)</f>
        <v>9</v>
      </c>
      <c r="AB86" s="0" t="n">
        <f aca="false">(X86*D86)</f>
        <v>0</v>
      </c>
      <c r="AC86" s="0" t="n">
        <f aca="false">SUM(AB$10:AB85)/K86</f>
        <v>0</v>
      </c>
      <c r="AD86" s="0" t="n">
        <f aca="false">R86*E86+D86*(X86*S86+(1-X86)*T86)</f>
        <v>-0.352654953759698</v>
      </c>
      <c r="AE86" s="0" t="n">
        <f aca="false">Z86</f>
        <v>90.7501873667671</v>
      </c>
      <c r="AF86" s="0" t="n">
        <f aca="false">E86*O86</f>
        <v>90.7501873667671</v>
      </c>
      <c r="AG86" s="0" t="n">
        <f aca="false">((1-X86)*O86+X86*P86)*D86</f>
        <v>0</v>
      </c>
      <c r="AH86" s="0" t="n">
        <f aca="false">D86*(LN(EXP(S86)+EXP(T86)))</f>
        <v>-0</v>
      </c>
      <c r="AJ86" s="0" t="n">
        <f aca="false">$J$5</f>
        <v>10</v>
      </c>
      <c r="AK86" s="4" t="n">
        <f aca="false">AJ86+MAX(K86,AK$10:AK85)</f>
        <v>834.082392388945</v>
      </c>
      <c r="AL86" s="5" t="n">
        <f aca="false">AK86-K86</f>
        <v>90.7501873667671</v>
      </c>
      <c r="AM86" s="0" t="n">
        <f aca="false">-G86*AL86/3600</f>
        <v>-0.352654953759698</v>
      </c>
      <c r="AN86" s="0" t="n">
        <f aca="false">-H86*AL86/3600</f>
        <v>-0.506224953766277</v>
      </c>
      <c r="AO86" s="0" t="n">
        <f aca="false">AM86*E86+AN86*D86</f>
        <v>-0.352654953759698</v>
      </c>
      <c r="AP86" s="0" t="n">
        <f aca="false">AL86*D86</f>
        <v>0</v>
      </c>
      <c r="AR86" s="0" t="n">
        <f aca="false">AN86*D86</f>
        <v>-0</v>
      </c>
      <c r="AS86" s="0" t="n">
        <f aca="false">AH86-AR86</f>
        <v>0</v>
      </c>
    </row>
    <row r="87" customFormat="false" ht="12" hidden="false" customHeight="false" outlineLevel="0" collapsed="false">
      <c r="A87" s="3" t="n">
        <f aca="false">A86+1</f>
        <v>78</v>
      </c>
      <c r="B87" s="3" t="n">
        <f aca="false">IF(A87&lt;$N$4/3,0.1,(IF(A87&gt;2*$N$4/3,0.05,0.12)))</f>
        <v>0.1</v>
      </c>
      <c r="C87" s="4" t="n">
        <f aca="true">RAND()</f>
        <v>0.542671666327808</v>
      </c>
      <c r="D87" s="0" t="n">
        <f aca="false">IF((C87&gt;$M$2),1,0)</f>
        <v>0</v>
      </c>
      <c r="E87" s="0" t="n">
        <f aca="false">1-D87</f>
        <v>1</v>
      </c>
      <c r="F87" s="0" t="n">
        <f aca="true">RAND()</f>
        <v>0.0143920840021636</v>
      </c>
      <c r="G87" s="0" t="n">
        <f aca="false">7.75+F87*10</f>
        <v>7.89392084002164</v>
      </c>
      <c r="H87" s="0" t="n">
        <f aca="false">LOGINV(F87,2.64,1.139)</f>
        <v>1.16143503850972</v>
      </c>
      <c r="I87" s="0" t="n">
        <v>19.5</v>
      </c>
      <c r="J87" s="4" t="n">
        <f aca="true">-LN(RAND())/B87</f>
        <v>14.5341047547928</v>
      </c>
      <c r="K87" s="4" t="n">
        <f aca="false">K86+J87</f>
        <v>757.866309776971</v>
      </c>
      <c r="L87" s="4" t="n">
        <f aca="false">(1/$J$4)*(1+AB86)</f>
        <v>10</v>
      </c>
      <c r="M87" s="4" t="n">
        <f aca="false">L87+MAX(K87,Y$10:Y86)</f>
        <v>844.082392388945</v>
      </c>
      <c r="N87" s="4" t="n">
        <f aca="false">K87</f>
        <v>757.866309776971</v>
      </c>
      <c r="O87" s="4" t="n">
        <f aca="false">M87-K87</f>
        <v>86.2160826119743</v>
      </c>
      <c r="P87" s="4" t="n">
        <f aca="false">N87-K87</f>
        <v>0</v>
      </c>
      <c r="Q87" s="4" t="n">
        <f aca="false">A87-MATCH(K87,$M$9:M86,1)</f>
        <v>8</v>
      </c>
      <c r="R87" s="0" t="n">
        <f aca="false">-G87*(O87/3600)</f>
        <v>-0.189050814243248</v>
      </c>
      <c r="S87" s="0" t="n">
        <f aca="false">-1*I87-(H87*(P87/3600))</f>
        <v>-19.5</v>
      </c>
      <c r="T87" s="0" t="n">
        <f aca="false">-H87*(O87/3600)</f>
        <v>-0.0278151053412767</v>
      </c>
      <c r="U87" s="0" t="n">
        <f aca="false">T87-S87</f>
        <v>19.4721848946587</v>
      </c>
      <c r="V87" s="0" t="n">
        <f aca="false">1/(1+EXP(U87))</f>
        <v>3.49411784441074E-009</v>
      </c>
      <c r="W87" s="0" t="n">
        <f aca="true">RAND()</f>
        <v>0.848419991816656</v>
      </c>
      <c r="X87" s="0" t="n">
        <f aca="false">IF(W87&lt;V87,1,0)</f>
        <v>0</v>
      </c>
      <c r="Y87" s="0" t="n">
        <f aca="false">(M87*(1-X87)+N87*X87)*D87+M87*E87</f>
        <v>844.082392388945</v>
      </c>
      <c r="Z87" s="0" t="n">
        <f aca="false">((1-X87)*O87+X87*P87)*D87+E87*O87</f>
        <v>86.2160826119743</v>
      </c>
      <c r="AA87" s="0" t="n">
        <f aca="false">IF(D87*X87&gt;0,AA86,Q87)</f>
        <v>8</v>
      </c>
      <c r="AB87" s="0" t="n">
        <f aca="false">(X87*D87)</f>
        <v>0</v>
      </c>
      <c r="AC87" s="0" t="n">
        <f aca="false">SUM(AB$10:AB86)/K87</f>
        <v>0</v>
      </c>
      <c r="AD87" s="0" t="n">
        <f aca="false">R87*E87+D87*(X87*S87+(1-X87)*T87)</f>
        <v>-0.189050814243248</v>
      </c>
      <c r="AE87" s="0" t="n">
        <f aca="false">Z87</f>
        <v>86.2160826119743</v>
      </c>
      <c r="AF87" s="0" t="n">
        <f aca="false">E87*O87</f>
        <v>86.2160826119743</v>
      </c>
      <c r="AG87" s="0" t="n">
        <f aca="false">((1-X87)*O87+X87*P87)*D87</f>
        <v>0</v>
      </c>
      <c r="AH87" s="0" t="n">
        <f aca="false">D87*(LN(EXP(S87)+EXP(T87)))</f>
        <v>-0</v>
      </c>
      <c r="AJ87" s="0" t="n">
        <f aca="false">$J$5</f>
        <v>10</v>
      </c>
      <c r="AK87" s="4" t="n">
        <f aca="false">AJ87+MAX(K87,AK$10:AK86)</f>
        <v>844.082392388945</v>
      </c>
      <c r="AL87" s="5" t="n">
        <f aca="false">AK87-K87</f>
        <v>86.2160826119743</v>
      </c>
      <c r="AM87" s="0" t="n">
        <f aca="false">-G87*AL87/3600</f>
        <v>-0.189050814243248</v>
      </c>
      <c r="AN87" s="0" t="n">
        <f aca="false">-H87*AL87/3600</f>
        <v>-0.0278151053412767</v>
      </c>
      <c r="AO87" s="0" t="n">
        <f aca="false">AM87*E87+AN87*D87</f>
        <v>-0.189050814243248</v>
      </c>
      <c r="AP87" s="0" t="n">
        <f aca="false">AL87*D87</f>
        <v>0</v>
      </c>
      <c r="AR87" s="0" t="n">
        <f aca="false">AN87*D87</f>
        <v>-0</v>
      </c>
      <c r="AS87" s="0" t="n">
        <f aca="false">AH87-AR87</f>
        <v>0</v>
      </c>
    </row>
    <row r="88" customFormat="false" ht="12" hidden="false" customHeight="false" outlineLevel="0" collapsed="false">
      <c r="A88" s="3" t="n">
        <f aca="false">A87+1</f>
        <v>79</v>
      </c>
      <c r="B88" s="3" t="n">
        <f aca="false">IF(A88&lt;$N$4/3,0.1,(IF(A88&gt;2*$N$4/3,0.05,0.12)))</f>
        <v>0.1</v>
      </c>
      <c r="C88" s="4" t="n">
        <f aca="true">RAND()</f>
        <v>0.511595863701824</v>
      </c>
      <c r="D88" s="0" t="n">
        <f aca="false">IF((C88&gt;$M$2),1,0)</f>
        <v>0</v>
      </c>
      <c r="E88" s="0" t="n">
        <f aca="false">1-D88</f>
        <v>1</v>
      </c>
      <c r="F88" s="0" t="n">
        <f aca="true">RAND()</f>
        <v>0.774491500812966</v>
      </c>
      <c r="G88" s="0" t="n">
        <f aca="false">7.75+F88*10</f>
        <v>15.4949150081297</v>
      </c>
      <c r="H88" s="0" t="n">
        <f aca="false">LOGINV(F88,2.64,1.139)</f>
        <v>33.0654121102821</v>
      </c>
      <c r="I88" s="0" t="n">
        <v>19.5</v>
      </c>
      <c r="J88" s="4" t="n">
        <f aca="true">-LN(RAND())/B88</f>
        <v>0.0929450074771576</v>
      </c>
      <c r="K88" s="4" t="n">
        <f aca="false">K87+J88</f>
        <v>757.959254784448</v>
      </c>
      <c r="L88" s="4" t="n">
        <f aca="false">(1/$J$4)*(1+AB87)</f>
        <v>10</v>
      </c>
      <c r="M88" s="4" t="n">
        <f aca="false">L88+MAX(K88,Y$10:Y87)</f>
        <v>854.082392388945</v>
      </c>
      <c r="N88" s="4" t="n">
        <f aca="false">K88</f>
        <v>757.959254784448</v>
      </c>
      <c r="O88" s="4" t="n">
        <f aca="false">M88-K88</f>
        <v>96.1231376044972</v>
      </c>
      <c r="P88" s="4" t="n">
        <f aca="false">N88-K88</f>
        <v>0</v>
      </c>
      <c r="Q88" s="4" t="n">
        <f aca="false">A88-MATCH(K88,$M$9:M87,1)</f>
        <v>9</v>
      </c>
      <c r="R88" s="0" t="n">
        <f aca="false">-G88*(O88/3600)</f>
        <v>-0.413727735415677</v>
      </c>
      <c r="S88" s="0" t="n">
        <f aca="false">-1*I88-(H88*(P88/3600))</f>
        <v>-19.5</v>
      </c>
      <c r="T88" s="0" t="n">
        <f aca="false">-H88*(O88/3600)</f>
        <v>-0.882875321729459</v>
      </c>
      <c r="U88" s="0" t="n">
        <f aca="false">T88-S88</f>
        <v>18.6171246782705</v>
      </c>
      <c r="V88" s="0" t="n">
        <f aca="false">1/(1+EXP(U88))</f>
        <v>8.21647389474354E-009</v>
      </c>
      <c r="W88" s="0" t="n">
        <f aca="true">RAND()</f>
        <v>0.108781962427169</v>
      </c>
      <c r="X88" s="0" t="n">
        <f aca="false">IF(W88&lt;V88,1,0)</f>
        <v>0</v>
      </c>
      <c r="Y88" s="0" t="n">
        <f aca="false">(M88*(1-X88)+N88*X88)*D88+M88*E88</f>
        <v>854.082392388945</v>
      </c>
      <c r="Z88" s="0" t="n">
        <f aca="false">((1-X88)*O88+X88*P88)*D88+E88*O88</f>
        <v>96.1231376044972</v>
      </c>
      <c r="AA88" s="0" t="n">
        <f aca="false">IF(D88*X88&gt;0,AA87,Q88)</f>
        <v>9</v>
      </c>
      <c r="AB88" s="0" t="n">
        <f aca="false">(X88*D88)</f>
        <v>0</v>
      </c>
      <c r="AC88" s="0" t="n">
        <f aca="false">SUM(AB$10:AB87)/K88</f>
        <v>0</v>
      </c>
      <c r="AD88" s="0" t="n">
        <f aca="false">R88*E88+D88*(X88*S88+(1-X88)*T88)</f>
        <v>-0.413727735415677</v>
      </c>
      <c r="AE88" s="0" t="n">
        <f aca="false">Z88</f>
        <v>96.1231376044972</v>
      </c>
      <c r="AF88" s="0" t="n">
        <f aca="false">E88*O88</f>
        <v>96.1231376044972</v>
      </c>
      <c r="AG88" s="0" t="n">
        <f aca="false">((1-X88)*O88+X88*P88)*D88</f>
        <v>0</v>
      </c>
      <c r="AH88" s="0" t="n">
        <f aca="false">D88*(LN(EXP(S88)+EXP(T88)))</f>
        <v>-0</v>
      </c>
      <c r="AJ88" s="0" t="n">
        <f aca="false">$J$5</f>
        <v>10</v>
      </c>
      <c r="AK88" s="4" t="n">
        <f aca="false">AJ88+MAX(K88,AK$10:AK87)</f>
        <v>854.082392388945</v>
      </c>
      <c r="AL88" s="5" t="n">
        <f aca="false">AK88-K88</f>
        <v>96.1231376044972</v>
      </c>
      <c r="AM88" s="0" t="n">
        <f aca="false">-G88*AL88/3600</f>
        <v>-0.413727735415677</v>
      </c>
      <c r="AN88" s="0" t="n">
        <f aca="false">-H88*AL88/3600</f>
        <v>-0.882875321729459</v>
      </c>
      <c r="AO88" s="0" t="n">
        <f aca="false">AM88*E88+AN88*D88</f>
        <v>-0.413727735415677</v>
      </c>
      <c r="AP88" s="0" t="n">
        <f aca="false">AL88*D88</f>
        <v>0</v>
      </c>
      <c r="AR88" s="0" t="n">
        <f aca="false">AN88*D88</f>
        <v>-0</v>
      </c>
      <c r="AS88" s="0" t="n">
        <f aca="false">AH88-AR88</f>
        <v>0</v>
      </c>
    </row>
    <row r="89" customFormat="false" ht="12" hidden="false" customHeight="false" outlineLevel="0" collapsed="false">
      <c r="A89" s="3" t="n">
        <f aca="false">A88+1</f>
        <v>80</v>
      </c>
      <c r="B89" s="3" t="n">
        <f aca="false">IF(A89&lt;$N$4/3,0.1,(IF(A89&gt;2*$N$4/3,0.05,0.12)))</f>
        <v>0.1</v>
      </c>
      <c r="C89" s="4" t="n">
        <f aca="true">RAND()</f>
        <v>0.275343286029931</v>
      </c>
      <c r="D89" s="0" t="n">
        <f aca="false">IF((C89&gt;$M$2),1,0)</f>
        <v>0</v>
      </c>
      <c r="E89" s="0" t="n">
        <f aca="false">1-D89</f>
        <v>1</v>
      </c>
      <c r="F89" s="0" t="n">
        <f aca="true">RAND()</f>
        <v>0.777354319435749</v>
      </c>
      <c r="G89" s="0" t="n">
        <f aca="false">7.75+F89*10</f>
        <v>15.5235431943575</v>
      </c>
      <c r="H89" s="0" t="n">
        <f aca="false">LOGINV(F89,2.64,1.139)</f>
        <v>33.4277233898944</v>
      </c>
      <c r="I89" s="0" t="n">
        <v>19.5</v>
      </c>
      <c r="J89" s="4" t="n">
        <f aca="true">-LN(RAND())/B89</f>
        <v>2.72264705460312</v>
      </c>
      <c r="K89" s="4" t="n">
        <f aca="false">K88+J89</f>
        <v>760.681901839051</v>
      </c>
      <c r="L89" s="4" t="n">
        <f aca="false">(1/$J$4)*(1+AB88)</f>
        <v>10</v>
      </c>
      <c r="M89" s="4" t="n">
        <f aca="false">L89+MAX(K89,Y$10:Y88)</f>
        <v>864.082392388945</v>
      </c>
      <c r="N89" s="4" t="n">
        <f aca="false">K89</f>
        <v>760.681901839051</v>
      </c>
      <c r="O89" s="4" t="n">
        <f aca="false">M89-K89</f>
        <v>103.400490549894</v>
      </c>
      <c r="P89" s="4" t="n">
        <f aca="false">N89-K89</f>
        <v>0</v>
      </c>
      <c r="Q89" s="4" t="n">
        <f aca="false">A89-MATCH(K89,$M$9:M88,1)</f>
        <v>10</v>
      </c>
      <c r="R89" s="0" t="n">
        <f aca="false">-G89*(O89/3600)</f>
        <v>-0.445872772602509</v>
      </c>
      <c r="S89" s="0" t="n">
        <f aca="false">-1*I89-(H89*(P89/3600))</f>
        <v>-19.5</v>
      </c>
      <c r="T89" s="0" t="n">
        <f aca="false">-H89*(O89/3600)</f>
        <v>-0.960123054578125</v>
      </c>
      <c r="U89" s="0" t="n">
        <f aca="false">T89-S89</f>
        <v>18.5398769454219</v>
      </c>
      <c r="V89" s="0" t="n">
        <f aca="false">1/(1+EXP(U89))</f>
        <v>8.87633620774836E-009</v>
      </c>
      <c r="W89" s="0" t="n">
        <f aca="true">RAND()</f>
        <v>0.338726260876325</v>
      </c>
      <c r="X89" s="0" t="n">
        <f aca="false">IF(W89&lt;V89,1,0)</f>
        <v>0</v>
      </c>
      <c r="Y89" s="0" t="n">
        <f aca="false">(M89*(1-X89)+N89*X89)*D89+M89*E89</f>
        <v>864.082392388945</v>
      </c>
      <c r="Z89" s="0" t="n">
        <f aca="false">((1-X89)*O89+X89*P89)*D89+E89*O89</f>
        <v>103.400490549894</v>
      </c>
      <c r="AA89" s="0" t="n">
        <f aca="false">IF(D89*X89&gt;0,AA88,Q89)</f>
        <v>10</v>
      </c>
      <c r="AB89" s="0" t="n">
        <f aca="false">(X89*D89)</f>
        <v>0</v>
      </c>
      <c r="AC89" s="0" t="n">
        <f aca="false">SUM(AB$10:AB88)/K89</f>
        <v>0</v>
      </c>
      <c r="AD89" s="0" t="n">
        <f aca="false">R89*E89+D89*(X89*S89+(1-X89)*T89)</f>
        <v>-0.445872772602509</v>
      </c>
      <c r="AE89" s="0" t="n">
        <f aca="false">Z89</f>
        <v>103.400490549894</v>
      </c>
      <c r="AF89" s="0" t="n">
        <f aca="false">E89*O89</f>
        <v>103.400490549894</v>
      </c>
      <c r="AG89" s="0" t="n">
        <f aca="false">((1-X89)*O89+X89*P89)*D89</f>
        <v>0</v>
      </c>
      <c r="AH89" s="0" t="n">
        <f aca="false">D89*(LN(EXP(S89)+EXP(T89)))</f>
        <v>-0</v>
      </c>
      <c r="AJ89" s="0" t="n">
        <f aca="false">$J$5</f>
        <v>10</v>
      </c>
      <c r="AK89" s="4" t="n">
        <f aca="false">AJ89+MAX(K89,AK$10:AK88)</f>
        <v>864.082392388945</v>
      </c>
      <c r="AL89" s="5" t="n">
        <f aca="false">AK89-K89</f>
        <v>103.400490549894</v>
      </c>
      <c r="AM89" s="0" t="n">
        <f aca="false">-G89*AL89/3600</f>
        <v>-0.445872772602509</v>
      </c>
      <c r="AN89" s="0" t="n">
        <f aca="false">-H89*AL89/3600</f>
        <v>-0.960123054578124</v>
      </c>
      <c r="AO89" s="0" t="n">
        <f aca="false">AM89*E89+AN89*D89</f>
        <v>-0.445872772602509</v>
      </c>
      <c r="AP89" s="0" t="n">
        <f aca="false">AL89*D89</f>
        <v>0</v>
      </c>
      <c r="AR89" s="0" t="n">
        <f aca="false">AN89*D89</f>
        <v>-0</v>
      </c>
      <c r="AS89" s="0" t="n">
        <f aca="false">AH89-AR89</f>
        <v>0</v>
      </c>
    </row>
    <row r="90" customFormat="false" ht="12" hidden="false" customHeight="false" outlineLevel="0" collapsed="false">
      <c r="A90" s="3" t="n">
        <f aca="false">A89+1</f>
        <v>81</v>
      </c>
      <c r="B90" s="3" t="n">
        <f aca="false">IF(A90&lt;$N$4/3,0.1,(IF(A90&gt;2*$N$4/3,0.05,0.12)))</f>
        <v>0.1</v>
      </c>
      <c r="C90" s="4" t="n">
        <f aca="true">RAND()</f>
        <v>0.279924709034404</v>
      </c>
      <c r="D90" s="0" t="n">
        <f aca="false">IF((C90&gt;$M$2),1,0)</f>
        <v>0</v>
      </c>
      <c r="E90" s="0" t="n">
        <f aca="false">1-D90</f>
        <v>1</v>
      </c>
      <c r="F90" s="0" t="n">
        <f aca="true">RAND()</f>
        <v>0.350249920582276</v>
      </c>
      <c r="G90" s="0" t="n">
        <f aca="false">7.75+F90*10</f>
        <v>11.2524992058228</v>
      </c>
      <c r="H90" s="0" t="n">
        <f aca="false">LOGINV(F90,2.64,1.139)</f>
        <v>9.042072529902</v>
      </c>
      <c r="I90" s="0" t="n">
        <v>19.5</v>
      </c>
      <c r="J90" s="4" t="n">
        <f aca="true">-LN(RAND())/B90</f>
        <v>1.05950255630992</v>
      </c>
      <c r="K90" s="4" t="n">
        <f aca="false">K89+J90</f>
        <v>761.741404395361</v>
      </c>
      <c r="L90" s="4" t="n">
        <f aca="false">(1/$J$4)*(1+AB89)</f>
        <v>10</v>
      </c>
      <c r="M90" s="4" t="n">
        <f aca="false">L90+MAX(K90,Y$10:Y89)</f>
        <v>874.082392388945</v>
      </c>
      <c r="N90" s="4" t="n">
        <f aca="false">K90</f>
        <v>761.741404395361</v>
      </c>
      <c r="O90" s="4" t="n">
        <f aca="false">M90-K90</f>
        <v>112.340987993584</v>
      </c>
      <c r="P90" s="4" t="n">
        <f aca="false">N90-K90</f>
        <v>0</v>
      </c>
      <c r="Q90" s="4" t="n">
        <f aca="false">A90-MATCH(K90,$M$9:M89,1)</f>
        <v>11</v>
      </c>
      <c r="R90" s="0" t="n">
        <f aca="false">-G90*(O90/3600)</f>
        <v>-0.351143577271986</v>
      </c>
      <c r="S90" s="0" t="n">
        <f aca="false">-1*I90-(H90*(P90/3600))</f>
        <v>-19.5</v>
      </c>
      <c r="T90" s="0" t="n">
        <f aca="false">-H90*(O90/3600)</f>
        <v>-0.282165378199677</v>
      </c>
      <c r="U90" s="0" t="n">
        <f aca="false">T90-S90</f>
        <v>19.2178346218003</v>
      </c>
      <c r="V90" s="0" t="n">
        <f aca="false">1/(1+EXP(U90))</f>
        <v>4.50609628807528E-009</v>
      </c>
      <c r="W90" s="0" t="n">
        <f aca="true">RAND()</f>
        <v>0.0479517130009453</v>
      </c>
      <c r="X90" s="0" t="n">
        <f aca="false">IF(W90&lt;V90,1,0)</f>
        <v>0</v>
      </c>
      <c r="Y90" s="0" t="n">
        <f aca="false">(M90*(1-X90)+N90*X90)*D90+M90*E90</f>
        <v>874.082392388945</v>
      </c>
      <c r="Z90" s="0" t="n">
        <f aca="false">((1-X90)*O90+X90*P90)*D90+E90*O90</f>
        <v>112.340987993584</v>
      </c>
      <c r="AA90" s="0" t="n">
        <f aca="false">IF(D90*X90&gt;0,AA89,Q90)</f>
        <v>11</v>
      </c>
      <c r="AB90" s="0" t="n">
        <f aca="false">(X90*D90)</f>
        <v>0</v>
      </c>
      <c r="AC90" s="0" t="n">
        <f aca="false">SUM(AB$10:AB89)/K90</f>
        <v>0</v>
      </c>
      <c r="AD90" s="0" t="n">
        <f aca="false">R90*E90+D90*(X90*S90+(1-X90)*T90)</f>
        <v>-0.351143577271986</v>
      </c>
      <c r="AE90" s="0" t="n">
        <f aca="false">Z90</f>
        <v>112.340987993584</v>
      </c>
      <c r="AF90" s="0" t="n">
        <f aca="false">E90*O90</f>
        <v>112.340987993584</v>
      </c>
      <c r="AG90" s="0" t="n">
        <f aca="false">((1-X90)*O90+X90*P90)*D90</f>
        <v>0</v>
      </c>
      <c r="AH90" s="0" t="n">
        <f aca="false">D90*(LN(EXP(S90)+EXP(T90)))</f>
        <v>-0</v>
      </c>
      <c r="AJ90" s="0" t="n">
        <f aca="false">$J$5</f>
        <v>10</v>
      </c>
      <c r="AK90" s="4" t="n">
        <f aca="false">AJ90+MAX(K90,AK$10:AK89)</f>
        <v>874.082392388945</v>
      </c>
      <c r="AL90" s="5" t="n">
        <f aca="false">AK90-K90</f>
        <v>112.340987993584</v>
      </c>
      <c r="AM90" s="0" t="n">
        <f aca="false">-G90*AL90/3600</f>
        <v>-0.351143577271986</v>
      </c>
      <c r="AN90" s="0" t="n">
        <f aca="false">-H90*AL90/3600</f>
        <v>-0.282165378199677</v>
      </c>
      <c r="AO90" s="0" t="n">
        <f aca="false">AM90*E90+AN90*D90</f>
        <v>-0.351143577271986</v>
      </c>
      <c r="AP90" s="0" t="n">
        <f aca="false">AL90*D90</f>
        <v>0</v>
      </c>
      <c r="AR90" s="0" t="n">
        <f aca="false">AN90*D90</f>
        <v>-0</v>
      </c>
      <c r="AS90" s="0" t="n">
        <f aca="false">AH90-AR90</f>
        <v>0</v>
      </c>
    </row>
    <row r="91" customFormat="false" ht="12" hidden="false" customHeight="false" outlineLevel="0" collapsed="false">
      <c r="A91" s="3" t="n">
        <f aca="false">A90+1</f>
        <v>82</v>
      </c>
      <c r="B91" s="3" t="n">
        <f aca="false">IF(A91&lt;$N$4/3,0.1,(IF(A91&gt;2*$N$4/3,0.05,0.12)))</f>
        <v>0.1</v>
      </c>
      <c r="C91" s="4" t="n">
        <f aca="true">RAND()</f>
        <v>0.251369137565848</v>
      </c>
      <c r="D91" s="0" t="n">
        <f aca="false">IF((C91&gt;$M$2),1,0)</f>
        <v>0</v>
      </c>
      <c r="E91" s="0" t="n">
        <f aca="false">1-D91</f>
        <v>1</v>
      </c>
      <c r="F91" s="0" t="n">
        <f aca="true">RAND()</f>
        <v>0.644281142657637</v>
      </c>
      <c r="G91" s="0" t="n">
        <f aca="false">7.75+F91*10</f>
        <v>14.1928114265764</v>
      </c>
      <c r="H91" s="0" t="n">
        <f aca="false">LOGINV(F91,2.64,1.139)</f>
        <v>21.3562744545601</v>
      </c>
      <c r="I91" s="0" t="n">
        <v>19.5</v>
      </c>
      <c r="J91" s="4" t="n">
        <f aca="true">-LN(RAND())/B91</f>
        <v>0.732806264849633</v>
      </c>
      <c r="K91" s="4" t="n">
        <f aca="false">K90+J91</f>
        <v>762.474210660211</v>
      </c>
      <c r="L91" s="4" t="n">
        <f aca="false">(1/$J$4)*(1+AB90)</f>
        <v>10</v>
      </c>
      <c r="M91" s="4" t="n">
        <f aca="false">L91+MAX(K91,Y$10:Y90)</f>
        <v>884.082392388945</v>
      </c>
      <c r="N91" s="4" t="n">
        <f aca="false">K91</f>
        <v>762.474210660211</v>
      </c>
      <c r="O91" s="4" t="n">
        <f aca="false">M91-K91</f>
        <v>121.608181728735</v>
      </c>
      <c r="P91" s="4" t="n">
        <f aca="false">N91-K91</f>
        <v>0</v>
      </c>
      <c r="Q91" s="4" t="n">
        <f aca="false">A91-MATCH(K91,$M$9:M90,1)</f>
        <v>12</v>
      </c>
      <c r="R91" s="0" t="n">
        <f aca="false">-G91*(O91/3600)</f>
        <v>-0.479433886445766</v>
      </c>
      <c r="S91" s="0" t="n">
        <f aca="false">-1*I91-(H91*(P91/3600))</f>
        <v>-19.5</v>
      </c>
      <c r="T91" s="0" t="n">
        <f aca="false">-H91*(O91/3600)</f>
        <v>-0.721416029144132</v>
      </c>
      <c r="U91" s="0" t="n">
        <f aca="false">T91-S91</f>
        <v>18.7785839708559</v>
      </c>
      <c r="V91" s="0" t="n">
        <f aca="false">1/(1+EXP(U91))</f>
        <v>6.99140724858222E-009</v>
      </c>
      <c r="W91" s="0" t="n">
        <f aca="true">RAND()</f>
        <v>0.481474704124559</v>
      </c>
      <c r="X91" s="0" t="n">
        <f aca="false">IF(W91&lt;V91,1,0)</f>
        <v>0</v>
      </c>
      <c r="Y91" s="0" t="n">
        <f aca="false">(M91*(1-X91)+N91*X91)*D91+M91*E91</f>
        <v>884.082392388945</v>
      </c>
      <c r="Z91" s="0" t="n">
        <f aca="false">((1-X91)*O91+X91*P91)*D91+E91*O91</f>
        <v>121.608181728735</v>
      </c>
      <c r="AA91" s="0" t="n">
        <f aca="false">IF(D91*X91&gt;0,AA90,Q91)</f>
        <v>12</v>
      </c>
      <c r="AB91" s="0" t="n">
        <f aca="false">(X91*D91)</f>
        <v>0</v>
      </c>
      <c r="AC91" s="0" t="n">
        <f aca="false">SUM(AB$10:AB90)/K91</f>
        <v>0</v>
      </c>
      <c r="AD91" s="0" t="n">
        <f aca="false">R91*E91+D91*(X91*S91+(1-X91)*T91)</f>
        <v>-0.479433886445766</v>
      </c>
      <c r="AE91" s="0" t="n">
        <f aca="false">Z91</f>
        <v>121.608181728735</v>
      </c>
      <c r="AF91" s="0" t="n">
        <f aca="false">E91*O91</f>
        <v>121.608181728735</v>
      </c>
      <c r="AG91" s="0" t="n">
        <f aca="false">((1-X91)*O91+X91*P91)*D91</f>
        <v>0</v>
      </c>
      <c r="AH91" s="0" t="n">
        <f aca="false">D91*(LN(EXP(S91)+EXP(T91)))</f>
        <v>-0</v>
      </c>
      <c r="AJ91" s="0" t="n">
        <f aca="false">$J$5</f>
        <v>10</v>
      </c>
      <c r="AK91" s="4" t="n">
        <f aca="false">AJ91+MAX(K91,AK$10:AK90)</f>
        <v>884.082392388945</v>
      </c>
      <c r="AL91" s="5" t="n">
        <f aca="false">AK91-K91</f>
        <v>121.608181728735</v>
      </c>
      <c r="AM91" s="0" t="n">
        <f aca="false">-G91*AL91/3600</f>
        <v>-0.479433886445766</v>
      </c>
      <c r="AN91" s="0" t="n">
        <f aca="false">-H91*AL91/3600</f>
        <v>-0.721416029144132</v>
      </c>
      <c r="AO91" s="0" t="n">
        <f aca="false">AM91*E91+AN91*D91</f>
        <v>-0.479433886445766</v>
      </c>
      <c r="AP91" s="0" t="n">
        <f aca="false">AL91*D91</f>
        <v>0</v>
      </c>
      <c r="AR91" s="0" t="n">
        <f aca="false">AN91*D91</f>
        <v>-0</v>
      </c>
      <c r="AS91" s="0" t="n">
        <f aca="false">AH91-AR91</f>
        <v>0</v>
      </c>
    </row>
    <row r="92" customFormat="false" ht="12" hidden="false" customHeight="false" outlineLevel="0" collapsed="false">
      <c r="A92" s="3" t="n">
        <f aca="false">A91+1</f>
        <v>83</v>
      </c>
      <c r="B92" s="3" t="n">
        <f aca="false">IF(A92&lt;$N$4/3,0.1,(IF(A92&gt;2*$N$4/3,0.05,0.12)))</f>
        <v>0.1</v>
      </c>
      <c r="C92" s="4" t="n">
        <f aca="true">RAND()</f>
        <v>0.0987188908513795</v>
      </c>
      <c r="D92" s="0" t="n">
        <f aca="false">IF((C92&gt;$M$2),1,0)</f>
        <v>0</v>
      </c>
      <c r="E92" s="0" t="n">
        <f aca="false">1-D92</f>
        <v>1</v>
      </c>
      <c r="F92" s="0" t="n">
        <f aca="true">RAND()</f>
        <v>0.559178883824443</v>
      </c>
      <c r="G92" s="0" t="n">
        <f aca="false">7.75+F92*10</f>
        <v>13.3417888382444</v>
      </c>
      <c r="H92" s="0" t="n">
        <f aca="false">LOGINV(F92,2.64,1.139)</f>
        <v>16.6029951773924</v>
      </c>
      <c r="I92" s="0" t="n">
        <v>19.5</v>
      </c>
      <c r="J92" s="4" t="n">
        <f aca="true">-LN(RAND())/B92</f>
        <v>29.1440976438982</v>
      </c>
      <c r="K92" s="4" t="n">
        <f aca="false">K91+J92</f>
        <v>791.618308304109</v>
      </c>
      <c r="L92" s="4" t="n">
        <f aca="false">(1/$J$4)*(1+AB91)</f>
        <v>10</v>
      </c>
      <c r="M92" s="4" t="n">
        <f aca="false">L92+MAX(K92,Y$10:Y91)</f>
        <v>894.082392388945</v>
      </c>
      <c r="N92" s="4" t="n">
        <f aca="false">K92</f>
        <v>791.618308304109</v>
      </c>
      <c r="O92" s="4" t="n">
        <f aca="false">M92-K92</f>
        <v>102.464084084836</v>
      </c>
      <c r="P92" s="4" t="n">
        <f aca="false">N92-K92</f>
        <v>0</v>
      </c>
      <c r="Q92" s="4" t="n">
        <f aca="false">A92-MATCH(K92,$M$9:M91,1)</f>
        <v>10</v>
      </c>
      <c r="R92" s="0" t="n">
        <f aca="false">-G92*(O92/3600)</f>
        <v>-0.379737270378891</v>
      </c>
      <c r="S92" s="0" t="n">
        <f aca="false">-1*I92-(H92*(P92/3600))</f>
        <v>-19.5</v>
      </c>
      <c r="T92" s="0" t="n">
        <f aca="false">-H92*(O92/3600)</f>
        <v>-0.472558526087907</v>
      </c>
      <c r="U92" s="0" t="n">
        <f aca="false">T92-S92</f>
        <v>19.0274414739121</v>
      </c>
      <c r="V92" s="0" t="n">
        <f aca="false">1/(1+EXP(U92))</f>
        <v>5.45113780030189E-009</v>
      </c>
      <c r="W92" s="0" t="n">
        <f aca="true">RAND()</f>
        <v>0.767415329235378</v>
      </c>
      <c r="X92" s="0" t="n">
        <f aca="false">IF(W92&lt;V92,1,0)</f>
        <v>0</v>
      </c>
      <c r="Y92" s="0" t="n">
        <f aca="false">(M92*(1-X92)+N92*X92)*D92+M92*E92</f>
        <v>894.082392388945</v>
      </c>
      <c r="Z92" s="0" t="n">
        <f aca="false">((1-X92)*O92+X92*P92)*D92+E92*O92</f>
        <v>102.464084084836</v>
      </c>
      <c r="AA92" s="0" t="n">
        <f aca="false">IF(D92*X92&gt;0,AA91,Q92)</f>
        <v>10</v>
      </c>
      <c r="AB92" s="0" t="n">
        <f aca="false">(X92*D92)</f>
        <v>0</v>
      </c>
      <c r="AC92" s="0" t="n">
        <f aca="false">SUM(AB$10:AB91)/K92</f>
        <v>0</v>
      </c>
      <c r="AD92" s="0" t="n">
        <f aca="false">R92*E92+D92*(X92*S92+(1-X92)*T92)</f>
        <v>-0.379737270378891</v>
      </c>
      <c r="AE92" s="0" t="n">
        <f aca="false">Z92</f>
        <v>102.464084084836</v>
      </c>
      <c r="AF92" s="0" t="n">
        <f aca="false">E92*O92</f>
        <v>102.464084084836</v>
      </c>
      <c r="AG92" s="0" t="n">
        <f aca="false">((1-X92)*O92+X92*P92)*D92</f>
        <v>0</v>
      </c>
      <c r="AH92" s="0" t="n">
        <f aca="false">D92*(LN(EXP(S92)+EXP(T92)))</f>
        <v>-0</v>
      </c>
      <c r="AJ92" s="0" t="n">
        <f aca="false">$J$5</f>
        <v>10</v>
      </c>
      <c r="AK92" s="4" t="n">
        <f aca="false">AJ92+MAX(K92,AK$10:AK91)</f>
        <v>894.082392388945</v>
      </c>
      <c r="AL92" s="5" t="n">
        <f aca="false">AK92-K92</f>
        <v>102.464084084836</v>
      </c>
      <c r="AM92" s="0" t="n">
        <f aca="false">-G92*AL92/3600</f>
        <v>-0.379737270378891</v>
      </c>
      <c r="AN92" s="0" t="n">
        <f aca="false">-H92*AL92/3600</f>
        <v>-0.472558526087907</v>
      </c>
      <c r="AO92" s="0" t="n">
        <f aca="false">AM92*E92+AN92*D92</f>
        <v>-0.379737270378891</v>
      </c>
      <c r="AP92" s="0" t="n">
        <f aca="false">AL92*D92</f>
        <v>0</v>
      </c>
      <c r="AR92" s="0" t="n">
        <f aca="false">AN92*D92</f>
        <v>-0</v>
      </c>
      <c r="AS92" s="0" t="n">
        <f aca="false">AH92-AR92</f>
        <v>0</v>
      </c>
    </row>
    <row r="93" customFormat="false" ht="12" hidden="false" customHeight="false" outlineLevel="0" collapsed="false">
      <c r="A93" s="3" t="n">
        <f aca="false">A92+1</f>
        <v>84</v>
      </c>
      <c r="B93" s="3" t="n">
        <f aca="false">IF(A93&lt;$N$4/3,0.1,(IF(A93&gt;2*$N$4/3,0.05,0.12)))</f>
        <v>0.1</v>
      </c>
      <c r="C93" s="4" t="n">
        <f aca="true">RAND()</f>
        <v>0.716346272052042</v>
      </c>
      <c r="D93" s="0" t="n">
        <f aca="false">IF((C93&gt;$M$2),1,0)</f>
        <v>0</v>
      </c>
      <c r="E93" s="0" t="n">
        <f aca="false">1-D93</f>
        <v>1</v>
      </c>
      <c r="F93" s="0" t="n">
        <f aca="true">RAND()</f>
        <v>0.0626482864710165</v>
      </c>
      <c r="G93" s="0" t="n">
        <f aca="false">7.75+F93*10</f>
        <v>8.37648286471016</v>
      </c>
      <c r="H93" s="0" t="n">
        <f aca="false">LOGINV(F93,2.64,1.139)</f>
        <v>2.44491111333325</v>
      </c>
      <c r="I93" s="0" t="n">
        <v>19.5</v>
      </c>
      <c r="J93" s="4" t="n">
        <f aca="true">-LN(RAND())/B93</f>
        <v>11.0997642000541</v>
      </c>
      <c r="K93" s="4" t="n">
        <f aca="false">K92+J93</f>
        <v>802.718072504163</v>
      </c>
      <c r="L93" s="4" t="n">
        <f aca="false">(1/$J$4)*(1+AB92)</f>
        <v>10</v>
      </c>
      <c r="M93" s="4" t="n">
        <f aca="false">L93+MAX(K93,Y$10:Y92)</f>
        <v>904.082392388945</v>
      </c>
      <c r="N93" s="4" t="n">
        <f aca="false">K93</f>
        <v>802.718072504163</v>
      </c>
      <c r="O93" s="4" t="n">
        <f aca="false">M93-K93</f>
        <v>101.364319884782</v>
      </c>
      <c r="P93" s="4" t="n">
        <f aca="false">N93-K93</f>
        <v>0</v>
      </c>
      <c r="Q93" s="4" t="n">
        <f aca="false">A93-MATCH(K93,$M$9:M92,1)</f>
        <v>10</v>
      </c>
      <c r="R93" s="0" t="n">
        <f aca="false">-G93*(O93/3600)</f>
        <v>-0.235854580168855</v>
      </c>
      <c r="S93" s="0" t="n">
        <f aca="false">-1*I93-(H93*(P93/3600))</f>
        <v>-19.5</v>
      </c>
      <c r="T93" s="0" t="n">
        <f aca="false">-H93*(O93/3600)</f>
        <v>-0.0688407644949364</v>
      </c>
      <c r="U93" s="0" t="n">
        <f aca="false">T93-S93</f>
        <v>19.4311592355051</v>
      </c>
      <c r="V93" s="0" t="n">
        <f aca="false">1/(1+EXP(U93))</f>
        <v>3.64044744229257E-009</v>
      </c>
      <c r="W93" s="0" t="n">
        <f aca="true">RAND()</f>
        <v>0.619511213205958</v>
      </c>
      <c r="X93" s="0" t="n">
        <f aca="false">IF(W93&lt;V93,1,0)</f>
        <v>0</v>
      </c>
      <c r="Y93" s="0" t="n">
        <f aca="false">(M93*(1-X93)+N93*X93)*D93+M93*E93</f>
        <v>904.082392388945</v>
      </c>
      <c r="Z93" s="0" t="n">
        <f aca="false">((1-X93)*O93+X93*P93)*D93+E93*O93</f>
        <v>101.364319884782</v>
      </c>
      <c r="AA93" s="0" t="n">
        <f aca="false">IF(D93*X93&gt;0,AA92,Q93)</f>
        <v>10</v>
      </c>
      <c r="AB93" s="0" t="n">
        <f aca="false">(X93*D93)</f>
        <v>0</v>
      </c>
      <c r="AC93" s="0" t="n">
        <f aca="false">SUM(AB$10:AB92)/K93</f>
        <v>0</v>
      </c>
      <c r="AD93" s="0" t="n">
        <f aca="false">R93*E93+D93*(X93*S93+(1-X93)*T93)</f>
        <v>-0.235854580168855</v>
      </c>
      <c r="AE93" s="0" t="n">
        <f aca="false">Z93</f>
        <v>101.364319884782</v>
      </c>
      <c r="AF93" s="0" t="n">
        <f aca="false">E93*O93</f>
        <v>101.364319884782</v>
      </c>
      <c r="AG93" s="0" t="n">
        <f aca="false">((1-X93)*O93+X93*P93)*D93</f>
        <v>0</v>
      </c>
      <c r="AH93" s="0" t="n">
        <f aca="false">D93*(LN(EXP(S93)+EXP(T93)))</f>
        <v>-0</v>
      </c>
      <c r="AJ93" s="0" t="n">
        <f aca="false">$J$5</f>
        <v>10</v>
      </c>
      <c r="AK93" s="4" t="n">
        <f aca="false">AJ93+MAX(K93,AK$10:AK92)</f>
        <v>904.082392388945</v>
      </c>
      <c r="AL93" s="5" t="n">
        <f aca="false">AK93-K93</f>
        <v>101.364319884782</v>
      </c>
      <c r="AM93" s="0" t="n">
        <f aca="false">-G93*AL93/3600</f>
        <v>-0.235854580168855</v>
      </c>
      <c r="AN93" s="0" t="n">
        <f aca="false">-H93*AL93/3600</f>
        <v>-0.0688407644949364</v>
      </c>
      <c r="AO93" s="0" t="n">
        <f aca="false">AM93*E93+AN93*D93</f>
        <v>-0.235854580168855</v>
      </c>
      <c r="AP93" s="0" t="n">
        <f aca="false">AL93*D93</f>
        <v>0</v>
      </c>
      <c r="AR93" s="0" t="n">
        <f aca="false">AN93*D93</f>
        <v>-0</v>
      </c>
      <c r="AS93" s="0" t="n">
        <f aca="false">AH93-AR93</f>
        <v>0</v>
      </c>
    </row>
    <row r="94" customFormat="false" ht="12" hidden="false" customHeight="false" outlineLevel="0" collapsed="false">
      <c r="A94" s="3" t="n">
        <f aca="false">A93+1</f>
        <v>85</v>
      </c>
      <c r="B94" s="3" t="n">
        <f aca="false">IF(A94&lt;$N$4/3,0.1,(IF(A94&gt;2*$N$4/3,0.05,0.12)))</f>
        <v>0.1</v>
      </c>
      <c r="C94" s="4" t="n">
        <f aca="true">RAND()</f>
        <v>0.101255423656868</v>
      </c>
      <c r="D94" s="0" t="n">
        <f aca="false">IF((C94&gt;$M$2),1,0)</f>
        <v>0</v>
      </c>
      <c r="E94" s="0" t="n">
        <f aca="false">1-D94</f>
        <v>1</v>
      </c>
      <c r="F94" s="0" t="n">
        <f aca="true">RAND()</f>
        <v>0.230328751659553</v>
      </c>
      <c r="G94" s="0" t="n">
        <f aca="false">7.75+F94*10</f>
        <v>10.0532875165955</v>
      </c>
      <c r="H94" s="0" t="n">
        <f aca="false">LOGINV(F94,2.64,1.139)</f>
        <v>6.04774884398769</v>
      </c>
      <c r="I94" s="0" t="n">
        <v>19.5</v>
      </c>
      <c r="J94" s="4" t="n">
        <f aca="true">-LN(RAND())/B94</f>
        <v>5.65087025463153</v>
      </c>
      <c r="K94" s="4" t="n">
        <f aca="false">K93+J94</f>
        <v>808.368942758795</v>
      </c>
      <c r="L94" s="4" t="n">
        <f aca="false">(1/$J$4)*(1+AB93)</f>
        <v>10</v>
      </c>
      <c r="M94" s="4" t="n">
        <f aca="false">L94+MAX(K94,Y$10:Y93)</f>
        <v>914.082392388945</v>
      </c>
      <c r="N94" s="4" t="n">
        <f aca="false">K94</f>
        <v>808.368942758795</v>
      </c>
      <c r="O94" s="4" t="n">
        <f aca="false">M94-K94</f>
        <v>105.713449630151</v>
      </c>
      <c r="P94" s="4" t="n">
        <f aca="false">N94-K94</f>
        <v>0</v>
      </c>
      <c r="Q94" s="4" t="n">
        <f aca="false">A94-MATCH(K94,$M$9:M93,1)</f>
        <v>10</v>
      </c>
      <c r="R94" s="0" t="n">
        <f aca="false">-G94*(O94/3600)</f>
        <v>-0.295213250973068</v>
      </c>
      <c r="S94" s="0" t="n">
        <f aca="false">-1*I94-(H94*(P94/3600))</f>
        <v>-19.5</v>
      </c>
      <c r="T94" s="0" t="n">
        <f aca="false">-H94*(O94/3600)</f>
        <v>-0.177591220220749</v>
      </c>
      <c r="U94" s="0" t="n">
        <f aca="false">T94-S94</f>
        <v>19.3224087797793</v>
      </c>
      <c r="V94" s="0" t="n">
        <f aca="false">1/(1+EXP(U94))</f>
        <v>4.05867697836071E-009</v>
      </c>
      <c r="W94" s="0" t="n">
        <f aca="true">RAND()</f>
        <v>0.822430211832526</v>
      </c>
      <c r="X94" s="0" t="n">
        <f aca="false">IF(W94&lt;V94,1,0)</f>
        <v>0</v>
      </c>
      <c r="Y94" s="0" t="n">
        <f aca="false">(M94*(1-X94)+N94*X94)*D94+M94*E94</f>
        <v>914.082392388945</v>
      </c>
      <c r="Z94" s="0" t="n">
        <f aca="false">((1-X94)*O94+X94*P94)*D94+E94*O94</f>
        <v>105.713449630151</v>
      </c>
      <c r="AA94" s="0" t="n">
        <f aca="false">IF(D94*X94&gt;0,AA93,Q94)</f>
        <v>10</v>
      </c>
      <c r="AB94" s="0" t="n">
        <f aca="false">(X94*D94)</f>
        <v>0</v>
      </c>
      <c r="AC94" s="0" t="n">
        <f aca="false">SUM(AB$10:AB93)/K94</f>
        <v>0</v>
      </c>
      <c r="AD94" s="0" t="n">
        <f aca="false">R94*E94+D94*(X94*S94+(1-X94)*T94)</f>
        <v>-0.295213250973068</v>
      </c>
      <c r="AE94" s="0" t="n">
        <f aca="false">Z94</f>
        <v>105.713449630151</v>
      </c>
      <c r="AF94" s="0" t="n">
        <f aca="false">E94*O94</f>
        <v>105.713449630151</v>
      </c>
      <c r="AG94" s="0" t="n">
        <f aca="false">((1-X94)*O94+X94*P94)*D94</f>
        <v>0</v>
      </c>
      <c r="AH94" s="0" t="n">
        <f aca="false">D94*(LN(EXP(S94)+EXP(T94)))</f>
        <v>-0</v>
      </c>
      <c r="AJ94" s="0" t="n">
        <f aca="false">$J$5</f>
        <v>10</v>
      </c>
      <c r="AK94" s="4" t="n">
        <f aca="false">AJ94+MAX(K94,AK$10:AK93)</f>
        <v>914.082392388945</v>
      </c>
      <c r="AL94" s="5" t="n">
        <f aca="false">AK94-K94</f>
        <v>105.713449630151</v>
      </c>
      <c r="AM94" s="0" t="n">
        <f aca="false">-G94*AL94/3600</f>
        <v>-0.295213250973068</v>
      </c>
      <c r="AN94" s="0" t="n">
        <f aca="false">-H94*AL94/3600</f>
        <v>-0.177591220220749</v>
      </c>
      <c r="AO94" s="0" t="n">
        <f aca="false">AM94*E94+AN94*D94</f>
        <v>-0.295213250973068</v>
      </c>
      <c r="AP94" s="0" t="n">
        <f aca="false">AL94*D94</f>
        <v>0</v>
      </c>
      <c r="AR94" s="0" t="n">
        <f aca="false">AN94*D94</f>
        <v>-0</v>
      </c>
      <c r="AS94" s="0" t="n">
        <f aca="false">AH94-AR94</f>
        <v>0</v>
      </c>
    </row>
    <row r="95" customFormat="false" ht="12" hidden="false" customHeight="false" outlineLevel="0" collapsed="false">
      <c r="A95" s="3" t="n">
        <f aca="false">A94+1</f>
        <v>86</v>
      </c>
      <c r="B95" s="3" t="n">
        <f aca="false">IF(A95&lt;$N$4/3,0.1,(IF(A95&gt;2*$N$4/3,0.05,0.12)))</f>
        <v>0.1</v>
      </c>
      <c r="C95" s="4" t="n">
        <f aca="true">RAND()</f>
        <v>0.0386082073085237</v>
      </c>
      <c r="D95" s="0" t="n">
        <f aca="false">IF((C95&gt;$M$2),1,0)</f>
        <v>0</v>
      </c>
      <c r="E95" s="0" t="n">
        <f aca="false">1-D95</f>
        <v>1</v>
      </c>
      <c r="F95" s="0" t="n">
        <f aca="true">RAND()</f>
        <v>0.987032001351971</v>
      </c>
      <c r="G95" s="0" t="n">
        <f aca="false">7.75+F95*10</f>
        <v>17.6203200135197</v>
      </c>
      <c r="H95" s="0" t="n">
        <f aca="false">LOGINV(F95,2.64,1.139)</f>
        <v>177.105431790137</v>
      </c>
      <c r="I95" s="0" t="n">
        <v>19.5</v>
      </c>
      <c r="J95" s="4" t="n">
        <f aca="true">-LN(RAND())/B95</f>
        <v>4.3204946585518</v>
      </c>
      <c r="K95" s="4" t="n">
        <f aca="false">K94+J95</f>
        <v>812.689437417346</v>
      </c>
      <c r="L95" s="4" t="n">
        <f aca="false">(1/$J$4)*(1+AB94)</f>
        <v>10</v>
      </c>
      <c r="M95" s="4" t="n">
        <f aca="false">L95+MAX(K95,Y$10:Y94)</f>
        <v>924.082392388945</v>
      </c>
      <c r="N95" s="4" t="n">
        <f aca="false">K95</f>
        <v>812.689437417346</v>
      </c>
      <c r="O95" s="4" t="n">
        <f aca="false">M95-K95</f>
        <v>111.392954971599</v>
      </c>
      <c r="P95" s="4" t="n">
        <f aca="false">N95-K95</f>
        <v>0</v>
      </c>
      <c r="Q95" s="4" t="n">
        <f aca="false">A95-MATCH(K95,$M$9:M94,1)</f>
        <v>11</v>
      </c>
      <c r="R95" s="0" t="n">
        <f aca="false">-G95*(O95/3600)</f>
        <v>-0.545216531625324</v>
      </c>
      <c r="S95" s="0" t="n">
        <f aca="false">-1*I95-(H95*(P95/3600))</f>
        <v>-19.5</v>
      </c>
      <c r="T95" s="0" t="n">
        <f aca="false">-H95*(O95/3600)</f>
        <v>-5.48008260795119</v>
      </c>
      <c r="U95" s="0" t="n">
        <f aca="false">T95-S95</f>
        <v>14.0199173920488</v>
      </c>
      <c r="V95" s="0" t="n">
        <f aca="false">1/(1+EXP(U95))</f>
        <v>8.15130016338609E-007</v>
      </c>
      <c r="W95" s="0" t="n">
        <f aca="true">RAND()</f>
        <v>0.630380386161397</v>
      </c>
      <c r="X95" s="0" t="n">
        <f aca="false">IF(W95&lt;V95,1,0)</f>
        <v>0</v>
      </c>
      <c r="Y95" s="0" t="n">
        <f aca="false">(M95*(1-X95)+N95*X95)*D95+M95*E95</f>
        <v>924.082392388945</v>
      </c>
      <c r="Z95" s="0" t="n">
        <f aca="false">((1-X95)*O95+X95*P95)*D95+E95*O95</f>
        <v>111.392954971599</v>
      </c>
      <c r="AA95" s="0" t="n">
        <f aca="false">IF(D95*X95&gt;0,AA94,Q95)</f>
        <v>11</v>
      </c>
      <c r="AB95" s="0" t="n">
        <f aca="false">(X95*D95)</f>
        <v>0</v>
      </c>
      <c r="AC95" s="0" t="n">
        <f aca="false">SUM(AB$10:AB94)/K95</f>
        <v>0</v>
      </c>
      <c r="AD95" s="0" t="n">
        <f aca="false">R95*E95+D95*(X95*S95+(1-X95)*T95)</f>
        <v>-0.545216531625324</v>
      </c>
      <c r="AE95" s="0" t="n">
        <f aca="false">Z95</f>
        <v>111.392954971599</v>
      </c>
      <c r="AF95" s="0" t="n">
        <f aca="false">E95*O95</f>
        <v>111.392954971599</v>
      </c>
      <c r="AG95" s="0" t="n">
        <f aca="false">((1-X95)*O95+X95*P95)*D95</f>
        <v>0</v>
      </c>
      <c r="AH95" s="0" t="n">
        <f aca="false">D95*(LN(EXP(S95)+EXP(T95)))</f>
        <v>-0</v>
      </c>
      <c r="AJ95" s="0" t="n">
        <f aca="false">$J$5</f>
        <v>10</v>
      </c>
      <c r="AK95" s="4" t="n">
        <f aca="false">AJ95+MAX(K95,AK$10:AK94)</f>
        <v>924.082392388945</v>
      </c>
      <c r="AL95" s="5" t="n">
        <f aca="false">AK95-K95</f>
        <v>111.392954971599</v>
      </c>
      <c r="AM95" s="0" t="n">
        <f aca="false">-G95*AL95/3600</f>
        <v>-0.545216531625324</v>
      </c>
      <c r="AN95" s="0" t="n">
        <f aca="false">-H95*AL95/3600</f>
        <v>-5.48008260795119</v>
      </c>
      <c r="AO95" s="0" t="n">
        <f aca="false">AM95*E95+AN95*D95</f>
        <v>-0.545216531625324</v>
      </c>
      <c r="AP95" s="0" t="n">
        <f aca="false">AL95*D95</f>
        <v>0</v>
      </c>
      <c r="AR95" s="0" t="n">
        <f aca="false">AN95*D95</f>
        <v>-0</v>
      </c>
      <c r="AS95" s="0" t="n">
        <f aca="false">AH95-AR95</f>
        <v>0</v>
      </c>
    </row>
    <row r="96" customFormat="false" ht="12" hidden="false" customHeight="false" outlineLevel="0" collapsed="false">
      <c r="A96" s="3" t="n">
        <f aca="false">A95+1</f>
        <v>87</v>
      </c>
      <c r="B96" s="3" t="n">
        <f aca="false">IF(A96&lt;$N$4/3,0.1,(IF(A96&gt;2*$N$4/3,0.05,0.12)))</f>
        <v>0.1</v>
      </c>
      <c r="C96" s="4" t="n">
        <f aca="true">RAND()</f>
        <v>0.0648012055352109</v>
      </c>
      <c r="D96" s="0" t="n">
        <f aca="false">IF((C96&gt;$M$2),1,0)</f>
        <v>0</v>
      </c>
      <c r="E96" s="0" t="n">
        <f aca="false">1-D96</f>
        <v>1</v>
      </c>
      <c r="F96" s="0" t="n">
        <f aca="true">RAND()</f>
        <v>0.204654973233688</v>
      </c>
      <c r="G96" s="0" t="n">
        <f aca="false">7.75+F96*10</f>
        <v>9.79654973233688</v>
      </c>
      <c r="H96" s="0" t="n">
        <f aca="false">LOGINV(F96,2.64,1.139)</f>
        <v>5.4750495303942</v>
      </c>
      <c r="I96" s="0" t="n">
        <v>19.5</v>
      </c>
      <c r="J96" s="4" t="n">
        <f aca="true">-LN(RAND())/B96</f>
        <v>26.6414575155415</v>
      </c>
      <c r="K96" s="4" t="n">
        <f aca="false">K95+J96</f>
        <v>839.330894932888</v>
      </c>
      <c r="L96" s="4" t="n">
        <f aca="false">(1/$J$4)*(1+AB95)</f>
        <v>10</v>
      </c>
      <c r="M96" s="4" t="n">
        <f aca="false">L96+MAX(K96,Y$10:Y95)</f>
        <v>934.082392388945</v>
      </c>
      <c r="N96" s="4" t="n">
        <f aca="false">K96</f>
        <v>839.330894932888</v>
      </c>
      <c r="O96" s="4" t="n">
        <f aca="false">M96-K96</f>
        <v>94.7514974560575</v>
      </c>
      <c r="P96" s="4" t="n">
        <f aca="false">N96-K96</f>
        <v>0</v>
      </c>
      <c r="Q96" s="4" t="n">
        <f aca="false">A96-MATCH(K96,$M$9:M95,1)</f>
        <v>9</v>
      </c>
      <c r="R96" s="0" t="n">
        <f aca="false">-G96*(O96/3600)</f>
        <v>-0.257843821400461</v>
      </c>
      <c r="S96" s="0" t="n">
        <f aca="false">-1*I96-(H96*(P96/3600))</f>
        <v>-19.5</v>
      </c>
      <c r="T96" s="0" t="n">
        <f aca="false">-H96*(O96/3600)</f>
        <v>-0.144102539347482</v>
      </c>
      <c r="U96" s="0" t="n">
        <f aca="false">T96-S96</f>
        <v>19.3558974606525</v>
      </c>
      <c r="V96" s="0" t="n">
        <f aca="false">1/(1+EXP(U96))</f>
        <v>3.92500793296098E-009</v>
      </c>
      <c r="W96" s="0" t="n">
        <f aca="true">RAND()</f>
        <v>0.288334364191785</v>
      </c>
      <c r="X96" s="0" t="n">
        <f aca="false">IF(W96&lt;V96,1,0)</f>
        <v>0</v>
      </c>
      <c r="Y96" s="0" t="n">
        <f aca="false">(M96*(1-X96)+N96*X96)*D96+M96*E96</f>
        <v>934.082392388945</v>
      </c>
      <c r="Z96" s="0" t="n">
        <f aca="false">((1-X96)*O96+X96*P96)*D96+E96*O96</f>
        <v>94.7514974560575</v>
      </c>
      <c r="AA96" s="0" t="n">
        <f aca="false">IF(D96*X96&gt;0,AA95,Q96)</f>
        <v>9</v>
      </c>
      <c r="AB96" s="0" t="n">
        <f aca="false">(X96*D96)</f>
        <v>0</v>
      </c>
      <c r="AC96" s="0" t="n">
        <f aca="false">SUM(AB$10:AB95)/K96</f>
        <v>0</v>
      </c>
      <c r="AD96" s="0" t="n">
        <f aca="false">R96*E96+D96*(X96*S96+(1-X96)*T96)</f>
        <v>-0.257843821400461</v>
      </c>
      <c r="AE96" s="0" t="n">
        <f aca="false">Z96</f>
        <v>94.7514974560575</v>
      </c>
      <c r="AF96" s="0" t="n">
        <f aca="false">E96*O96</f>
        <v>94.7514974560575</v>
      </c>
      <c r="AG96" s="0" t="n">
        <f aca="false">((1-X96)*O96+X96*P96)*D96</f>
        <v>0</v>
      </c>
      <c r="AH96" s="0" t="n">
        <f aca="false">D96*(LN(EXP(S96)+EXP(T96)))</f>
        <v>-0</v>
      </c>
      <c r="AJ96" s="0" t="n">
        <f aca="false">$J$5</f>
        <v>10</v>
      </c>
      <c r="AK96" s="4" t="n">
        <f aca="false">AJ96+MAX(K96,AK$10:AK95)</f>
        <v>934.082392388945</v>
      </c>
      <c r="AL96" s="5" t="n">
        <f aca="false">AK96-K96</f>
        <v>94.7514974560575</v>
      </c>
      <c r="AM96" s="0" t="n">
        <f aca="false">-G96*AL96/3600</f>
        <v>-0.257843821400461</v>
      </c>
      <c r="AN96" s="0" t="n">
        <f aca="false">-H96*AL96/3600</f>
        <v>-0.144102539347482</v>
      </c>
      <c r="AO96" s="0" t="n">
        <f aca="false">AM96*E96+AN96*D96</f>
        <v>-0.257843821400461</v>
      </c>
      <c r="AP96" s="0" t="n">
        <f aca="false">AL96*D96</f>
        <v>0</v>
      </c>
      <c r="AR96" s="0" t="n">
        <f aca="false">AN96*D96</f>
        <v>-0</v>
      </c>
      <c r="AS96" s="0" t="n">
        <f aca="false">AH96-AR96</f>
        <v>0</v>
      </c>
    </row>
    <row r="97" customFormat="false" ht="12" hidden="false" customHeight="false" outlineLevel="0" collapsed="false">
      <c r="A97" s="3" t="n">
        <f aca="false">A96+1</f>
        <v>88</v>
      </c>
      <c r="B97" s="3" t="n">
        <f aca="false">IF(A97&lt;$N$4/3,0.1,(IF(A97&gt;2*$N$4/3,0.05,0.12)))</f>
        <v>0.1</v>
      </c>
      <c r="C97" s="4" t="n">
        <f aca="true">RAND()</f>
        <v>0.029712071187784</v>
      </c>
      <c r="D97" s="0" t="n">
        <f aca="false">IF((C97&gt;$M$2),1,0)</f>
        <v>0</v>
      </c>
      <c r="E97" s="0" t="n">
        <f aca="false">1-D97</f>
        <v>1</v>
      </c>
      <c r="F97" s="0" t="n">
        <f aca="true">RAND()</f>
        <v>0.199565400323879</v>
      </c>
      <c r="G97" s="0" t="n">
        <f aca="false">7.75+F97*10</f>
        <v>9.74565400323879</v>
      </c>
      <c r="H97" s="0" t="n">
        <f aca="false">LOGINV(F97,2.64,1.139)</f>
        <v>5.36353958975791</v>
      </c>
      <c r="I97" s="0" t="n">
        <v>19.5</v>
      </c>
      <c r="J97" s="4" t="n">
        <f aca="true">-LN(RAND())/B97</f>
        <v>9.96925957394401</v>
      </c>
      <c r="K97" s="4" t="n">
        <f aca="false">K96+J97</f>
        <v>849.300154506832</v>
      </c>
      <c r="L97" s="4" t="n">
        <f aca="false">(1/$J$4)*(1+AB96)</f>
        <v>10</v>
      </c>
      <c r="M97" s="4" t="n">
        <f aca="false">L97+MAX(K97,Y$10:Y96)</f>
        <v>944.082392388945</v>
      </c>
      <c r="N97" s="4" t="n">
        <f aca="false">K97</f>
        <v>849.300154506832</v>
      </c>
      <c r="O97" s="4" t="n">
        <f aca="false">M97-K97</f>
        <v>94.7822378821135</v>
      </c>
      <c r="P97" s="4" t="n">
        <f aca="false">N97-K97</f>
        <v>0</v>
      </c>
      <c r="Q97" s="4" t="n">
        <f aca="false">A97-MATCH(K97,$M$9:M96,1)</f>
        <v>9</v>
      </c>
      <c r="R97" s="0" t="n">
        <f aca="false">-G97*(O97/3600)</f>
        <v>-0.256587471125486</v>
      </c>
      <c r="S97" s="0" t="n">
        <f aca="false">-1*I97-(H97*(P97/3600))</f>
        <v>-19.5</v>
      </c>
      <c r="T97" s="0" t="n">
        <f aca="false">-H97*(O97/3600)</f>
        <v>-0.141213412579602</v>
      </c>
      <c r="U97" s="0" t="n">
        <f aca="false">T97-S97</f>
        <v>19.3587865874204</v>
      </c>
      <c r="V97" s="0" t="n">
        <f aca="false">1/(1+EXP(U97))</f>
        <v>3.91368445288328E-009</v>
      </c>
      <c r="W97" s="0" t="n">
        <f aca="true">RAND()</f>
        <v>0.621288834124257</v>
      </c>
      <c r="X97" s="0" t="n">
        <f aca="false">IF(W97&lt;V97,1,0)</f>
        <v>0</v>
      </c>
      <c r="Y97" s="0" t="n">
        <f aca="false">(M97*(1-X97)+N97*X97)*D97+M97*E97</f>
        <v>944.082392388945</v>
      </c>
      <c r="Z97" s="0" t="n">
        <f aca="false">((1-X97)*O97+X97*P97)*D97+E97*O97</f>
        <v>94.7822378821135</v>
      </c>
      <c r="AA97" s="0" t="n">
        <f aca="false">IF(D97*X97&gt;0,AA96,Q97)</f>
        <v>9</v>
      </c>
      <c r="AB97" s="0" t="n">
        <f aca="false">(X97*D97)</f>
        <v>0</v>
      </c>
      <c r="AC97" s="0" t="n">
        <f aca="false">SUM(AB$10:AB96)/K97</f>
        <v>0</v>
      </c>
      <c r="AD97" s="0" t="n">
        <f aca="false">R97*E97+D97*(X97*S97+(1-X97)*T97)</f>
        <v>-0.256587471125486</v>
      </c>
      <c r="AE97" s="0" t="n">
        <f aca="false">Z97</f>
        <v>94.7822378821135</v>
      </c>
      <c r="AF97" s="0" t="n">
        <f aca="false">E97*O97</f>
        <v>94.7822378821135</v>
      </c>
      <c r="AG97" s="0" t="n">
        <f aca="false">((1-X97)*O97+X97*P97)*D97</f>
        <v>0</v>
      </c>
      <c r="AH97" s="0" t="n">
        <f aca="false">D97*(LN(EXP(S97)+EXP(T97)))</f>
        <v>-0</v>
      </c>
      <c r="AJ97" s="0" t="n">
        <f aca="false">$J$5</f>
        <v>10</v>
      </c>
      <c r="AK97" s="4" t="n">
        <f aca="false">AJ97+MAX(K97,AK$10:AK96)</f>
        <v>944.082392388945</v>
      </c>
      <c r="AL97" s="5" t="n">
        <f aca="false">AK97-K97</f>
        <v>94.7822378821135</v>
      </c>
      <c r="AM97" s="0" t="n">
        <f aca="false">-G97*AL97/3600</f>
        <v>-0.256587471125486</v>
      </c>
      <c r="AN97" s="0" t="n">
        <f aca="false">-H97*AL97/3600</f>
        <v>-0.141213412579602</v>
      </c>
      <c r="AO97" s="0" t="n">
        <f aca="false">AM97*E97+AN97*D97</f>
        <v>-0.256587471125486</v>
      </c>
      <c r="AP97" s="0" t="n">
        <f aca="false">AL97*D97</f>
        <v>0</v>
      </c>
      <c r="AR97" s="0" t="n">
        <f aca="false">AN97*D97</f>
        <v>-0</v>
      </c>
      <c r="AS97" s="0" t="n">
        <f aca="false">AH97-AR97</f>
        <v>0</v>
      </c>
    </row>
    <row r="98" customFormat="false" ht="12" hidden="false" customHeight="false" outlineLevel="0" collapsed="false">
      <c r="A98" s="3" t="n">
        <f aca="false">A97+1</f>
        <v>89</v>
      </c>
      <c r="B98" s="3" t="n">
        <f aca="false">IF(A98&lt;$N$4/3,0.1,(IF(A98&gt;2*$N$4/3,0.05,0.12)))</f>
        <v>0.1</v>
      </c>
      <c r="C98" s="4" t="n">
        <f aca="true">RAND()</f>
        <v>0.635453495077632</v>
      </c>
      <c r="D98" s="0" t="n">
        <f aca="false">IF((C98&gt;$M$2),1,0)</f>
        <v>0</v>
      </c>
      <c r="E98" s="0" t="n">
        <f aca="false">1-D98</f>
        <v>1</v>
      </c>
      <c r="F98" s="0" t="n">
        <f aca="true">RAND()</f>
        <v>0.426064934919616</v>
      </c>
      <c r="G98" s="0" t="n">
        <f aca="false">7.75+F98*10</f>
        <v>12.0106493491962</v>
      </c>
      <c r="H98" s="0" t="n">
        <f aca="false">LOGINV(F98,2.64,1.139)</f>
        <v>11.3326577529463</v>
      </c>
      <c r="I98" s="0" t="n">
        <v>19.5</v>
      </c>
      <c r="J98" s="4" t="n">
        <f aca="true">-LN(RAND())/B98</f>
        <v>5.90891573772292</v>
      </c>
      <c r="K98" s="4" t="n">
        <f aca="false">K97+J98</f>
        <v>855.209070244555</v>
      </c>
      <c r="L98" s="4" t="n">
        <f aca="false">(1/$J$4)*(1+AB97)</f>
        <v>10</v>
      </c>
      <c r="M98" s="4" t="n">
        <f aca="false">L98+MAX(K98,Y$10:Y97)</f>
        <v>954.082392388945</v>
      </c>
      <c r="N98" s="4" t="n">
        <f aca="false">K98</f>
        <v>855.209070244555</v>
      </c>
      <c r="O98" s="4" t="n">
        <f aca="false">M98-K98</f>
        <v>98.8733221443905</v>
      </c>
      <c r="P98" s="4" t="n">
        <f aca="false">N98-K98</f>
        <v>0</v>
      </c>
      <c r="Q98" s="4" t="n">
        <f aca="false">A98-MATCH(K98,$M$9:M97,1)</f>
        <v>9</v>
      </c>
      <c r="R98" s="0" t="n">
        <f aca="false">-G98*(O98/3600)</f>
        <v>-0.329870222851774</v>
      </c>
      <c r="S98" s="0" t="n">
        <f aca="false">-1*I98-(H98*(P98/3600))</f>
        <v>-19.5</v>
      </c>
      <c r="T98" s="0" t="n">
        <f aca="false">-H98*(O98/3600)</f>
        <v>-0.311249311321995</v>
      </c>
      <c r="U98" s="0" t="n">
        <f aca="false">T98-S98</f>
        <v>19.188750688678</v>
      </c>
      <c r="V98" s="0" t="n">
        <f aca="false">1/(1+EXP(U98))</f>
        <v>4.63907569916888E-009</v>
      </c>
      <c r="W98" s="0" t="n">
        <f aca="true">RAND()</f>
        <v>0.898120933981328</v>
      </c>
      <c r="X98" s="0" t="n">
        <f aca="false">IF(W98&lt;V98,1,0)</f>
        <v>0</v>
      </c>
      <c r="Y98" s="0" t="n">
        <f aca="false">(M98*(1-X98)+N98*X98)*D98+M98*E98</f>
        <v>954.082392388945</v>
      </c>
      <c r="Z98" s="0" t="n">
        <f aca="false">((1-X98)*O98+X98*P98)*D98+E98*O98</f>
        <v>98.8733221443905</v>
      </c>
      <c r="AA98" s="0" t="n">
        <f aca="false">IF(D98*X98&gt;0,AA97,Q98)</f>
        <v>9</v>
      </c>
      <c r="AB98" s="0" t="n">
        <f aca="false">(X98*D98)</f>
        <v>0</v>
      </c>
      <c r="AC98" s="0" t="n">
        <f aca="false">SUM(AB$10:AB97)/K98</f>
        <v>0</v>
      </c>
      <c r="AD98" s="0" t="n">
        <f aca="false">R98*E98+D98*(X98*S98+(1-X98)*T98)</f>
        <v>-0.329870222851774</v>
      </c>
      <c r="AE98" s="0" t="n">
        <f aca="false">Z98</f>
        <v>98.8733221443905</v>
      </c>
      <c r="AF98" s="0" t="n">
        <f aca="false">E98*O98</f>
        <v>98.8733221443905</v>
      </c>
      <c r="AG98" s="0" t="n">
        <f aca="false">((1-X98)*O98+X98*P98)*D98</f>
        <v>0</v>
      </c>
      <c r="AH98" s="0" t="n">
        <f aca="false">D98*(LN(EXP(S98)+EXP(T98)))</f>
        <v>-0</v>
      </c>
      <c r="AJ98" s="0" t="n">
        <f aca="false">$J$5</f>
        <v>10</v>
      </c>
      <c r="AK98" s="4" t="n">
        <f aca="false">AJ98+MAX(K98,AK$10:AK97)</f>
        <v>954.082392388945</v>
      </c>
      <c r="AL98" s="5" t="n">
        <f aca="false">AK98-K98</f>
        <v>98.8733221443905</v>
      </c>
      <c r="AM98" s="0" t="n">
        <f aca="false">-G98*AL98/3600</f>
        <v>-0.329870222851774</v>
      </c>
      <c r="AN98" s="0" t="n">
        <f aca="false">-H98*AL98/3600</f>
        <v>-0.311249311321995</v>
      </c>
      <c r="AO98" s="0" t="n">
        <f aca="false">AM98*E98+AN98*D98</f>
        <v>-0.329870222851774</v>
      </c>
      <c r="AP98" s="0" t="n">
        <f aca="false">AL98*D98</f>
        <v>0</v>
      </c>
      <c r="AR98" s="0" t="n">
        <f aca="false">AN98*D98</f>
        <v>-0</v>
      </c>
      <c r="AS98" s="0" t="n">
        <f aca="false">AH98-AR98</f>
        <v>0</v>
      </c>
    </row>
    <row r="99" customFormat="false" ht="12" hidden="false" customHeight="false" outlineLevel="0" collapsed="false">
      <c r="A99" s="3" t="n">
        <f aca="false">A98+1</f>
        <v>90</v>
      </c>
      <c r="B99" s="3" t="n">
        <f aca="false">IF(A99&lt;$N$4/3,0.1,(IF(A99&gt;2*$N$4/3,0.05,0.12)))</f>
        <v>0.1</v>
      </c>
      <c r="C99" s="4" t="n">
        <f aca="true">RAND()</f>
        <v>0.467078052897371</v>
      </c>
      <c r="D99" s="0" t="n">
        <f aca="false">IF((C99&gt;$M$2),1,0)</f>
        <v>0</v>
      </c>
      <c r="E99" s="0" t="n">
        <f aca="false">1-D99</f>
        <v>1</v>
      </c>
      <c r="F99" s="0" t="n">
        <f aca="true">RAND()</f>
        <v>0.760553430187596</v>
      </c>
      <c r="G99" s="0" t="n">
        <f aca="false">7.75+F99*10</f>
        <v>15.355534301876</v>
      </c>
      <c r="H99" s="0" t="n">
        <f aca="false">LOGINV(F99,2.64,1.139)</f>
        <v>31.390572033633</v>
      </c>
      <c r="I99" s="0" t="n">
        <v>19.5</v>
      </c>
      <c r="J99" s="4" t="n">
        <f aca="true">-LN(RAND())/B99</f>
        <v>24.7731000816658</v>
      </c>
      <c r="K99" s="4" t="n">
        <f aca="false">K98+J99</f>
        <v>879.982170326221</v>
      </c>
      <c r="L99" s="4" t="n">
        <f aca="false">(1/$J$4)*(1+AB98)</f>
        <v>10</v>
      </c>
      <c r="M99" s="4" t="n">
        <f aca="false">L99+MAX(K99,Y$10:Y98)</f>
        <v>964.082392388945</v>
      </c>
      <c r="N99" s="4" t="n">
        <f aca="false">K99</f>
        <v>879.982170326221</v>
      </c>
      <c r="O99" s="4" t="n">
        <f aca="false">M99-K99</f>
        <v>84.1002220627247</v>
      </c>
      <c r="P99" s="4" t="n">
        <f aca="false">N99-K99</f>
        <v>0</v>
      </c>
      <c r="Q99" s="4" t="n">
        <f aca="false">A99-MATCH(K99,$M$9:M98,1)</f>
        <v>8</v>
      </c>
      <c r="R99" s="0" t="n">
        <f aca="false">-G99*(O99/3600)</f>
        <v>-0.358723290188765</v>
      </c>
      <c r="S99" s="0" t="n">
        <f aca="false">-1*I99-(H99*(P99/3600))</f>
        <v>-19.5</v>
      </c>
      <c r="T99" s="0" t="n">
        <f aca="false">-H99*(O99/3600)</f>
        <v>-0.733320577417914</v>
      </c>
      <c r="U99" s="0" t="n">
        <f aca="false">T99-S99</f>
        <v>18.7666794225821</v>
      </c>
      <c r="V99" s="0" t="n">
        <f aca="false">1/(1+EXP(U99))</f>
        <v>7.07513416987339E-009</v>
      </c>
      <c r="W99" s="0" t="n">
        <f aca="true">RAND()</f>
        <v>0.306470542223856</v>
      </c>
      <c r="X99" s="0" t="n">
        <f aca="false">IF(W99&lt;V99,1,0)</f>
        <v>0</v>
      </c>
      <c r="Y99" s="0" t="n">
        <f aca="false">(M99*(1-X99)+N99*X99)*D99+M99*E99</f>
        <v>964.082392388945</v>
      </c>
      <c r="Z99" s="0" t="n">
        <f aca="false">((1-X99)*O99+X99*P99)*D99+E99*O99</f>
        <v>84.1002220627247</v>
      </c>
      <c r="AA99" s="0" t="n">
        <f aca="false">IF(D99*X99&gt;0,AA98,Q99)</f>
        <v>8</v>
      </c>
      <c r="AB99" s="0" t="n">
        <f aca="false">(X99*D99)</f>
        <v>0</v>
      </c>
      <c r="AC99" s="0" t="n">
        <f aca="false">SUM(AB$10:AB98)/K99</f>
        <v>0</v>
      </c>
      <c r="AD99" s="0" t="n">
        <f aca="false">R99*E99+D99*(X99*S99+(1-X99)*T99)</f>
        <v>-0.358723290188765</v>
      </c>
      <c r="AE99" s="0" t="n">
        <f aca="false">Z99</f>
        <v>84.1002220627247</v>
      </c>
      <c r="AF99" s="0" t="n">
        <f aca="false">E99*O99</f>
        <v>84.1002220627247</v>
      </c>
      <c r="AG99" s="0" t="n">
        <f aca="false">((1-X99)*O99+X99*P99)*D99</f>
        <v>0</v>
      </c>
      <c r="AH99" s="0" t="n">
        <f aca="false">D99*(LN(EXP(S99)+EXP(T99)))</f>
        <v>-0</v>
      </c>
      <c r="AJ99" s="0" t="n">
        <f aca="false">$J$5</f>
        <v>10</v>
      </c>
      <c r="AK99" s="4" t="n">
        <f aca="false">AJ99+MAX(K99,AK$10:AK98)</f>
        <v>964.082392388945</v>
      </c>
      <c r="AL99" s="5" t="n">
        <f aca="false">AK99-K99</f>
        <v>84.1002220627247</v>
      </c>
      <c r="AM99" s="0" t="n">
        <f aca="false">-G99*AL99/3600</f>
        <v>-0.358723290188765</v>
      </c>
      <c r="AN99" s="0" t="n">
        <f aca="false">-H99*AL99/3600</f>
        <v>-0.733320577417914</v>
      </c>
      <c r="AO99" s="0" t="n">
        <f aca="false">AM99*E99+AN99*D99</f>
        <v>-0.358723290188765</v>
      </c>
      <c r="AP99" s="0" t="n">
        <f aca="false">AL99*D99</f>
        <v>0</v>
      </c>
      <c r="AR99" s="0" t="n">
        <f aca="false">AN99*D99</f>
        <v>-0</v>
      </c>
      <c r="AS99" s="0" t="n">
        <f aca="false">AH99-AR99</f>
        <v>0</v>
      </c>
    </row>
    <row r="100" customFormat="false" ht="12" hidden="false" customHeight="false" outlineLevel="0" collapsed="false">
      <c r="A100" s="3" t="n">
        <f aca="false">A99+1</f>
        <v>91</v>
      </c>
      <c r="B100" s="3" t="n">
        <f aca="false">IF(A100&lt;$N$4/3,0.1,(IF(A100&gt;2*$N$4/3,0.05,0.12)))</f>
        <v>0.1</v>
      </c>
      <c r="C100" s="4" t="n">
        <f aca="true">RAND()</f>
        <v>0.255022910447705</v>
      </c>
      <c r="D100" s="0" t="n">
        <f aca="false">IF((C100&gt;$M$2),1,0)</f>
        <v>0</v>
      </c>
      <c r="E100" s="0" t="n">
        <f aca="false">1-D100</f>
        <v>1</v>
      </c>
      <c r="F100" s="0" t="n">
        <f aca="true">RAND()</f>
        <v>0.653180683217235</v>
      </c>
      <c r="G100" s="0" t="n">
        <f aca="false">7.75+F100*10</f>
        <v>14.2818068321723</v>
      </c>
      <c r="H100" s="0" t="n">
        <f aca="false">LOGINV(F100,2.64,1.139)</f>
        <v>21.9480247813424</v>
      </c>
      <c r="I100" s="0" t="n">
        <v>19.5</v>
      </c>
      <c r="J100" s="4" t="n">
        <f aca="true">-LN(RAND())/B100</f>
        <v>8.45011795243197</v>
      </c>
      <c r="K100" s="4" t="n">
        <f aca="false">K99+J100</f>
        <v>888.432288278653</v>
      </c>
      <c r="L100" s="4" t="n">
        <f aca="false">(1/$J$4)*(1+AB99)</f>
        <v>10</v>
      </c>
      <c r="M100" s="4" t="n">
        <f aca="false">L100+MAX(K100,Y$10:Y99)</f>
        <v>974.082392388945</v>
      </c>
      <c r="N100" s="4" t="n">
        <f aca="false">K100</f>
        <v>888.432288278653</v>
      </c>
      <c r="O100" s="4" t="n">
        <f aca="false">M100-K100</f>
        <v>85.6501041102928</v>
      </c>
      <c r="P100" s="4" t="n">
        <f aca="false">N100-K100</f>
        <v>0</v>
      </c>
      <c r="Q100" s="4" t="n">
        <f aca="false">A100-MATCH(K100,$M$9:M99,1)</f>
        <v>8</v>
      </c>
      <c r="R100" s="0" t="n">
        <f aca="false">-G100*(O100/3600)</f>
        <v>-0.339788400571848</v>
      </c>
      <c r="S100" s="0" t="n">
        <f aca="false">-1*I100-(H100*(P100/3600))</f>
        <v>-19.5</v>
      </c>
      <c r="T100" s="0" t="n">
        <f aca="false">-H100*(O100/3600)</f>
        <v>-0.522180724315906</v>
      </c>
      <c r="U100" s="0" t="n">
        <f aca="false">T100-S100</f>
        <v>18.9778192756841</v>
      </c>
      <c r="V100" s="0" t="n">
        <f aca="false">1/(1+EXP(U100))</f>
        <v>5.72845897940276E-009</v>
      </c>
      <c r="W100" s="0" t="n">
        <f aca="true">RAND()</f>
        <v>0.863442710840639</v>
      </c>
      <c r="X100" s="0" t="n">
        <f aca="false">IF(W100&lt;V100,1,0)</f>
        <v>0</v>
      </c>
      <c r="Y100" s="0" t="n">
        <f aca="false">(M100*(1-X100)+N100*X100)*D100+M100*E100</f>
        <v>974.082392388945</v>
      </c>
      <c r="Z100" s="0" t="n">
        <f aca="false">((1-X100)*O100+X100*P100)*D100+E100*O100</f>
        <v>85.6501041102928</v>
      </c>
      <c r="AA100" s="0" t="n">
        <f aca="false">IF(D100*X100&gt;0,AA99,Q100)</f>
        <v>8</v>
      </c>
      <c r="AB100" s="0" t="n">
        <f aca="false">(X100*D100)</f>
        <v>0</v>
      </c>
      <c r="AC100" s="0" t="n">
        <f aca="false">SUM(AB$10:AB99)/K100</f>
        <v>0</v>
      </c>
      <c r="AD100" s="0" t="n">
        <f aca="false">R100*E100+D100*(X100*S100+(1-X100)*T100)</f>
        <v>-0.339788400571848</v>
      </c>
      <c r="AE100" s="0" t="n">
        <f aca="false">Z100</f>
        <v>85.6501041102928</v>
      </c>
      <c r="AF100" s="0" t="n">
        <f aca="false">E100*O100</f>
        <v>85.6501041102928</v>
      </c>
      <c r="AG100" s="0" t="n">
        <f aca="false">((1-X100)*O100+X100*P100)*D100</f>
        <v>0</v>
      </c>
      <c r="AH100" s="0" t="n">
        <f aca="false">D100*(LN(EXP(S100)+EXP(T100)))</f>
        <v>-0</v>
      </c>
      <c r="AJ100" s="0" t="n">
        <f aca="false">$J$5</f>
        <v>10</v>
      </c>
      <c r="AK100" s="4" t="n">
        <f aca="false">AJ100+MAX(K100,AK$10:AK99)</f>
        <v>974.082392388945</v>
      </c>
      <c r="AL100" s="5" t="n">
        <f aca="false">AK100-K100</f>
        <v>85.6501041102928</v>
      </c>
      <c r="AM100" s="0" t="n">
        <f aca="false">-G100*AL100/3600</f>
        <v>-0.339788400571848</v>
      </c>
      <c r="AN100" s="0" t="n">
        <f aca="false">-H100*AL100/3600</f>
        <v>-0.522180724315906</v>
      </c>
      <c r="AO100" s="0" t="n">
        <f aca="false">AM100*E100+AN100*D100</f>
        <v>-0.339788400571848</v>
      </c>
      <c r="AP100" s="0" t="n">
        <f aca="false">AL100*D100</f>
        <v>0</v>
      </c>
      <c r="AR100" s="0" t="n">
        <f aca="false">AN100*D100</f>
        <v>-0</v>
      </c>
      <c r="AS100" s="0" t="n">
        <f aca="false">AH100-AR100</f>
        <v>0</v>
      </c>
    </row>
    <row r="101" customFormat="false" ht="12" hidden="false" customHeight="false" outlineLevel="0" collapsed="false">
      <c r="A101" s="3" t="n">
        <f aca="false">A100+1</f>
        <v>92</v>
      </c>
      <c r="B101" s="3" t="n">
        <f aca="false">IF(A101&lt;$N$4/3,0.1,(IF(A101&gt;2*$N$4/3,0.05,0.12)))</f>
        <v>0.1</v>
      </c>
      <c r="C101" s="4" t="n">
        <f aca="true">RAND()</f>
        <v>0.4518395143202</v>
      </c>
      <c r="D101" s="0" t="n">
        <f aca="false">IF((C101&gt;$M$2),1,0)</f>
        <v>0</v>
      </c>
      <c r="E101" s="0" t="n">
        <f aca="false">1-D101</f>
        <v>1</v>
      </c>
      <c r="F101" s="0" t="n">
        <f aca="true">RAND()</f>
        <v>0.960459527378973</v>
      </c>
      <c r="G101" s="0" t="n">
        <f aca="false">7.75+F101*10</f>
        <v>17.3545952737897</v>
      </c>
      <c r="H101" s="0" t="n">
        <f aca="false">LOGINV(F101,2.64,1.139)</f>
        <v>103.558201370906</v>
      </c>
      <c r="I101" s="0" t="n">
        <v>19.5</v>
      </c>
      <c r="J101" s="4" t="n">
        <f aca="true">-LN(RAND())/B101</f>
        <v>7.50315699051161</v>
      </c>
      <c r="K101" s="4" t="n">
        <f aca="false">K100+J101</f>
        <v>895.935445269164</v>
      </c>
      <c r="L101" s="4" t="n">
        <f aca="false">(1/$J$4)*(1+AB100)</f>
        <v>10</v>
      </c>
      <c r="M101" s="4" t="n">
        <f aca="false">L101+MAX(K101,Y$10:Y100)</f>
        <v>984.082392388945</v>
      </c>
      <c r="N101" s="4" t="n">
        <f aca="false">K101</f>
        <v>895.935445269164</v>
      </c>
      <c r="O101" s="4" t="n">
        <f aca="false">M101-K101</f>
        <v>88.1469471197812</v>
      </c>
      <c r="P101" s="4" t="n">
        <f aca="false">N101-K101</f>
        <v>0</v>
      </c>
      <c r="Q101" s="4" t="n">
        <f aca="false">A101-MATCH(K101,$M$9:M100,1)</f>
        <v>8</v>
      </c>
      <c r="R101" s="0" t="n">
        <f aca="false">-G101*(O101/3600)</f>
        <v>-0.424931831078875</v>
      </c>
      <c r="S101" s="0" t="n">
        <f aca="false">-1*I101-(H101*(P101/3600))</f>
        <v>-19.5</v>
      </c>
      <c r="T101" s="0" t="n">
        <f aca="false">-H101*(O101/3600)</f>
        <v>-2.53564980557247</v>
      </c>
      <c r="U101" s="0" t="n">
        <f aca="false">T101-S101</f>
        <v>16.9643501944275</v>
      </c>
      <c r="V101" s="0" t="n">
        <f aca="false">1/(1+EXP(U101))</f>
        <v>4.29018779321037E-008</v>
      </c>
      <c r="W101" s="0" t="n">
        <f aca="true">RAND()</f>
        <v>0.618674618582988</v>
      </c>
      <c r="X101" s="0" t="n">
        <f aca="false">IF(W101&lt;V101,1,0)</f>
        <v>0</v>
      </c>
      <c r="Y101" s="0" t="n">
        <f aca="false">(M101*(1-X101)+N101*X101)*D101+M101*E101</f>
        <v>984.082392388945</v>
      </c>
      <c r="Z101" s="0" t="n">
        <f aca="false">((1-X101)*O101+X101*P101)*D101+E101*O101</f>
        <v>88.1469471197812</v>
      </c>
      <c r="AA101" s="0" t="n">
        <f aca="false">IF(D101*X101&gt;0,AA100,Q101)</f>
        <v>8</v>
      </c>
      <c r="AB101" s="0" t="n">
        <f aca="false">(X101*D101)</f>
        <v>0</v>
      </c>
      <c r="AC101" s="0" t="n">
        <f aca="false">SUM(AB$10:AB100)/K101</f>
        <v>0</v>
      </c>
      <c r="AD101" s="0" t="n">
        <f aca="false">R101*E101+D101*(X101*S101+(1-X101)*T101)</f>
        <v>-0.424931831078875</v>
      </c>
      <c r="AE101" s="0" t="n">
        <f aca="false">Z101</f>
        <v>88.1469471197812</v>
      </c>
      <c r="AF101" s="0" t="n">
        <f aca="false">E101*O101</f>
        <v>88.1469471197812</v>
      </c>
      <c r="AG101" s="0" t="n">
        <f aca="false">((1-X101)*O101+X101*P101)*D101</f>
        <v>0</v>
      </c>
      <c r="AH101" s="0" t="n">
        <f aca="false">D101*(LN(EXP(S101)+EXP(T101)))</f>
        <v>-0</v>
      </c>
      <c r="AJ101" s="0" t="n">
        <f aca="false">$J$5</f>
        <v>10</v>
      </c>
      <c r="AK101" s="4" t="n">
        <f aca="false">AJ101+MAX(K101,AK$10:AK100)</f>
        <v>984.082392388945</v>
      </c>
      <c r="AL101" s="5" t="n">
        <f aca="false">AK101-K101</f>
        <v>88.1469471197812</v>
      </c>
      <c r="AM101" s="0" t="n">
        <f aca="false">-G101*AL101/3600</f>
        <v>-0.424931831078875</v>
      </c>
      <c r="AN101" s="0" t="n">
        <f aca="false">-H101*AL101/3600</f>
        <v>-2.53564980557247</v>
      </c>
      <c r="AO101" s="0" t="n">
        <f aca="false">AM101*E101+AN101*D101</f>
        <v>-0.424931831078875</v>
      </c>
      <c r="AP101" s="0" t="n">
        <f aca="false">AL101*D101</f>
        <v>0</v>
      </c>
      <c r="AR101" s="0" t="n">
        <f aca="false">AN101*D101</f>
        <v>-0</v>
      </c>
      <c r="AS101" s="0" t="n">
        <f aca="false">AH101-AR101</f>
        <v>0</v>
      </c>
    </row>
    <row r="102" customFormat="false" ht="12" hidden="false" customHeight="false" outlineLevel="0" collapsed="false">
      <c r="A102" s="3" t="n">
        <f aca="false">A101+1</f>
        <v>93</v>
      </c>
      <c r="B102" s="3" t="n">
        <f aca="false">IF(A102&lt;$N$4/3,0.1,(IF(A102&gt;2*$N$4/3,0.05,0.12)))</f>
        <v>0.1</v>
      </c>
      <c r="C102" s="4" t="n">
        <f aca="true">RAND()</f>
        <v>0.734149745804276</v>
      </c>
      <c r="D102" s="0" t="n">
        <f aca="false">IF((C102&gt;$M$2),1,0)</f>
        <v>0</v>
      </c>
      <c r="E102" s="0" t="n">
        <f aca="false">1-D102</f>
        <v>1</v>
      </c>
      <c r="F102" s="0" t="n">
        <f aca="true">RAND()</f>
        <v>0.660998653773907</v>
      </c>
      <c r="G102" s="0" t="n">
        <f aca="false">7.75+F102*10</f>
        <v>14.3599865377391</v>
      </c>
      <c r="H102" s="0" t="n">
        <f aca="false">LOGINV(F102,2.64,1.139)</f>
        <v>22.4861959255811</v>
      </c>
      <c r="I102" s="0" t="n">
        <v>19.5</v>
      </c>
      <c r="J102" s="4" t="n">
        <f aca="true">-LN(RAND())/B102</f>
        <v>3.66364500485025</v>
      </c>
      <c r="K102" s="4" t="n">
        <f aca="false">K101+J102</f>
        <v>899.599090274014</v>
      </c>
      <c r="L102" s="4" t="n">
        <f aca="false">(1/$J$4)*(1+AB101)</f>
        <v>10</v>
      </c>
      <c r="M102" s="4" t="n">
        <f aca="false">L102+MAX(K102,Y$10:Y101)</f>
        <v>994.082392388945</v>
      </c>
      <c r="N102" s="4" t="n">
        <f aca="false">K102</f>
        <v>899.599090274014</v>
      </c>
      <c r="O102" s="4" t="n">
        <f aca="false">M102-K102</f>
        <v>94.483302114931</v>
      </c>
      <c r="P102" s="4" t="n">
        <f aca="false">N102-K102</f>
        <v>0</v>
      </c>
      <c r="Q102" s="4" t="n">
        <f aca="false">A102-MATCH(K102,$M$9:M101,1)</f>
        <v>9</v>
      </c>
      <c r="R102" s="0" t="n">
        <f aca="false">-G102*(O102/3600)</f>
        <v>-0.376883040669873</v>
      </c>
      <c r="S102" s="0" t="n">
        <f aca="false">-1*I102-(H102*(P102/3600))</f>
        <v>-19.5</v>
      </c>
      <c r="T102" s="0" t="n">
        <f aca="false">-H102*(O102/3600)</f>
        <v>-0.59015834529228</v>
      </c>
      <c r="U102" s="0" t="n">
        <f aca="false">T102-S102</f>
        <v>18.9098416547077</v>
      </c>
      <c r="V102" s="0" t="n">
        <f aca="false">1/(1+EXP(U102))</f>
        <v>6.13140654369847E-009</v>
      </c>
      <c r="W102" s="0" t="n">
        <f aca="true">RAND()</f>
        <v>0.637344962507773</v>
      </c>
      <c r="X102" s="0" t="n">
        <f aca="false">IF(W102&lt;V102,1,0)</f>
        <v>0</v>
      </c>
      <c r="Y102" s="0" t="n">
        <f aca="false">(M102*(1-X102)+N102*X102)*D102+M102*E102</f>
        <v>994.082392388945</v>
      </c>
      <c r="Z102" s="0" t="n">
        <f aca="false">((1-X102)*O102+X102*P102)*D102+E102*O102</f>
        <v>94.483302114931</v>
      </c>
      <c r="AA102" s="0" t="n">
        <f aca="false">IF(D102*X102&gt;0,AA101,Q102)</f>
        <v>9</v>
      </c>
      <c r="AB102" s="0" t="n">
        <f aca="false">(X102*D102)</f>
        <v>0</v>
      </c>
      <c r="AC102" s="0" t="n">
        <f aca="false">SUM(AB$10:AB101)/K102</f>
        <v>0</v>
      </c>
      <c r="AD102" s="0" t="n">
        <f aca="false">R102*E102+D102*(X102*S102+(1-X102)*T102)</f>
        <v>-0.376883040669873</v>
      </c>
      <c r="AE102" s="0" t="n">
        <f aca="false">Z102</f>
        <v>94.483302114931</v>
      </c>
      <c r="AF102" s="0" t="n">
        <f aca="false">E102*O102</f>
        <v>94.483302114931</v>
      </c>
      <c r="AG102" s="0" t="n">
        <f aca="false">((1-X102)*O102+X102*P102)*D102</f>
        <v>0</v>
      </c>
      <c r="AH102" s="0" t="n">
        <f aca="false">D102*(LN(EXP(S102)+EXP(T102)))</f>
        <v>-0</v>
      </c>
      <c r="AJ102" s="0" t="n">
        <f aca="false">$J$5</f>
        <v>10</v>
      </c>
      <c r="AK102" s="4" t="n">
        <f aca="false">AJ102+MAX(K102,AK$10:AK101)</f>
        <v>994.082392388945</v>
      </c>
      <c r="AL102" s="5" t="n">
        <f aca="false">AK102-K102</f>
        <v>94.483302114931</v>
      </c>
      <c r="AM102" s="0" t="n">
        <f aca="false">-G102*AL102/3600</f>
        <v>-0.376883040669873</v>
      </c>
      <c r="AN102" s="0" t="n">
        <f aca="false">-H102*AL102/3600</f>
        <v>-0.59015834529228</v>
      </c>
      <c r="AO102" s="0" t="n">
        <f aca="false">AM102*E102+AN102*D102</f>
        <v>-0.376883040669873</v>
      </c>
      <c r="AP102" s="0" t="n">
        <f aca="false">AL102*D102</f>
        <v>0</v>
      </c>
      <c r="AR102" s="0" t="n">
        <f aca="false">AN102*D102</f>
        <v>-0</v>
      </c>
      <c r="AS102" s="0" t="n">
        <f aca="false">AH102-AR102</f>
        <v>0</v>
      </c>
    </row>
    <row r="103" customFormat="false" ht="12" hidden="false" customHeight="false" outlineLevel="0" collapsed="false">
      <c r="A103" s="3" t="n">
        <f aca="false">A102+1</f>
        <v>94</v>
      </c>
      <c r="B103" s="3" t="n">
        <f aca="false">IF(A103&lt;$N$4/3,0.1,(IF(A103&gt;2*$N$4/3,0.05,0.12)))</f>
        <v>0.1</v>
      </c>
      <c r="C103" s="4" t="n">
        <f aca="true">RAND()</f>
        <v>0.675959911618839</v>
      </c>
      <c r="D103" s="0" t="n">
        <f aca="false">IF((C103&gt;$M$2),1,0)</f>
        <v>0</v>
      </c>
      <c r="E103" s="0" t="n">
        <f aca="false">1-D103</f>
        <v>1</v>
      </c>
      <c r="F103" s="0" t="n">
        <f aca="true">RAND()</f>
        <v>0.213290589364063</v>
      </c>
      <c r="G103" s="0" t="n">
        <f aca="false">7.75+F103*10</f>
        <v>9.88290589364063</v>
      </c>
      <c r="H103" s="0" t="n">
        <f aca="false">LOGINV(F103,2.64,1.139)</f>
        <v>5.66570710919026</v>
      </c>
      <c r="I103" s="0" t="n">
        <v>19.5</v>
      </c>
      <c r="J103" s="4" t="n">
        <f aca="true">-LN(RAND())/B103</f>
        <v>5.85246170681855</v>
      </c>
      <c r="K103" s="4" t="n">
        <f aca="false">K102+J103</f>
        <v>905.451551980833</v>
      </c>
      <c r="L103" s="4" t="n">
        <f aca="false">(1/$J$4)*(1+AB102)</f>
        <v>10</v>
      </c>
      <c r="M103" s="4" t="n">
        <f aca="false">L103+MAX(K103,Y$10:Y102)</f>
        <v>1004.08239238895</v>
      </c>
      <c r="N103" s="4" t="n">
        <f aca="false">K103</f>
        <v>905.451551980833</v>
      </c>
      <c r="O103" s="4" t="n">
        <f aca="false">M103-K103</f>
        <v>98.6308404081125</v>
      </c>
      <c r="P103" s="4" t="n">
        <f aca="false">N103-K103</f>
        <v>0</v>
      </c>
      <c r="Q103" s="4" t="n">
        <f aca="false">A103-MATCH(K103,$M$9:M102,1)</f>
        <v>9</v>
      </c>
      <c r="R103" s="0" t="n">
        <f aca="false">-G103*(O103/3600)</f>
        <v>-0.270766476101129</v>
      </c>
      <c r="S103" s="0" t="n">
        <f aca="false">-1*I103-(H103*(P103/3600))</f>
        <v>-19.5</v>
      </c>
      <c r="T103" s="0" t="n">
        <f aca="false">-H103*(O103/3600)</f>
        <v>-0.155225959357126</v>
      </c>
      <c r="U103" s="0" t="n">
        <f aca="false">T103-S103</f>
        <v>19.3447740406429</v>
      </c>
      <c r="V103" s="0" t="n">
        <f aca="false">1/(1+EXP(U103))</f>
        <v>3.96891116895433E-009</v>
      </c>
      <c r="W103" s="0" t="n">
        <f aca="true">RAND()</f>
        <v>0.646873397015393</v>
      </c>
      <c r="X103" s="0" t="n">
        <f aca="false">IF(W103&lt;V103,1,0)</f>
        <v>0</v>
      </c>
      <c r="Y103" s="0" t="n">
        <f aca="false">(M103*(1-X103)+N103*X103)*D103+M103*E103</f>
        <v>1004.08239238895</v>
      </c>
      <c r="Z103" s="0" t="n">
        <f aca="false">((1-X103)*O103+X103*P103)*D103+E103*O103</f>
        <v>98.6308404081125</v>
      </c>
      <c r="AA103" s="0" t="n">
        <f aca="false">IF(D103*X103&gt;0,AA102,Q103)</f>
        <v>9</v>
      </c>
      <c r="AB103" s="0" t="n">
        <f aca="false">(X103*D103)</f>
        <v>0</v>
      </c>
      <c r="AC103" s="0" t="n">
        <f aca="false">SUM(AB$10:AB102)/K103</f>
        <v>0</v>
      </c>
      <c r="AD103" s="0" t="n">
        <f aca="false">R103*E103+D103*(X103*S103+(1-X103)*T103)</f>
        <v>-0.270766476101129</v>
      </c>
      <c r="AE103" s="0" t="n">
        <f aca="false">Z103</f>
        <v>98.6308404081125</v>
      </c>
      <c r="AF103" s="0" t="n">
        <f aca="false">E103*O103</f>
        <v>98.6308404081125</v>
      </c>
      <c r="AG103" s="0" t="n">
        <f aca="false">((1-X103)*O103+X103*P103)*D103</f>
        <v>0</v>
      </c>
      <c r="AH103" s="0" t="n">
        <f aca="false">D103*(LN(EXP(S103)+EXP(T103)))</f>
        <v>-0</v>
      </c>
      <c r="AJ103" s="0" t="n">
        <f aca="false">$J$5</f>
        <v>10</v>
      </c>
      <c r="AK103" s="4" t="n">
        <f aca="false">AJ103+MAX(K103,AK$10:AK102)</f>
        <v>1004.08239238895</v>
      </c>
      <c r="AL103" s="5" t="n">
        <f aca="false">AK103-K103</f>
        <v>98.6308404081125</v>
      </c>
      <c r="AM103" s="0" t="n">
        <f aca="false">-G103*AL103/3600</f>
        <v>-0.270766476101129</v>
      </c>
      <c r="AN103" s="0" t="n">
        <f aca="false">-H103*AL103/3600</f>
        <v>-0.155225959357126</v>
      </c>
      <c r="AO103" s="0" t="n">
        <f aca="false">AM103*E103+AN103*D103</f>
        <v>-0.270766476101129</v>
      </c>
      <c r="AP103" s="0" t="n">
        <f aca="false">AL103*D103</f>
        <v>0</v>
      </c>
      <c r="AR103" s="0" t="n">
        <f aca="false">AN103*D103</f>
        <v>-0</v>
      </c>
      <c r="AS103" s="0" t="n">
        <f aca="false">AH103-AR103</f>
        <v>0</v>
      </c>
    </row>
    <row r="104" customFormat="false" ht="12" hidden="false" customHeight="false" outlineLevel="0" collapsed="false">
      <c r="A104" s="3" t="n">
        <f aca="false">A103+1</f>
        <v>95</v>
      </c>
      <c r="B104" s="3" t="n">
        <f aca="false">IF(A104&lt;$N$4/3,0.1,(IF(A104&gt;2*$N$4/3,0.05,0.12)))</f>
        <v>0.1</v>
      </c>
      <c r="C104" s="4" t="n">
        <f aca="true">RAND()</f>
        <v>0.356590173291311</v>
      </c>
      <c r="D104" s="0" t="n">
        <f aca="false">IF((C104&gt;$M$2),1,0)</f>
        <v>0</v>
      </c>
      <c r="E104" s="0" t="n">
        <f aca="false">1-D104</f>
        <v>1</v>
      </c>
      <c r="F104" s="0" t="n">
        <f aca="true">RAND()</f>
        <v>0.963425462210746</v>
      </c>
      <c r="G104" s="0" t="n">
        <f aca="false">7.75+F104*10</f>
        <v>17.3842546221075</v>
      </c>
      <c r="H104" s="0" t="n">
        <f aca="false">LOGINV(F104,2.64,1.139)</f>
        <v>107.87503383652</v>
      </c>
      <c r="I104" s="0" t="n">
        <v>19.5</v>
      </c>
      <c r="J104" s="4" t="n">
        <f aca="true">-LN(RAND())/B104</f>
        <v>8.65965772982093</v>
      </c>
      <c r="K104" s="4" t="n">
        <f aca="false">K103+J104</f>
        <v>914.111209710654</v>
      </c>
      <c r="L104" s="4" t="n">
        <f aca="false">(1/$J$4)*(1+AB103)</f>
        <v>10</v>
      </c>
      <c r="M104" s="4" t="n">
        <f aca="false">L104+MAX(K104,Y$10:Y103)</f>
        <v>1014.08239238895</v>
      </c>
      <c r="N104" s="4" t="n">
        <f aca="false">K104</f>
        <v>914.111209710654</v>
      </c>
      <c r="O104" s="4" t="n">
        <f aca="false">M104-K104</f>
        <v>99.9711826782916</v>
      </c>
      <c r="P104" s="4" t="n">
        <f aca="false">N104-K104</f>
        <v>0</v>
      </c>
      <c r="Q104" s="4" t="n">
        <f aca="false">A104-MATCH(K104,$M$9:M103,1)</f>
        <v>9</v>
      </c>
      <c r="R104" s="0" t="n">
        <f aca="false">-G104*(O104/3600)</f>
        <v>-0.4827568040424</v>
      </c>
      <c r="S104" s="0" t="n">
        <f aca="false">-1*I104-(H104*(P104/3600))</f>
        <v>-19.5</v>
      </c>
      <c r="T104" s="0" t="n">
        <f aca="false">-H104*(O104/3600)</f>
        <v>-2.99566519836045</v>
      </c>
      <c r="U104" s="0" t="n">
        <f aca="false">T104-S104</f>
        <v>16.5043348016396</v>
      </c>
      <c r="V104" s="0" t="n">
        <f aca="false">1/(1+EXP(U104))</f>
        <v>6.79607931346849E-008</v>
      </c>
      <c r="W104" s="0" t="n">
        <f aca="true">RAND()</f>
        <v>0.93562281793926</v>
      </c>
      <c r="X104" s="0" t="n">
        <f aca="false">IF(W104&lt;V104,1,0)</f>
        <v>0</v>
      </c>
      <c r="Y104" s="0" t="n">
        <f aca="false">(M104*(1-X104)+N104*X104)*D104+M104*E104</f>
        <v>1014.08239238895</v>
      </c>
      <c r="Z104" s="0" t="n">
        <f aca="false">((1-X104)*O104+X104*P104)*D104+E104*O104</f>
        <v>99.9711826782916</v>
      </c>
      <c r="AA104" s="0" t="n">
        <f aca="false">IF(D104*X104&gt;0,AA103,Q104)</f>
        <v>9</v>
      </c>
      <c r="AB104" s="0" t="n">
        <f aca="false">(X104*D104)</f>
        <v>0</v>
      </c>
      <c r="AC104" s="0" t="n">
        <f aca="false">SUM(AB$10:AB103)/K104</f>
        <v>0</v>
      </c>
      <c r="AD104" s="0" t="n">
        <f aca="false">R104*E104+D104*(X104*S104+(1-X104)*T104)</f>
        <v>-0.4827568040424</v>
      </c>
      <c r="AE104" s="0" t="n">
        <f aca="false">Z104</f>
        <v>99.9711826782916</v>
      </c>
      <c r="AF104" s="0" t="n">
        <f aca="false">E104*O104</f>
        <v>99.9711826782916</v>
      </c>
      <c r="AG104" s="0" t="n">
        <f aca="false">((1-X104)*O104+X104*P104)*D104</f>
        <v>0</v>
      </c>
      <c r="AH104" s="0" t="n">
        <f aca="false">D104*(LN(EXP(S104)+EXP(T104)))</f>
        <v>-0</v>
      </c>
      <c r="AJ104" s="0" t="n">
        <f aca="false">$J$5</f>
        <v>10</v>
      </c>
      <c r="AK104" s="4" t="n">
        <f aca="false">AJ104+MAX(K104,AK$10:AK103)</f>
        <v>1014.08239238895</v>
      </c>
      <c r="AL104" s="5" t="n">
        <f aca="false">AK104-K104</f>
        <v>99.9711826782916</v>
      </c>
      <c r="AM104" s="0" t="n">
        <f aca="false">-G104*AL104/3600</f>
        <v>-0.4827568040424</v>
      </c>
      <c r="AN104" s="0" t="n">
        <f aca="false">-H104*AL104/3600</f>
        <v>-2.99566519836045</v>
      </c>
      <c r="AO104" s="0" t="n">
        <f aca="false">AM104*E104+AN104*D104</f>
        <v>-0.4827568040424</v>
      </c>
      <c r="AP104" s="0" t="n">
        <f aca="false">AL104*D104</f>
        <v>0</v>
      </c>
      <c r="AR104" s="0" t="n">
        <f aca="false">AN104*D104</f>
        <v>-0</v>
      </c>
      <c r="AS104" s="0" t="n">
        <f aca="false">AH104-AR104</f>
        <v>0</v>
      </c>
    </row>
    <row r="105" customFormat="false" ht="12" hidden="false" customHeight="false" outlineLevel="0" collapsed="false">
      <c r="A105" s="3" t="n">
        <f aca="false">A104+1</f>
        <v>96</v>
      </c>
      <c r="B105" s="3" t="n">
        <f aca="false">IF(A105&lt;$N$4/3,0.1,(IF(A105&gt;2*$N$4/3,0.05,0.12)))</f>
        <v>0.1</v>
      </c>
      <c r="C105" s="4" t="n">
        <f aca="true">RAND()</f>
        <v>0.69933738055084</v>
      </c>
      <c r="D105" s="0" t="n">
        <f aca="false">IF((C105&gt;$M$2),1,0)</f>
        <v>0</v>
      </c>
      <c r="E105" s="0" t="n">
        <f aca="false">1-D105</f>
        <v>1</v>
      </c>
      <c r="F105" s="0" t="n">
        <f aca="true">RAND()</f>
        <v>0.398801500904439</v>
      </c>
      <c r="G105" s="0" t="n">
        <f aca="false">7.75+F105*10</f>
        <v>11.7380150090444</v>
      </c>
      <c r="H105" s="0" t="n">
        <f aca="false">LOGINV(F105,2.64,1.139)</f>
        <v>10.4636033340816</v>
      </c>
      <c r="I105" s="0" t="n">
        <v>19.5</v>
      </c>
      <c r="J105" s="4" t="n">
        <f aca="true">-LN(RAND())/B105</f>
        <v>8.95097277721713</v>
      </c>
      <c r="K105" s="4" t="n">
        <f aca="false">K104+J105</f>
        <v>923.062182487871</v>
      </c>
      <c r="L105" s="4" t="n">
        <f aca="false">(1/$J$4)*(1+AB104)</f>
        <v>10</v>
      </c>
      <c r="M105" s="4" t="n">
        <f aca="false">L105+MAX(K105,Y$10:Y104)</f>
        <v>1024.08239238895</v>
      </c>
      <c r="N105" s="4" t="n">
        <f aca="false">K105</f>
        <v>923.062182487871</v>
      </c>
      <c r="O105" s="4" t="n">
        <f aca="false">M105-K105</f>
        <v>101.020209901074</v>
      </c>
      <c r="P105" s="4" t="n">
        <f aca="false">N105-K105</f>
        <v>0</v>
      </c>
      <c r="Q105" s="4" t="n">
        <f aca="false">A105-MATCH(K105,$M$9:M104,1)</f>
        <v>10</v>
      </c>
      <c r="R105" s="0" t="n">
        <f aca="false">-G105*(O105/3600)</f>
        <v>-0.329382427787674</v>
      </c>
      <c r="S105" s="0" t="n">
        <f aca="false">-1*I105-(H105*(P105/3600))</f>
        <v>-19.5</v>
      </c>
      <c r="T105" s="0" t="n">
        <f aca="false">-H105*(O105/3600)</f>
        <v>-0.293620945869585</v>
      </c>
      <c r="U105" s="0" t="n">
        <f aca="false">T105-S105</f>
        <v>19.2063790541304</v>
      </c>
      <c r="V105" s="0" t="n">
        <f aca="false">1/(1+EXP(U105))</f>
        <v>4.55801297862488E-009</v>
      </c>
      <c r="W105" s="0" t="n">
        <f aca="true">RAND()</f>
        <v>0.683210890888296</v>
      </c>
      <c r="X105" s="0" t="n">
        <f aca="false">IF(W105&lt;V105,1,0)</f>
        <v>0</v>
      </c>
      <c r="Y105" s="0" t="n">
        <f aca="false">(M105*(1-X105)+N105*X105)*D105+M105*E105</f>
        <v>1024.08239238895</v>
      </c>
      <c r="Z105" s="0" t="n">
        <f aca="false">((1-X105)*O105+X105*P105)*D105+E105*O105</f>
        <v>101.020209901074</v>
      </c>
      <c r="AA105" s="0" t="n">
        <f aca="false">IF(D105*X105&gt;0,AA104,Q105)</f>
        <v>10</v>
      </c>
      <c r="AB105" s="0" t="n">
        <f aca="false">(X105*D105)</f>
        <v>0</v>
      </c>
      <c r="AC105" s="0" t="n">
        <f aca="false">SUM(AB$10:AB104)/K105</f>
        <v>0</v>
      </c>
      <c r="AD105" s="0" t="n">
        <f aca="false">R105*E105+D105*(X105*S105+(1-X105)*T105)</f>
        <v>-0.329382427787674</v>
      </c>
      <c r="AE105" s="0" t="n">
        <f aca="false">Z105</f>
        <v>101.020209901074</v>
      </c>
      <c r="AF105" s="0" t="n">
        <f aca="false">E105*O105</f>
        <v>101.020209901074</v>
      </c>
      <c r="AG105" s="0" t="n">
        <f aca="false">((1-X105)*O105+X105*P105)*D105</f>
        <v>0</v>
      </c>
      <c r="AH105" s="0" t="n">
        <f aca="false">D105*(LN(EXP(S105)+EXP(T105)))</f>
        <v>-0</v>
      </c>
      <c r="AJ105" s="0" t="n">
        <f aca="false">$J$5</f>
        <v>10</v>
      </c>
      <c r="AK105" s="4" t="n">
        <f aca="false">AJ105+MAX(K105,AK$10:AK104)</f>
        <v>1024.08239238895</v>
      </c>
      <c r="AL105" s="5" t="n">
        <f aca="false">AK105-K105</f>
        <v>101.020209901074</v>
      </c>
      <c r="AM105" s="0" t="n">
        <f aca="false">-G105*AL105/3600</f>
        <v>-0.329382427787674</v>
      </c>
      <c r="AN105" s="0" t="n">
        <f aca="false">-H105*AL105/3600</f>
        <v>-0.293620945869585</v>
      </c>
      <c r="AO105" s="0" t="n">
        <f aca="false">AM105*E105+AN105*D105</f>
        <v>-0.329382427787674</v>
      </c>
      <c r="AP105" s="0" t="n">
        <f aca="false">AL105*D105</f>
        <v>0</v>
      </c>
      <c r="AR105" s="0" t="n">
        <f aca="false">AN105*D105</f>
        <v>-0</v>
      </c>
      <c r="AS105" s="0" t="n">
        <f aca="false">AH105-AR105</f>
        <v>0</v>
      </c>
    </row>
    <row r="106" customFormat="false" ht="12" hidden="false" customHeight="false" outlineLevel="0" collapsed="false">
      <c r="A106" s="3" t="n">
        <f aca="false">A105+1</f>
        <v>97</v>
      </c>
      <c r="B106" s="3" t="n">
        <f aca="false">IF(A106&lt;$N$4/3,0.1,(IF(A106&gt;2*$N$4/3,0.05,0.12)))</f>
        <v>0.1</v>
      </c>
      <c r="C106" s="4" t="n">
        <f aca="true">RAND()</f>
        <v>0.0260960841804597</v>
      </c>
      <c r="D106" s="0" t="n">
        <f aca="false">IF((C106&gt;$M$2),1,0)</f>
        <v>0</v>
      </c>
      <c r="E106" s="0" t="n">
        <f aca="false">1-D106</f>
        <v>1</v>
      </c>
      <c r="F106" s="0" t="n">
        <f aca="true">RAND()</f>
        <v>0.442713942830697</v>
      </c>
      <c r="G106" s="0" t="n">
        <f aca="false">7.75+F106*10</f>
        <v>12.177139428307</v>
      </c>
      <c r="H106" s="0" t="n">
        <f aca="false">LOGINV(F106,2.64,1.139)</f>
        <v>11.8921593404692</v>
      </c>
      <c r="I106" s="0" t="n">
        <v>19.5</v>
      </c>
      <c r="J106" s="4" t="n">
        <f aca="true">-LN(RAND())/B106</f>
        <v>29.7419516663568</v>
      </c>
      <c r="K106" s="4" t="n">
        <f aca="false">K105+J106</f>
        <v>952.804134154228</v>
      </c>
      <c r="L106" s="4" t="n">
        <f aca="false">(1/$J$4)*(1+AB105)</f>
        <v>10</v>
      </c>
      <c r="M106" s="4" t="n">
        <f aca="false">L106+MAX(K106,Y$10:Y105)</f>
        <v>1034.08239238895</v>
      </c>
      <c r="N106" s="4" t="n">
        <f aca="false">K106</f>
        <v>952.804134154228</v>
      </c>
      <c r="O106" s="4" t="n">
        <f aca="false">M106-K106</f>
        <v>81.2782582347176</v>
      </c>
      <c r="P106" s="4" t="n">
        <f aca="false">N106-K106</f>
        <v>0</v>
      </c>
      <c r="Q106" s="4" t="n">
        <f aca="false">A106-MATCH(K106,$M$9:M105,1)</f>
        <v>8</v>
      </c>
      <c r="R106" s="0" t="n">
        <f aca="false">-G106*(O106/3600)</f>
        <v>-0.274926856392804</v>
      </c>
      <c r="S106" s="0" t="n">
        <f aca="false">-1*I106-(H106*(P106/3600))</f>
        <v>-19.5</v>
      </c>
      <c r="T106" s="0" t="n">
        <f aca="false">-H106*(O106/3600)</f>
        <v>-0.268492777178628</v>
      </c>
      <c r="U106" s="0" t="n">
        <f aca="false">T106-S106</f>
        <v>19.2315072228214</v>
      </c>
      <c r="V106" s="0" t="n">
        <f aca="false">1/(1+EXP(U106))</f>
        <v>4.44490550347939E-009</v>
      </c>
      <c r="W106" s="0" t="n">
        <f aca="true">RAND()</f>
        <v>0.84966693927589</v>
      </c>
      <c r="X106" s="0" t="n">
        <f aca="false">IF(W106&lt;V106,1,0)</f>
        <v>0</v>
      </c>
      <c r="Y106" s="0" t="n">
        <f aca="false">(M106*(1-X106)+N106*X106)*D106+M106*E106</f>
        <v>1034.08239238895</v>
      </c>
      <c r="Z106" s="0" t="n">
        <f aca="false">((1-X106)*O106+X106*P106)*D106+E106*O106</f>
        <v>81.2782582347176</v>
      </c>
      <c r="AA106" s="0" t="n">
        <f aca="false">IF(D106*X106&gt;0,AA105,Q106)</f>
        <v>8</v>
      </c>
      <c r="AB106" s="0" t="n">
        <f aca="false">(X106*D106)</f>
        <v>0</v>
      </c>
      <c r="AC106" s="0" t="n">
        <f aca="false">SUM(AB$10:AB105)/K106</f>
        <v>0</v>
      </c>
      <c r="AD106" s="0" t="n">
        <f aca="false">R106*E106+D106*(X106*S106+(1-X106)*T106)</f>
        <v>-0.274926856392804</v>
      </c>
      <c r="AE106" s="0" t="n">
        <f aca="false">Z106</f>
        <v>81.2782582347176</v>
      </c>
      <c r="AF106" s="0" t="n">
        <f aca="false">E106*O106</f>
        <v>81.2782582347176</v>
      </c>
      <c r="AG106" s="0" t="n">
        <f aca="false">((1-X106)*O106+X106*P106)*D106</f>
        <v>0</v>
      </c>
      <c r="AH106" s="0" t="n">
        <f aca="false">D106*(LN(EXP(S106)+EXP(T106)))</f>
        <v>-0</v>
      </c>
      <c r="AJ106" s="0" t="n">
        <f aca="false">$J$5</f>
        <v>10</v>
      </c>
      <c r="AK106" s="4" t="n">
        <f aca="false">AJ106+MAX(K106,AK$10:AK105)</f>
        <v>1034.08239238895</v>
      </c>
      <c r="AL106" s="5" t="n">
        <f aca="false">AK106-K106</f>
        <v>81.2782582347176</v>
      </c>
      <c r="AM106" s="0" t="n">
        <f aca="false">-G106*AL106/3600</f>
        <v>-0.274926856392804</v>
      </c>
      <c r="AN106" s="0" t="n">
        <f aca="false">-H106*AL106/3600</f>
        <v>-0.268492777178628</v>
      </c>
      <c r="AO106" s="0" t="n">
        <f aca="false">AM106*E106+AN106*D106</f>
        <v>-0.274926856392804</v>
      </c>
      <c r="AP106" s="0" t="n">
        <f aca="false">AL106*D106</f>
        <v>0</v>
      </c>
      <c r="AR106" s="0" t="n">
        <f aca="false">AN106*D106</f>
        <v>-0</v>
      </c>
      <c r="AS106" s="0" t="n">
        <f aca="false">AH106-AR106</f>
        <v>0</v>
      </c>
    </row>
    <row r="107" customFormat="false" ht="12" hidden="false" customHeight="false" outlineLevel="0" collapsed="false">
      <c r="A107" s="3" t="n">
        <f aca="false">A106+1</f>
        <v>98</v>
      </c>
      <c r="B107" s="3" t="n">
        <f aca="false">IF(A107&lt;$N$4/3,0.1,(IF(A107&gt;2*$N$4/3,0.05,0.12)))</f>
        <v>0.1</v>
      </c>
      <c r="C107" s="4" t="n">
        <f aca="true">RAND()</f>
        <v>0.459724477557779</v>
      </c>
      <c r="D107" s="0" t="n">
        <f aca="false">IF((C107&gt;$M$2),1,0)</f>
        <v>0</v>
      </c>
      <c r="E107" s="0" t="n">
        <f aca="false">1-D107</f>
        <v>1</v>
      </c>
      <c r="F107" s="0" t="n">
        <f aca="true">RAND()</f>
        <v>0.195739500104672</v>
      </c>
      <c r="G107" s="0" t="n">
        <f aca="false">7.75+F107*10</f>
        <v>9.70739500104672</v>
      </c>
      <c r="H107" s="0" t="n">
        <f aca="false">LOGINV(F107,2.64,1.139)</f>
        <v>5.28011199477125</v>
      </c>
      <c r="I107" s="0" t="n">
        <v>19.5</v>
      </c>
      <c r="J107" s="4" t="n">
        <f aca="true">-LN(RAND())/B107</f>
        <v>1.10238337652102</v>
      </c>
      <c r="K107" s="4" t="n">
        <f aca="false">K106+J107</f>
        <v>953.906517530749</v>
      </c>
      <c r="L107" s="4" t="n">
        <f aca="false">(1/$J$4)*(1+AB106)</f>
        <v>10</v>
      </c>
      <c r="M107" s="4" t="n">
        <f aca="false">L107+MAX(K107,Y$10:Y106)</f>
        <v>1044.08239238895</v>
      </c>
      <c r="N107" s="4" t="n">
        <f aca="false">K107</f>
        <v>953.906517530749</v>
      </c>
      <c r="O107" s="4" t="n">
        <f aca="false">M107-K107</f>
        <v>90.1758748581965</v>
      </c>
      <c r="P107" s="4" t="n">
        <f aca="false">N107-K107</f>
        <v>0</v>
      </c>
      <c r="Q107" s="4" t="n">
        <f aca="false">A107-MATCH(K107,$M$9:M106,1)</f>
        <v>9</v>
      </c>
      <c r="R107" s="0" t="n">
        <f aca="false">-G107*(O107/3600)</f>
        <v>-0.243159121337075</v>
      </c>
      <c r="S107" s="0" t="n">
        <f aca="false">-1*I107-(H107*(P107/3600))</f>
        <v>-19.5</v>
      </c>
      <c r="T107" s="0" t="n">
        <f aca="false">-H107*(O107/3600)</f>
        <v>-0.132260755132709</v>
      </c>
      <c r="U107" s="0" t="n">
        <f aca="false">T107-S107</f>
        <v>19.3677392448673</v>
      </c>
      <c r="V107" s="0" t="n">
        <f aca="false">1/(1+EXP(U107))</f>
        <v>3.87880295080622E-009</v>
      </c>
      <c r="W107" s="0" t="n">
        <f aca="true">RAND()</f>
        <v>0.0218008770510346</v>
      </c>
      <c r="X107" s="0" t="n">
        <f aca="false">IF(W107&lt;V107,1,0)</f>
        <v>0</v>
      </c>
      <c r="Y107" s="0" t="n">
        <f aca="false">(M107*(1-X107)+N107*X107)*D107+M107*E107</f>
        <v>1044.08239238895</v>
      </c>
      <c r="Z107" s="0" t="n">
        <f aca="false">((1-X107)*O107+X107*P107)*D107+E107*O107</f>
        <v>90.1758748581965</v>
      </c>
      <c r="AA107" s="0" t="n">
        <f aca="false">IF(D107*X107&gt;0,AA106,Q107)</f>
        <v>9</v>
      </c>
      <c r="AB107" s="0" t="n">
        <f aca="false">(X107*D107)</f>
        <v>0</v>
      </c>
      <c r="AC107" s="0" t="n">
        <f aca="false">SUM(AB$10:AB106)/K107</f>
        <v>0</v>
      </c>
      <c r="AD107" s="0" t="n">
        <f aca="false">R107*E107+D107*(X107*S107+(1-X107)*T107)</f>
        <v>-0.243159121337075</v>
      </c>
      <c r="AE107" s="0" t="n">
        <f aca="false">Z107</f>
        <v>90.1758748581965</v>
      </c>
      <c r="AF107" s="0" t="n">
        <f aca="false">E107*O107</f>
        <v>90.1758748581965</v>
      </c>
      <c r="AG107" s="0" t="n">
        <f aca="false">((1-X107)*O107+X107*P107)*D107</f>
        <v>0</v>
      </c>
      <c r="AH107" s="0" t="n">
        <f aca="false">D107*(LN(EXP(S107)+EXP(T107)))</f>
        <v>-0</v>
      </c>
      <c r="AJ107" s="0" t="n">
        <f aca="false">$J$5</f>
        <v>10</v>
      </c>
      <c r="AK107" s="4" t="n">
        <f aca="false">AJ107+MAX(K107,AK$10:AK106)</f>
        <v>1044.08239238895</v>
      </c>
      <c r="AL107" s="5" t="n">
        <f aca="false">AK107-K107</f>
        <v>90.1758748581965</v>
      </c>
      <c r="AM107" s="0" t="n">
        <f aca="false">-G107*AL107/3600</f>
        <v>-0.243159121337075</v>
      </c>
      <c r="AN107" s="0" t="n">
        <f aca="false">-H107*AL107/3600</f>
        <v>-0.132260755132709</v>
      </c>
      <c r="AO107" s="0" t="n">
        <f aca="false">AM107*E107+AN107*D107</f>
        <v>-0.243159121337075</v>
      </c>
      <c r="AP107" s="0" t="n">
        <f aca="false">AL107*D107</f>
        <v>0</v>
      </c>
      <c r="AR107" s="0" t="n">
        <f aca="false">AN107*D107</f>
        <v>-0</v>
      </c>
      <c r="AS107" s="0" t="n">
        <f aca="false">AH107-AR107</f>
        <v>0</v>
      </c>
    </row>
    <row r="108" customFormat="false" ht="12" hidden="false" customHeight="false" outlineLevel="0" collapsed="false">
      <c r="A108" s="3" t="n">
        <f aca="false">A107+1</f>
        <v>99</v>
      </c>
      <c r="B108" s="3" t="n">
        <f aca="false">IF(A108&lt;$N$4/3,0.1,(IF(A108&gt;2*$N$4/3,0.05,0.12)))</f>
        <v>0.1</v>
      </c>
      <c r="C108" s="4" t="n">
        <f aca="true">RAND()</f>
        <v>0.992232365287481</v>
      </c>
      <c r="D108" s="0" t="n">
        <f aca="false">IF((C108&gt;$M$2),1,0)</f>
        <v>1</v>
      </c>
      <c r="E108" s="0" t="n">
        <f aca="false">1-D108</f>
        <v>0</v>
      </c>
      <c r="F108" s="0" t="n">
        <f aca="true">RAND()</f>
        <v>0.36989320253495</v>
      </c>
      <c r="G108" s="0" t="n">
        <f aca="false">7.75+F108*10</f>
        <v>11.4489320253495</v>
      </c>
      <c r="H108" s="0" t="n">
        <f aca="false">LOGINV(F108,2.64,1.139)</f>
        <v>9.59936404442468</v>
      </c>
      <c r="I108" s="0" t="n">
        <v>19.5</v>
      </c>
      <c r="J108" s="4" t="n">
        <f aca="true">-LN(RAND())/B108</f>
        <v>4.59831182391197</v>
      </c>
      <c r="K108" s="4" t="n">
        <f aca="false">K107+J108</f>
        <v>958.504829354661</v>
      </c>
      <c r="L108" s="4" t="n">
        <f aca="false">(1/$J$4)*(1+AB107)</f>
        <v>10</v>
      </c>
      <c r="M108" s="4" t="n">
        <f aca="false">L108+MAX(K108,Y$10:Y107)</f>
        <v>1054.08239238895</v>
      </c>
      <c r="N108" s="4" t="n">
        <f aca="false">K108</f>
        <v>958.504829354661</v>
      </c>
      <c r="O108" s="4" t="n">
        <f aca="false">M108-K108</f>
        <v>95.5775630342845</v>
      </c>
      <c r="P108" s="4" t="n">
        <f aca="false">N108-K108</f>
        <v>0</v>
      </c>
      <c r="Q108" s="4" t="n">
        <f aca="false">A108-MATCH(K108,$M$9:M107,1)</f>
        <v>9</v>
      </c>
      <c r="R108" s="0" t="n">
        <f aca="false">-G108*(O108/3600)</f>
        <v>-0.303961395091133</v>
      </c>
      <c r="S108" s="0" t="n">
        <f aca="false">-1*I108-(H108*(P108/3600))</f>
        <v>-19.5</v>
      </c>
      <c r="T108" s="0" t="n">
        <f aca="false">-H108*(O108/3600)</f>
        <v>-0.254856617234734</v>
      </c>
      <c r="U108" s="0" t="n">
        <f aca="false">T108-S108</f>
        <v>19.2451433827653</v>
      </c>
      <c r="V108" s="0" t="n">
        <f aca="false">1/(1+EXP(U108))</f>
        <v>4.3847054430122E-009</v>
      </c>
      <c r="W108" s="0" t="n">
        <f aca="true">RAND()</f>
        <v>0.174514116894681</v>
      </c>
      <c r="X108" s="0" t="n">
        <f aca="false">IF(W108&lt;V108,1,0)</f>
        <v>0</v>
      </c>
      <c r="Y108" s="0" t="n">
        <f aca="false">(M108*(1-X108)+N108*X108)*D108+M108*E108</f>
        <v>1054.08239238895</v>
      </c>
      <c r="Z108" s="0" t="n">
        <f aca="false">((1-X108)*O108+X108*P108)*D108+E108*O108</f>
        <v>95.5775630342845</v>
      </c>
      <c r="AA108" s="0" t="n">
        <f aca="false">IF(D108*X108&gt;0,AA107,Q108)</f>
        <v>9</v>
      </c>
      <c r="AB108" s="0" t="n">
        <f aca="false">(X108*D108)</f>
        <v>0</v>
      </c>
      <c r="AC108" s="0" t="n">
        <f aca="false">SUM(AB$10:AB107)/K108</f>
        <v>0</v>
      </c>
      <c r="AD108" s="0" t="n">
        <f aca="false">R108*E108+D108*(X108*S108+(1-X108)*T108)</f>
        <v>-0.254856617234734</v>
      </c>
      <c r="AE108" s="0" t="n">
        <f aca="false">Z108</f>
        <v>95.5775630342845</v>
      </c>
      <c r="AF108" s="0" t="n">
        <f aca="false">E108*O108</f>
        <v>0</v>
      </c>
      <c r="AG108" s="0" t="n">
        <f aca="false">((1-X108)*O108+X108*P108)*D108</f>
        <v>95.5775630342845</v>
      </c>
      <c r="AH108" s="0" t="n">
        <f aca="false">D108*(LN(EXP(S108)+EXP(T108)))</f>
        <v>-0.254856612850029</v>
      </c>
      <c r="AJ108" s="0" t="n">
        <f aca="false">$J$5</f>
        <v>10</v>
      </c>
      <c r="AK108" s="4" t="n">
        <f aca="false">AJ108+MAX(K108,AK$10:AK107)</f>
        <v>1054.08239238895</v>
      </c>
      <c r="AL108" s="5" t="n">
        <f aca="false">AK108-K108</f>
        <v>95.5775630342845</v>
      </c>
      <c r="AM108" s="0" t="n">
        <f aca="false">-G108*AL108/3600</f>
        <v>-0.303961395091133</v>
      </c>
      <c r="AN108" s="0" t="n">
        <f aca="false">-H108*AL108/3600</f>
        <v>-0.254856617234734</v>
      </c>
      <c r="AO108" s="0" t="n">
        <f aca="false">AM108*E108+AN108*D108</f>
        <v>-0.254856617234734</v>
      </c>
      <c r="AP108" s="0" t="n">
        <f aca="false">AL108*D108</f>
        <v>95.5775630342845</v>
      </c>
      <c r="AR108" s="0" t="n">
        <f aca="false">AN108*D108</f>
        <v>-0.254856617234734</v>
      </c>
      <c r="AS108" s="0" t="n">
        <f aca="false">AH108-AR108</f>
        <v>4.38470537655888E-009</v>
      </c>
    </row>
    <row r="109" customFormat="false" ht="12" hidden="false" customHeight="false" outlineLevel="0" collapsed="false">
      <c r="A109" s="3" t="n">
        <f aca="false">A108+1</f>
        <v>100</v>
      </c>
      <c r="B109" s="3" t="n">
        <f aca="false">IF(A109&lt;$N$4/3,0.1,(IF(A109&gt;2*$N$4/3,0.05,0.12)))</f>
        <v>0.1</v>
      </c>
      <c r="C109" s="4" t="n">
        <f aca="true">RAND()</f>
        <v>0.984524496420662</v>
      </c>
      <c r="D109" s="0" t="n">
        <f aca="false">IF((C109&gt;$M$2),1,0)</f>
        <v>1</v>
      </c>
      <c r="E109" s="0" t="n">
        <f aca="false">1-D109</f>
        <v>0</v>
      </c>
      <c r="F109" s="0" t="n">
        <f aca="true">RAND()</f>
        <v>0.573197095997377</v>
      </c>
      <c r="G109" s="0" t="n">
        <f aca="false">7.75+F109*10</f>
        <v>13.4819709599738</v>
      </c>
      <c r="H109" s="0" t="n">
        <f aca="false">LOGINV(F109,2.64,1.139)</f>
        <v>17.2906845143973</v>
      </c>
      <c r="I109" s="0" t="n">
        <v>19.5</v>
      </c>
      <c r="J109" s="4" t="n">
        <f aca="true">-LN(RAND())/B109</f>
        <v>3.84002498147604</v>
      </c>
      <c r="K109" s="4" t="n">
        <f aca="false">K108+J109</f>
        <v>962.344854336137</v>
      </c>
      <c r="L109" s="4" t="n">
        <f aca="false">(1/$J$4)*(1+AB108)</f>
        <v>10</v>
      </c>
      <c r="M109" s="4" t="n">
        <f aca="false">L109+MAX(K109,Y$10:Y108)</f>
        <v>1064.08239238895</v>
      </c>
      <c r="N109" s="4" t="n">
        <f aca="false">K109</f>
        <v>962.344854336137</v>
      </c>
      <c r="O109" s="4" t="n">
        <f aca="false">M109-K109</f>
        <v>101.737538052808</v>
      </c>
      <c r="P109" s="4" t="n">
        <f aca="false">N109-K109</f>
        <v>0</v>
      </c>
      <c r="Q109" s="4" t="n">
        <f aca="false">A109-MATCH(K109,$M$9:M108,1)</f>
        <v>10</v>
      </c>
      <c r="R109" s="0" t="n">
        <f aca="false">-G109*(O109/3600)</f>
        <v>-0.381006259324219</v>
      </c>
      <c r="S109" s="0" t="n">
        <f aca="false">-1*I109-(H109*(P109/3600))</f>
        <v>-19.5</v>
      </c>
      <c r="T109" s="0" t="n">
        <f aca="false">-H109*(O109/3600)</f>
        <v>-0.488642131595166</v>
      </c>
      <c r="U109" s="0" t="n">
        <f aca="false">T109-S109</f>
        <v>19.0113578684048</v>
      </c>
      <c r="V109" s="0" t="n">
        <f aca="false">1/(1+EXP(U109))</f>
        <v>5.53952060156881E-009</v>
      </c>
      <c r="W109" s="0" t="n">
        <f aca="true">RAND()</f>
        <v>0.859491536406521</v>
      </c>
      <c r="X109" s="0" t="n">
        <f aca="false">IF(W109&lt;V109,1,0)</f>
        <v>0</v>
      </c>
      <c r="Y109" s="0" t="n">
        <f aca="false">(M109*(1-X109)+N109*X109)*D109+M109*E109</f>
        <v>1064.08239238895</v>
      </c>
      <c r="Z109" s="0" t="n">
        <f aca="false">((1-X109)*O109+X109*P109)*D109+E109*O109</f>
        <v>101.737538052808</v>
      </c>
      <c r="AA109" s="0" t="n">
        <f aca="false">IF(D109*X109&gt;0,AA108,Q109)</f>
        <v>10</v>
      </c>
      <c r="AB109" s="0" t="n">
        <f aca="false">(X109*D109)</f>
        <v>0</v>
      </c>
      <c r="AC109" s="0" t="n">
        <f aca="false">SUM(AB$10:AB108)/K109</f>
        <v>0</v>
      </c>
      <c r="AD109" s="0" t="n">
        <f aca="false">R109*E109+D109*(X109*S109+(1-X109)*T109)</f>
        <v>-0.488642131595166</v>
      </c>
      <c r="AE109" s="0" t="n">
        <f aca="false">Z109</f>
        <v>101.737538052808</v>
      </c>
      <c r="AF109" s="0" t="n">
        <f aca="false">E109*O109</f>
        <v>0</v>
      </c>
      <c r="AG109" s="0" t="n">
        <f aca="false">((1-X109)*O109+X109*P109)*D109</f>
        <v>101.737538052808</v>
      </c>
      <c r="AH109" s="0" t="n">
        <f aca="false">D109*(LN(EXP(S109)+EXP(T109)))</f>
        <v>-0.488642126055645</v>
      </c>
      <c r="AJ109" s="0" t="n">
        <f aca="false">$J$5</f>
        <v>10</v>
      </c>
      <c r="AK109" s="4" t="n">
        <f aca="false">AJ109+MAX(K109,AK$10:AK108)</f>
        <v>1064.08239238895</v>
      </c>
      <c r="AL109" s="5" t="n">
        <f aca="false">AK109-K109</f>
        <v>101.737538052808</v>
      </c>
      <c r="AM109" s="0" t="n">
        <f aca="false">-G109*AL109/3600</f>
        <v>-0.381006259324219</v>
      </c>
      <c r="AN109" s="0" t="n">
        <f aca="false">-H109*AL109/3600</f>
        <v>-0.488642131595166</v>
      </c>
      <c r="AO109" s="0" t="n">
        <f aca="false">AM109*E109+AN109*D109</f>
        <v>-0.488642131595166</v>
      </c>
      <c r="AP109" s="0" t="n">
        <f aca="false">AL109*D109</f>
        <v>101.737538052808</v>
      </c>
      <c r="AR109" s="0" t="n">
        <f aca="false">AN109*D109</f>
        <v>-0.488642131595166</v>
      </c>
      <c r="AS109" s="0" t="n">
        <f aca="false">AH109-AR109</f>
        <v>5.53952067550156E-009</v>
      </c>
    </row>
    <row r="110" customFormat="false" ht="12" hidden="false" customHeight="false" outlineLevel="0" collapsed="false">
      <c r="A110" s="3" t="n">
        <f aca="false">A109+1</f>
        <v>101</v>
      </c>
      <c r="B110" s="3" t="n">
        <f aca="false">IF(A110&lt;$N$4/3,0.1,(IF(A110&gt;2*$N$4/3,0.05,0.12)))</f>
        <v>0.1</v>
      </c>
      <c r="C110" s="4" t="n">
        <f aca="true">RAND()</f>
        <v>0.407479847138995</v>
      </c>
      <c r="D110" s="0" t="n">
        <f aca="false">IF((C110&gt;$M$2),1,0)</f>
        <v>0</v>
      </c>
      <c r="E110" s="0" t="n">
        <f aca="false">1-D110</f>
        <v>1</v>
      </c>
      <c r="F110" s="0" t="n">
        <f aca="true">RAND()</f>
        <v>0.286689705686617</v>
      </c>
      <c r="G110" s="0" t="n">
        <f aca="false">7.75+F110*10</f>
        <v>10.6168970568662</v>
      </c>
      <c r="H110" s="0" t="n">
        <f aca="false">LOGINV(F110,2.64,1.139)</f>
        <v>7.37908915359553</v>
      </c>
      <c r="I110" s="0" t="n">
        <v>19.5</v>
      </c>
      <c r="J110" s="4" t="n">
        <f aca="true">-LN(RAND())/B110</f>
        <v>4.40862641210592</v>
      </c>
      <c r="K110" s="4" t="n">
        <f aca="false">K109+J110</f>
        <v>966.753480748243</v>
      </c>
      <c r="L110" s="4" t="n">
        <f aca="false">(1/$J$4)*(1+AB109)</f>
        <v>10</v>
      </c>
      <c r="M110" s="4" t="n">
        <f aca="false">L110+MAX(K110,Y$10:Y109)</f>
        <v>1074.08239238895</v>
      </c>
      <c r="N110" s="4" t="n">
        <f aca="false">K110</f>
        <v>966.753480748243</v>
      </c>
      <c r="O110" s="4" t="n">
        <f aca="false">M110-K110</f>
        <v>107.328911640702</v>
      </c>
      <c r="P110" s="4" t="n">
        <f aca="false">N110-K110</f>
        <v>0</v>
      </c>
      <c r="Q110" s="4" t="n">
        <f aca="false">A110-MATCH(K110,$M$9:M109,1)</f>
        <v>10</v>
      </c>
      <c r="R110" s="0" t="n">
        <f aca="false">-G110*(O110/3600)</f>
        <v>-0.31652777947634</v>
      </c>
      <c r="S110" s="0" t="n">
        <f aca="false">-1*I110-(H110*(P110/3600))</f>
        <v>-19.5</v>
      </c>
      <c r="T110" s="0" t="n">
        <f aca="false">-H110*(O110/3600)</f>
        <v>-0.219997113265311</v>
      </c>
      <c r="U110" s="0" t="n">
        <f aca="false">T110-S110</f>
        <v>19.2800028867347</v>
      </c>
      <c r="V110" s="0" t="n">
        <f aca="false">1/(1+EXP(U110))</f>
        <v>4.23449021237834E-009</v>
      </c>
      <c r="W110" s="0" t="n">
        <f aca="true">RAND()</f>
        <v>0.255859678908149</v>
      </c>
      <c r="X110" s="0" t="n">
        <f aca="false">IF(W110&lt;V110,1,0)</f>
        <v>0</v>
      </c>
      <c r="Y110" s="0" t="n">
        <f aca="false">(M110*(1-X110)+N110*X110)*D110+M110*E110</f>
        <v>1074.08239238895</v>
      </c>
      <c r="Z110" s="0" t="n">
        <f aca="false">((1-X110)*O110+X110*P110)*D110+E110*O110</f>
        <v>107.328911640702</v>
      </c>
      <c r="AA110" s="0" t="n">
        <f aca="false">IF(D110*X110&gt;0,AA109,Q110)</f>
        <v>10</v>
      </c>
      <c r="AB110" s="0" t="n">
        <f aca="false">(X110*D110)</f>
        <v>0</v>
      </c>
      <c r="AC110" s="0" t="n">
        <f aca="false">SUM(AB$10:AB109)/K110</f>
        <v>0</v>
      </c>
      <c r="AD110" s="0" t="n">
        <f aca="false">R110*E110+D110*(X110*S110+(1-X110)*T110)</f>
        <v>-0.31652777947634</v>
      </c>
      <c r="AE110" s="0" t="n">
        <f aca="false">Z110</f>
        <v>107.328911640702</v>
      </c>
      <c r="AF110" s="0" t="n">
        <f aca="false">E110*O110</f>
        <v>107.328911640702</v>
      </c>
      <c r="AG110" s="0" t="n">
        <f aca="false">((1-X110)*O110+X110*P110)*D110</f>
        <v>0</v>
      </c>
      <c r="AH110" s="0" t="n">
        <f aca="false">D110*(LN(EXP(S110)+EXP(T110)))</f>
        <v>-0</v>
      </c>
      <c r="AJ110" s="0" t="n">
        <f aca="false">$J$5</f>
        <v>10</v>
      </c>
      <c r="AK110" s="4" t="n">
        <f aca="false">AJ110+MAX(K110,AK$10:AK109)</f>
        <v>1074.08239238895</v>
      </c>
      <c r="AL110" s="5" t="n">
        <f aca="false">AK110-K110</f>
        <v>107.328911640702</v>
      </c>
      <c r="AM110" s="0" t="n">
        <f aca="false">-G110*AL110/3600</f>
        <v>-0.31652777947634</v>
      </c>
      <c r="AN110" s="0" t="n">
        <f aca="false">-H110*AL110/3600</f>
        <v>-0.219997113265311</v>
      </c>
      <c r="AO110" s="0" t="n">
        <f aca="false">AM110*E110+AN110*D110</f>
        <v>-0.31652777947634</v>
      </c>
      <c r="AP110" s="0" t="n">
        <f aca="false">AL110*D110</f>
        <v>0</v>
      </c>
      <c r="AR110" s="0" t="n">
        <f aca="false">AN110*D110</f>
        <v>-0</v>
      </c>
      <c r="AS110" s="0" t="n">
        <f aca="false">AH110-AR110</f>
        <v>0</v>
      </c>
    </row>
    <row r="111" customFormat="false" ht="12" hidden="false" customHeight="false" outlineLevel="0" collapsed="false">
      <c r="A111" s="3" t="n">
        <f aca="false">A110+1</f>
        <v>102</v>
      </c>
      <c r="B111" s="3" t="n">
        <f aca="false">IF(A111&lt;$N$4/3,0.1,(IF(A111&gt;2*$N$4/3,0.05,0.12)))</f>
        <v>0.1</v>
      </c>
      <c r="C111" s="4" t="n">
        <f aca="true">RAND()</f>
        <v>0.334328174909313</v>
      </c>
      <c r="D111" s="0" t="n">
        <f aca="false">IF((C111&gt;$M$2),1,0)</f>
        <v>0</v>
      </c>
      <c r="E111" s="0" t="n">
        <f aca="false">1-D111</f>
        <v>1</v>
      </c>
      <c r="F111" s="0" t="n">
        <f aca="true">RAND()</f>
        <v>0.732191927056674</v>
      </c>
      <c r="G111" s="0" t="n">
        <f aca="false">7.75+F111*10</f>
        <v>15.0719192705667</v>
      </c>
      <c r="H111" s="0" t="n">
        <f aca="false">LOGINV(F111,2.64,1.139)</f>
        <v>28.3764657481058</v>
      </c>
      <c r="I111" s="0" t="n">
        <v>19.5</v>
      </c>
      <c r="J111" s="4" t="n">
        <f aca="true">-LN(RAND())/B111</f>
        <v>11.2800896514331</v>
      </c>
      <c r="K111" s="4" t="n">
        <f aca="false">K110+J111</f>
        <v>978.033570399676</v>
      </c>
      <c r="L111" s="4" t="n">
        <f aca="false">(1/$J$4)*(1+AB110)</f>
        <v>10</v>
      </c>
      <c r="M111" s="4" t="n">
        <f aca="false">L111+MAX(K111,Y$10:Y110)</f>
        <v>1084.08239238895</v>
      </c>
      <c r="N111" s="4" t="n">
        <f aca="false">K111</f>
        <v>978.033570399676</v>
      </c>
      <c r="O111" s="4" t="n">
        <f aca="false">M111-K111</f>
        <v>106.048821989269</v>
      </c>
      <c r="P111" s="4" t="n">
        <f aca="false">N111-K111</f>
        <v>0</v>
      </c>
      <c r="Q111" s="4" t="n">
        <f aca="false">A111-MATCH(K111,$M$9:M110,1)</f>
        <v>10</v>
      </c>
      <c r="R111" s="0" t="n">
        <f aca="false">-G111*(O111/3600)</f>
        <v>-0.443988689933603</v>
      </c>
      <c r="S111" s="0" t="n">
        <f aca="false">-1*I111-(H111*(P111/3600))</f>
        <v>-19.5</v>
      </c>
      <c r="T111" s="0" t="n">
        <f aca="false">-H111*(O111/3600)</f>
        <v>-0.835914101334853</v>
      </c>
      <c r="U111" s="0" t="n">
        <f aca="false">T111-S111</f>
        <v>18.6640858986651</v>
      </c>
      <c r="V111" s="0" t="n">
        <f aca="false">1/(1+EXP(U111))</f>
        <v>7.83953820686343E-009</v>
      </c>
      <c r="W111" s="0" t="n">
        <f aca="true">RAND()</f>
        <v>0.366658349535305</v>
      </c>
      <c r="X111" s="0" t="n">
        <f aca="false">IF(W111&lt;V111,1,0)</f>
        <v>0</v>
      </c>
      <c r="Y111" s="0" t="n">
        <f aca="false">(M111*(1-X111)+N111*X111)*D111+M111*E111</f>
        <v>1084.08239238895</v>
      </c>
      <c r="Z111" s="0" t="n">
        <f aca="false">((1-X111)*O111+X111*P111)*D111+E111*O111</f>
        <v>106.048821989269</v>
      </c>
      <c r="AA111" s="0" t="n">
        <f aca="false">IF(D111*X111&gt;0,AA110,Q111)</f>
        <v>10</v>
      </c>
      <c r="AB111" s="0" t="n">
        <f aca="false">(X111*D111)</f>
        <v>0</v>
      </c>
      <c r="AC111" s="0" t="n">
        <f aca="false">SUM(AB$10:AB110)/K111</f>
        <v>0</v>
      </c>
      <c r="AD111" s="0" t="n">
        <f aca="false">R111*E111+D111*(X111*S111+(1-X111)*T111)</f>
        <v>-0.443988689933603</v>
      </c>
      <c r="AE111" s="0" t="n">
        <f aca="false">Z111</f>
        <v>106.048821989269</v>
      </c>
      <c r="AF111" s="0" t="n">
        <f aca="false">E111*O111</f>
        <v>106.048821989269</v>
      </c>
      <c r="AG111" s="0" t="n">
        <f aca="false">((1-X111)*O111+X111*P111)*D111</f>
        <v>0</v>
      </c>
      <c r="AH111" s="0" t="n">
        <f aca="false">D111*(LN(EXP(S111)+EXP(T111)))</f>
        <v>-0</v>
      </c>
      <c r="AJ111" s="0" t="n">
        <f aca="false">$J$5</f>
        <v>10</v>
      </c>
      <c r="AK111" s="4" t="n">
        <f aca="false">AJ111+MAX(K111,AK$10:AK110)</f>
        <v>1084.08239238895</v>
      </c>
      <c r="AL111" s="5" t="n">
        <f aca="false">AK111-K111</f>
        <v>106.048821989269</v>
      </c>
      <c r="AM111" s="0" t="n">
        <f aca="false">-G111*AL111/3600</f>
        <v>-0.443988689933603</v>
      </c>
      <c r="AN111" s="0" t="n">
        <f aca="false">-H111*AL111/3600</f>
        <v>-0.835914101334853</v>
      </c>
      <c r="AO111" s="0" t="n">
        <f aca="false">AM111*E111+AN111*D111</f>
        <v>-0.443988689933603</v>
      </c>
      <c r="AP111" s="0" t="n">
        <f aca="false">AL111*D111</f>
        <v>0</v>
      </c>
      <c r="AR111" s="0" t="n">
        <f aca="false">AN111*D111</f>
        <v>-0</v>
      </c>
      <c r="AS111" s="0" t="n">
        <f aca="false">AH111-AR111</f>
        <v>0</v>
      </c>
    </row>
    <row r="112" customFormat="false" ht="12" hidden="false" customHeight="false" outlineLevel="0" collapsed="false">
      <c r="A112" s="3" t="n">
        <f aca="false">A111+1</f>
        <v>103</v>
      </c>
      <c r="B112" s="3" t="n">
        <f aca="false">IF(A112&lt;$N$4/3,0.1,(IF(A112&gt;2*$N$4/3,0.05,0.12)))</f>
        <v>0.1</v>
      </c>
      <c r="C112" s="4" t="n">
        <f aca="true">RAND()</f>
        <v>0.788085410478961</v>
      </c>
      <c r="D112" s="0" t="n">
        <f aca="false">IF((C112&gt;$M$2),1,0)</f>
        <v>0</v>
      </c>
      <c r="E112" s="0" t="n">
        <f aca="false">1-D112</f>
        <v>1</v>
      </c>
      <c r="F112" s="0" t="n">
        <f aca="true">RAND()</f>
        <v>0.486482051915436</v>
      </c>
      <c r="G112" s="0" t="n">
        <f aca="false">7.75+F112*10</f>
        <v>12.6148205191544</v>
      </c>
      <c r="H112" s="0" t="n">
        <f aca="false">LOGINV(F112,2.64,1.139)</f>
        <v>13.4825761905644</v>
      </c>
      <c r="I112" s="0" t="n">
        <v>19.5</v>
      </c>
      <c r="J112" s="4" t="n">
        <f aca="true">-LN(RAND())/B112</f>
        <v>4.208810614128</v>
      </c>
      <c r="K112" s="4" t="n">
        <f aca="false">K111+J112</f>
        <v>982.242381013804</v>
      </c>
      <c r="L112" s="4" t="n">
        <f aca="false">(1/$J$4)*(1+AB111)</f>
        <v>10</v>
      </c>
      <c r="M112" s="4" t="n">
        <f aca="false">L112+MAX(K112,Y$10:Y111)</f>
        <v>1094.08239238895</v>
      </c>
      <c r="N112" s="4" t="n">
        <f aca="false">K112</f>
        <v>982.242381013804</v>
      </c>
      <c r="O112" s="4" t="n">
        <f aca="false">M112-K112</f>
        <v>111.840011375141</v>
      </c>
      <c r="P112" s="4" t="n">
        <f aca="false">N112-K112</f>
        <v>0</v>
      </c>
      <c r="Q112" s="4" t="n">
        <f aca="false">A112-MATCH(K112,$M$9:M111,1)</f>
        <v>11</v>
      </c>
      <c r="R112" s="0" t="n">
        <f aca="false">-G112*(O112/3600)</f>
        <v>-0.39190046398822</v>
      </c>
      <c r="S112" s="0" t="n">
        <f aca="false">-1*I112-(H112*(P112/3600))</f>
        <v>-19.5</v>
      </c>
      <c r="T112" s="0" t="n">
        <f aca="false">-H112*(O112/3600)</f>
        <v>-0.418858742921925</v>
      </c>
      <c r="U112" s="0" t="n">
        <f aca="false">T112-S112</f>
        <v>19.0811412570781</v>
      </c>
      <c r="V112" s="0" t="n">
        <f aca="false">1/(1+EXP(U112))</f>
        <v>5.16613369795756E-009</v>
      </c>
      <c r="W112" s="0" t="n">
        <f aca="true">RAND()</f>
        <v>0.0951633577613706</v>
      </c>
      <c r="X112" s="0" t="n">
        <f aca="false">IF(W112&lt;V112,1,0)</f>
        <v>0</v>
      </c>
      <c r="Y112" s="0" t="n">
        <f aca="false">(M112*(1-X112)+N112*X112)*D112+M112*E112</f>
        <v>1094.08239238895</v>
      </c>
      <c r="Z112" s="0" t="n">
        <f aca="false">((1-X112)*O112+X112*P112)*D112+E112*O112</f>
        <v>111.840011375141</v>
      </c>
      <c r="AA112" s="0" t="n">
        <f aca="false">IF(D112*X112&gt;0,AA111,Q112)</f>
        <v>11</v>
      </c>
      <c r="AB112" s="0" t="n">
        <f aca="false">(X112*D112)</f>
        <v>0</v>
      </c>
      <c r="AC112" s="0" t="n">
        <f aca="false">SUM(AB$10:AB111)/K112</f>
        <v>0</v>
      </c>
      <c r="AD112" s="0" t="n">
        <f aca="false">R112*E112+D112*(X112*S112+(1-X112)*T112)</f>
        <v>-0.39190046398822</v>
      </c>
      <c r="AE112" s="0" t="n">
        <f aca="false">Z112</f>
        <v>111.840011375141</v>
      </c>
      <c r="AF112" s="0" t="n">
        <f aca="false">E112*O112</f>
        <v>111.840011375141</v>
      </c>
      <c r="AG112" s="0" t="n">
        <f aca="false">((1-X112)*O112+X112*P112)*D112</f>
        <v>0</v>
      </c>
      <c r="AH112" s="0" t="n">
        <f aca="false">D112*(LN(EXP(S112)+EXP(T112)))</f>
        <v>-0</v>
      </c>
      <c r="AJ112" s="0" t="n">
        <f aca="false">$J$5</f>
        <v>10</v>
      </c>
      <c r="AK112" s="4" t="n">
        <f aca="false">AJ112+MAX(K112,AK$10:AK111)</f>
        <v>1094.08239238895</v>
      </c>
      <c r="AL112" s="5" t="n">
        <f aca="false">AK112-K112</f>
        <v>111.840011375141</v>
      </c>
      <c r="AM112" s="0" t="n">
        <f aca="false">-G112*AL112/3600</f>
        <v>-0.39190046398822</v>
      </c>
      <c r="AN112" s="0" t="n">
        <f aca="false">-H112*AL112/3600</f>
        <v>-0.418858742921925</v>
      </c>
      <c r="AO112" s="0" t="n">
        <f aca="false">AM112*E112+AN112*D112</f>
        <v>-0.39190046398822</v>
      </c>
      <c r="AP112" s="0" t="n">
        <f aca="false">AL112*D112</f>
        <v>0</v>
      </c>
      <c r="AR112" s="0" t="n">
        <f aca="false">AN112*D112</f>
        <v>-0</v>
      </c>
      <c r="AS112" s="0" t="n">
        <f aca="false">AH112-AR112</f>
        <v>0</v>
      </c>
    </row>
    <row r="113" customFormat="false" ht="12" hidden="false" customHeight="false" outlineLevel="0" collapsed="false">
      <c r="A113" s="3" t="n">
        <f aca="false">A112+1</f>
        <v>104</v>
      </c>
      <c r="B113" s="3" t="n">
        <f aca="false">IF(A113&lt;$N$4/3,0.1,(IF(A113&gt;2*$N$4/3,0.05,0.12)))</f>
        <v>0.1</v>
      </c>
      <c r="C113" s="4" t="n">
        <f aca="true">RAND()</f>
        <v>0.323999995807919</v>
      </c>
      <c r="D113" s="0" t="n">
        <f aca="false">IF((C113&gt;$M$2),1,0)</f>
        <v>0</v>
      </c>
      <c r="E113" s="0" t="n">
        <f aca="false">1-D113</f>
        <v>1</v>
      </c>
      <c r="F113" s="0" t="n">
        <f aca="true">RAND()</f>
        <v>0.401722871755585</v>
      </c>
      <c r="G113" s="0" t="n">
        <f aca="false">7.75+F113*10</f>
        <v>11.7672287175559</v>
      </c>
      <c r="H113" s="0" t="n">
        <f aca="false">LOGINV(F113,2.64,1.139)</f>
        <v>10.5540967553444</v>
      </c>
      <c r="I113" s="0" t="n">
        <v>19.5</v>
      </c>
      <c r="J113" s="4" t="n">
        <f aca="true">-LN(RAND())/B113</f>
        <v>16.1883037280149</v>
      </c>
      <c r="K113" s="4" t="n">
        <f aca="false">K112+J113</f>
        <v>998.430684741819</v>
      </c>
      <c r="L113" s="4" t="n">
        <f aca="false">(1/$J$4)*(1+AB112)</f>
        <v>10</v>
      </c>
      <c r="M113" s="4" t="n">
        <f aca="false">L113+MAX(K113,Y$10:Y112)</f>
        <v>1104.08239238895</v>
      </c>
      <c r="N113" s="4" t="n">
        <f aca="false">K113</f>
        <v>998.430684741819</v>
      </c>
      <c r="O113" s="4" t="n">
        <f aca="false">M113-K113</f>
        <v>105.651707647126</v>
      </c>
      <c r="P113" s="4" t="n">
        <f aca="false">N113-K113</f>
        <v>0</v>
      </c>
      <c r="Q113" s="4" t="n">
        <f aca="false">A113-MATCH(K113,$M$9:M112,1)</f>
        <v>10</v>
      </c>
      <c r="R113" s="0" t="n">
        <f aca="false">-G113*(O113/3600)</f>
        <v>-0.345341057856689</v>
      </c>
      <c r="S113" s="0" t="n">
        <f aca="false">-1*I113-(H113*(P113/3600))</f>
        <v>-19.5</v>
      </c>
      <c r="T113" s="0" t="n">
        <f aca="false">-H113*(O113/3600)</f>
        <v>-0.309738429131982</v>
      </c>
      <c r="U113" s="0" t="n">
        <f aca="false">T113-S113</f>
        <v>19.190261570868</v>
      </c>
      <c r="V113" s="0" t="n">
        <f aca="false">1/(1+EXP(U113))</f>
        <v>4.63207189464345E-009</v>
      </c>
      <c r="W113" s="0" t="n">
        <f aca="true">RAND()</f>
        <v>0.0577590293005817</v>
      </c>
      <c r="X113" s="0" t="n">
        <f aca="false">IF(W113&lt;V113,1,0)</f>
        <v>0</v>
      </c>
      <c r="Y113" s="0" t="n">
        <f aca="false">(M113*(1-X113)+N113*X113)*D113+M113*E113</f>
        <v>1104.08239238895</v>
      </c>
      <c r="Z113" s="0" t="n">
        <f aca="false">((1-X113)*O113+X113*P113)*D113+E113*O113</f>
        <v>105.651707647126</v>
      </c>
      <c r="AA113" s="0" t="n">
        <f aca="false">IF(D113*X113&gt;0,AA112,Q113)</f>
        <v>10</v>
      </c>
      <c r="AB113" s="0" t="n">
        <f aca="false">(X113*D113)</f>
        <v>0</v>
      </c>
      <c r="AC113" s="0" t="n">
        <f aca="false">SUM(AB$10:AB112)/K113</f>
        <v>0</v>
      </c>
      <c r="AD113" s="0" t="n">
        <f aca="false">R113*E113+D113*(X113*S113+(1-X113)*T113)</f>
        <v>-0.345341057856689</v>
      </c>
      <c r="AE113" s="0" t="n">
        <f aca="false">Z113</f>
        <v>105.651707647126</v>
      </c>
      <c r="AF113" s="0" t="n">
        <f aca="false">E113*O113</f>
        <v>105.651707647126</v>
      </c>
      <c r="AG113" s="0" t="n">
        <f aca="false">((1-X113)*O113+X113*P113)*D113</f>
        <v>0</v>
      </c>
      <c r="AH113" s="0" t="n">
        <f aca="false">D113*(LN(EXP(S113)+EXP(T113)))</f>
        <v>-0</v>
      </c>
      <c r="AJ113" s="0" t="n">
        <f aca="false">$J$5</f>
        <v>10</v>
      </c>
      <c r="AK113" s="4" t="n">
        <f aca="false">AJ113+MAX(K113,AK$10:AK112)</f>
        <v>1104.08239238895</v>
      </c>
      <c r="AL113" s="5" t="n">
        <f aca="false">AK113-K113</f>
        <v>105.651707647126</v>
      </c>
      <c r="AM113" s="0" t="n">
        <f aca="false">-G113*AL113/3600</f>
        <v>-0.345341057856689</v>
      </c>
      <c r="AN113" s="0" t="n">
        <f aca="false">-H113*AL113/3600</f>
        <v>-0.309738429131982</v>
      </c>
      <c r="AO113" s="0" t="n">
        <f aca="false">AM113*E113+AN113*D113</f>
        <v>-0.345341057856689</v>
      </c>
      <c r="AP113" s="0" t="n">
        <f aca="false">AL113*D113</f>
        <v>0</v>
      </c>
      <c r="AR113" s="0" t="n">
        <f aca="false">AN113*D113</f>
        <v>-0</v>
      </c>
      <c r="AS113" s="0" t="n">
        <f aca="false">AH113-AR113</f>
        <v>0</v>
      </c>
    </row>
    <row r="114" customFormat="false" ht="12" hidden="false" customHeight="false" outlineLevel="0" collapsed="false">
      <c r="A114" s="3" t="n">
        <f aca="false">A113+1</f>
        <v>105</v>
      </c>
      <c r="B114" s="3" t="n">
        <f aca="false">IF(A114&lt;$N$4/3,0.1,(IF(A114&gt;2*$N$4/3,0.05,0.12)))</f>
        <v>0.1</v>
      </c>
      <c r="C114" s="4" t="n">
        <f aca="true">RAND()</f>
        <v>0.0943286261524222</v>
      </c>
      <c r="D114" s="0" t="n">
        <f aca="false">IF((C114&gt;$M$2),1,0)</f>
        <v>0</v>
      </c>
      <c r="E114" s="0" t="n">
        <f aca="false">1-D114</f>
        <v>1</v>
      </c>
      <c r="F114" s="0" t="n">
        <f aca="true">RAND()</f>
        <v>0.110064154460966</v>
      </c>
      <c r="G114" s="0" t="n">
        <f aca="false">7.75+F114*10</f>
        <v>8.85064154460966</v>
      </c>
      <c r="H114" s="0" t="n">
        <f aca="false">LOGINV(F114,2.64,1.139)</f>
        <v>3.46728891805119</v>
      </c>
      <c r="I114" s="0" t="n">
        <v>19.5</v>
      </c>
      <c r="J114" s="4" t="n">
        <f aca="true">-LN(RAND())/B114</f>
        <v>4.28803152084014</v>
      </c>
      <c r="K114" s="4" t="n">
        <f aca="false">K113+J114</f>
        <v>1002.71871626266</v>
      </c>
      <c r="L114" s="4" t="n">
        <f aca="false">(1/$J$4)*(1+AB113)</f>
        <v>10</v>
      </c>
      <c r="M114" s="4" t="n">
        <f aca="false">L114+MAX(K114,Y$10:Y113)</f>
        <v>1114.08239238895</v>
      </c>
      <c r="N114" s="4" t="n">
        <f aca="false">K114</f>
        <v>1002.71871626266</v>
      </c>
      <c r="O114" s="4" t="n">
        <f aca="false">M114-K114</f>
        <v>111.363676126286</v>
      </c>
      <c r="P114" s="4" t="n">
        <f aca="false">N114-K114</f>
        <v>0</v>
      </c>
      <c r="Q114" s="4" t="n">
        <f aca="false">A114-MATCH(K114,$M$9:M113,1)</f>
        <v>11</v>
      </c>
      <c r="R114" s="0" t="n">
        <f aca="false">-G114*(O114/3600)</f>
        <v>-0.273788882912157</v>
      </c>
      <c r="S114" s="0" t="n">
        <f aca="false">-1*I114-(H114*(P114/3600))</f>
        <v>-19.5</v>
      </c>
      <c r="T114" s="0" t="n">
        <f aca="false">-H114*(O114/3600)</f>
        <v>-0.107258344473921</v>
      </c>
      <c r="U114" s="0" t="n">
        <f aca="false">T114-S114</f>
        <v>19.3927416555261</v>
      </c>
      <c r="V114" s="0" t="n">
        <f aca="false">1/(1+EXP(U114))</f>
        <v>3.78302584549289E-009</v>
      </c>
      <c r="W114" s="0" t="n">
        <f aca="true">RAND()</f>
        <v>0.565237215797865</v>
      </c>
      <c r="X114" s="0" t="n">
        <f aca="false">IF(W114&lt;V114,1,0)</f>
        <v>0</v>
      </c>
      <c r="Y114" s="0" t="n">
        <f aca="false">(M114*(1-X114)+N114*X114)*D114+M114*E114</f>
        <v>1114.08239238895</v>
      </c>
      <c r="Z114" s="0" t="n">
        <f aca="false">((1-X114)*O114+X114*P114)*D114+E114*O114</f>
        <v>111.363676126286</v>
      </c>
      <c r="AA114" s="0" t="n">
        <f aca="false">IF(D114*X114&gt;0,AA113,Q114)</f>
        <v>11</v>
      </c>
      <c r="AB114" s="0" t="n">
        <f aca="false">(X114*D114)</f>
        <v>0</v>
      </c>
      <c r="AC114" s="0" t="n">
        <f aca="false">SUM(AB$10:AB113)/K114</f>
        <v>0</v>
      </c>
      <c r="AD114" s="0" t="n">
        <f aca="false">R114*E114+D114*(X114*S114+(1-X114)*T114)</f>
        <v>-0.273788882912157</v>
      </c>
      <c r="AE114" s="0" t="n">
        <f aca="false">Z114</f>
        <v>111.363676126286</v>
      </c>
      <c r="AF114" s="0" t="n">
        <f aca="false">E114*O114</f>
        <v>111.363676126286</v>
      </c>
      <c r="AG114" s="0" t="n">
        <f aca="false">((1-X114)*O114+X114*P114)*D114</f>
        <v>0</v>
      </c>
      <c r="AH114" s="0" t="n">
        <f aca="false">D114*(LN(EXP(S114)+EXP(T114)))</f>
        <v>-0</v>
      </c>
      <c r="AJ114" s="0" t="n">
        <f aca="false">$J$5</f>
        <v>10</v>
      </c>
      <c r="AK114" s="4" t="n">
        <f aca="false">AJ114+MAX(K114,AK$10:AK113)</f>
        <v>1114.08239238895</v>
      </c>
      <c r="AL114" s="5" t="n">
        <f aca="false">AK114-K114</f>
        <v>111.363676126286</v>
      </c>
      <c r="AM114" s="0" t="n">
        <f aca="false">-G114*AL114/3600</f>
        <v>-0.273788882912157</v>
      </c>
      <c r="AN114" s="0" t="n">
        <f aca="false">-H114*AL114/3600</f>
        <v>-0.107258344473921</v>
      </c>
      <c r="AO114" s="0" t="n">
        <f aca="false">AM114*E114+AN114*D114</f>
        <v>-0.273788882912157</v>
      </c>
      <c r="AP114" s="0" t="n">
        <f aca="false">AL114*D114</f>
        <v>0</v>
      </c>
      <c r="AR114" s="0" t="n">
        <f aca="false">AN114*D114</f>
        <v>-0</v>
      </c>
      <c r="AS114" s="0" t="n">
        <f aca="false">AH114-AR114</f>
        <v>0</v>
      </c>
    </row>
    <row r="115" customFormat="false" ht="12" hidden="false" customHeight="false" outlineLevel="0" collapsed="false">
      <c r="A115" s="3" t="n">
        <f aca="false">A114+1</f>
        <v>106</v>
      </c>
      <c r="B115" s="3" t="n">
        <f aca="false">IF(A115&lt;$N$4/3,0.1,(IF(A115&gt;2*$N$4/3,0.05,0.12)))</f>
        <v>0.1</v>
      </c>
      <c r="C115" s="4" t="n">
        <f aca="true">RAND()</f>
        <v>0.794210012507047</v>
      </c>
      <c r="D115" s="0" t="n">
        <f aca="false">IF((C115&gt;$M$2),1,0)</f>
        <v>0</v>
      </c>
      <c r="E115" s="0" t="n">
        <f aca="false">1-D115</f>
        <v>1</v>
      </c>
      <c r="F115" s="0" t="n">
        <f aca="true">RAND()</f>
        <v>0.94357596744653</v>
      </c>
      <c r="G115" s="0" t="n">
        <f aca="false">7.75+F115*10</f>
        <v>17.1857596744653</v>
      </c>
      <c r="H115" s="0" t="n">
        <f aca="false">LOGINV(F115,2.64,1.139)</f>
        <v>85.2772863903759</v>
      </c>
      <c r="I115" s="0" t="n">
        <v>19.5</v>
      </c>
      <c r="J115" s="4" t="n">
        <f aca="true">-LN(RAND())/B115</f>
        <v>15.2329127794996</v>
      </c>
      <c r="K115" s="4" t="n">
        <f aca="false">K114+J115</f>
        <v>1017.95162904216</v>
      </c>
      <c r="L115" s="4" t="n">
        <f aca="false">(1/$J$4)*(1+AB114)</f>
        <v>10</v>
      </c>
      <c r="M115" s="4" t="n">
        <f aca="false">L115+MAX(K115,Y$10:Y114)</f>
        <v>1124.08239238895</v>
      </c>
      <c r="N115" s="4" t="n">
        <f aca="false">K115</f>
        <v>1017.95162904216</v>
      </c>
      <c r="O115" s="4" t="n">
        <f aca="false">M115-K115</f>
        <v>106.130763346787</v>
      </c>
      <c r="P115" s="4" t="n">
        <f aca="false">N115-K115</f>
        <v>0</v>
      </c>
      <c r="Q115" s="4" t="n">
        <f aca="false">A115-MATCH(K115,$M$9:M114,1)</f>
        <v>10</v>
      </c>
      <c r="R115" s="0" t="n">
        <f aca="false">-G115*(O115/3600)</f>
        <v>-0.506649386929285</v>
      </c>
      <c r="S115" s="0" t="n">
        <f aca="false">-1*I115-(H115*(P115/3600))</f>
        <v>-19.5</v>
      </c>
      <c r="T115" s="0" t="n">
        <f aca="false">-H115*(O115/3600)</f>
        <v>-2.51403986132031</v>
      </c>
      <c r="U115" s="0" t="n">
        <f aca="false">T115-S115</f>
        <v>16.9859601386797</v>
      </c>
      <c r="V115" s="0" t="n">
        <f aca="false">1/(1+EXP(U115))</f>
        <v>4.19847163774405E-008</v>
      </c>
      <c r="W115" s="0" t="n">
        <f aca="true">RAND()</f>
        <v>0.879765675144245</v>
      </c>
      <c r="X115" s="0" t="n">
        <f aca="false">IF(W115&lt;V115,1,0)</f>
        <v>0</v>
      </c>
      <c r="Y115" s="0" t="n">
        <f aca="false">(M115*(1-X115)+N115*X115)*D115+M115*E115</f>
        <v>1124.08239238895</v>
      </c>
      <c r="Z115" s="0" t="n">
        <f aca="false">((1-X115)*O115+X115*P115)*D115+E115*O115</f>
        <v>106.130763346787</v>
      </c>
      <c r="AA115" s="0" t="n">
        <f aca="false">IF(D115*X115&gt;0,AA114,Q115)</f>
        <v>10</v>
      </c>
      <c r="AB115" s="0" t="n">
        <f aca="false">(X115*D115)</f>
        <v>0</v>
      </c>
      <c r="AC115" s="0" t="n">
        <f aca="false">SUM(AB$10:AB114)/K115</f>
        <v>0</v>
      </c>
      <c r="AD115" s="0" t="n">
        <f aca="false">R115*E115+D115*(X115*S115+(1-X115)*T115)</f>
        <v>-0.506649386929285</v>
      </c>
      <c r="AE115" s="0" t="n">
        <f aca="false">Z115</f>
        <v>106.130763346787</v>
      </c>
      <c r="AF115" s="0" t="n">
        <f aca="false">E115*O115</f>
        <v>106.130763346787</v>
      </c>
      <c r="AG115" s="0" t="n">
        <f aca="false">((1-X115)*O115+X115*P115)*D115</f>
        <v>0</v>
      </c>
      <c r="AH115" s="0" t="n">
        <f aca="false">D115*(LN(EXP(S115)+EXP(T115)))</f>
        <v>-0</v>
      </c>
      <c r="AJ115" s="0" t="n">
        <f aca="false">$J$5</f>
        <v>10</v>
      </c>
      <c r="AK115" s="4" t="n">
        <f aca="false">AJ115+MAX(K115,AK$10:AK114)</f>
        <v>1124.08239238895</v>
      </c>
      <c r="AL115" s="5" t="n">
        <f aca="false">AK115-K115</f>
        <v>106.130763346787</v>
      </c>
      <c r="AM115" s="0" t="n">
        <f aca="false">-G115*AL115/3600</f>
        <v>-0.506649386929285</v>
      </c>
      <c r="AN115" s="0" t="n">
        <f aca="false">-H115*AL115/3600</f>
        <v>-2.51403986132031</v>
      </c>
      <c r="AO115" s="0" t="n">
        <f aca="false">AM115*E115+AN115*D115</f>
        <v>-0.506649386929285</v>
      </c>
      <c r="AP115" s="0" t="n">
        <f aca="false">AL115*D115</f>
        <v>0</v>
      </c>
      <c r="AR115" s="0" t="n">
        <f aca="false">AN115*D115</f>
        <v>-0</v>
      </c>
      <c r="AS115" s="0" t="n">
        <f aca="false">AH115-AR115</f>
        <v>0</v>
      </c>
    </row>
    <row r="116" customFormat="false" ht="12" hidden="false" customHeight="false" outlineLevel="0" collapsed="false">
      <c r="A116" s="3" t="n">
        <f aca="false">A115+1</f>
        <v>107</v>
      </c>
      <c r="B116" s="3" t="n">
        <f aca="false">IF(A116&lt;$N$4/3,0.1,(IF(A116&gt;2*$N$4/3,0.05,0.12)))</f>
        <v>0.1</v>
      </c>
      <c r="C116" s="4" t="n">
        <f aca="true">RAND()</f>
        <v>0.319578786425786</v>
      </c>
      <c r="D116" s="0" t="n">
        <f aca="false">IF((C116&gt;$M$2),1,0)</f>
        <v>0</v>
      </c>
      <c r="E116" s="0" t="n">
        <f aca="false">1-D116</f>
        <v>1</v>
      </c>
      <c r="F116" s="0" t="n">
        <f aca="true">RAND()</f>
        <v>0.890642094120407</v>
      </c>
      <c r="G116" s="0" t="n">
        <f aca="false">7.75+F116*10</f>
        <v>16.6564209412041</v>
      </c>
      <c r="H116" s="0" t="n">
        <f aca="false">LOGINV(F116,2.64,1.139)</f>
        <v>56.8782547690583</v>
      </c>
      <c r="I116" s="0" t="n">
        <v>19.5</v>
      </c>
      <c r="J116" s="4" t="n">
        <f aca="true">-LN(RAND())/B116</f>
        <v>1.86517418966756</v>
      </c>
      <c r="K116" s="4" t="n">
        <f aca="false">K115+J116</f>
        <v>1019.81680323183</v>
      </c>
      <c r="L116" s="4" t="n">
        <f aca="false">(1/$J$4)*(1+AB115)</f>
        <v>10</v>
      </c>
      <c r="M116" s="4" t="n">
        <f aca="false">L116+MAX(K116,Y$10:Y115)</f>
        <v>1134.08239238895</v>
      </c>
      <c r="N116" s="4" t="n">
        <f aca="false">K116</f>
        <v>1019.81680323183</v>
      </c>
      <c r="O116" s="4" t="n">
        <f aca="false">M116-K116</f>
        <v>114.265589157119</v>
      </c>
      <c r="P116" s="4" t="n">
        <f aca="false">N116-K116</f>
        <v>0</v>
      </c>
      <c r="Q116" s="4" t="n">
        <f aca="false">A116-MATCH(K116,$M$9:M115,1)</f>
        <v>11</v>
      </c>
      <c r="R116" s="0" t="n">
        <f aca="false">-G116*(O116/3600)</f>
        <v>-0.528682153359905</v>
      </c>
      <c r="S116" s="0" t="n">
        <f aca="false">-1*I116-(H116*(P116/3600))</f>
        <v>-19.5</v>
      </c>
      <c r="T116" s="0" t="n">
        <f aca="false">-H116*(O116/3600)</f>
        <v>-1.80534091428199</v>
      </c>
      <c r="U116" s="0" t="n">
        <f aca="false">T116-S116</f>
        <v>17.694659085718</v>
      </c>
      <c r="V116" s="0" t="n">
        <f aca="false">1/(1+EXP(U116))</f>
        <v>2.06684158471346E-008</v>
      </c>
      <c r="W116" s="0" t="n">
        <f aca="true">RAND()</f>
        <v>0.902158078139463</v>
      </c>
      <c r="X116" s="0" t="n">
        <f aca="false">IF(W116&lt;V116,1,0)</f>
        <v>0</v>
      </c>
      <c r="Y116" s="0" t="n">
        <f aca="false">(M116*(1-X116)+N116*X116)*D116+M116*E116</f>
        <v>1134.08239238895</v>
      </c>
      <c r="Z116" s="0" t="n">
        <f aca="false">((1-X116)*O116+X116*P116)*D116+E116*O116</f>
        <v>114.265589157119</v>
      </c>
      <c r="AA116" s="0" t="n">
        <f aca="false">IF(D116*X116&gt;0,AA115,Q116)</f>
        <v>11</v>
      </c>
      <c r="AB116" s="0" t="n">
        <f aca="false">(X116*D116)</f>
        <v>0</v>
      </c>
      <c r="AC116" s="0" t="n">
        <f aca="false">SUM(AB$10:AB115)/K116</f>
        <v>0</v>
      </c>
      <c r="AD116" s="0" t="n">
        <f aca="false">R116*E116+D116*(X116*S116+(1-X116)*T116)</f>
        <v>-0.528682153359905</v>
      </c>
      <c r="AE116" s="0" t="n">
        <f aca="false">Z116</f>
        <v>114.265589157119</v>
      </c>
      <c r="AF116" s="0" t="n">
        <f aca="false">E116*O116</f>
        <v>114.265589157119</v>
      </c>
      <c r="AG116" s="0" t="n">
        <f aca="false">((1-X116)*O116+X116*P116)*D116</f>
        <v>0</v>
      </c>
      <c r="AH116" s="0" t="n">
        <f aca="false">D116*(LN(EXP(S116)+EXP(T116)))</f>
        <v>-0</v>
      </c>
      <c r="AJ116" s="0" t="n">
        <f aca="false">$J$5</f>
        <v>10</v>
      </c>
      <c r="AK116" s="4" t="n">
        <f aca="false">AJ116+MAX(K116,AK$10:AK115)</f>
        <v>1134.08239238895</v>
      </c>
      <c r="AL116" s="5" t="n">
        <f aca="false">AK116-K116</f>
        <v>114.265589157119</v>
      </c>
      <c r="AM116" s="0" t="n">
        <f aca="false">-G116*AL116/3600</f>
        <v>-0.528682153359905</v>
      </c>
      <c r="AN116" s="0" t="n">
        <f aca="false">-H116*AL116/3600</f>
        <v>-1.80534091428199</v>
      </c>
      <c r="AO116" s="0" t="n">
        <f aca="false">AM116*E116+AN116*D116</f>
        <v>-0.528682153359905</v>
      </c>
      <c r="AP116" s="0" t="n">
        <f aca="false">AL116*D116</f>
        <v>0</v>
      </c>
      <c r="AR116" s="0" t="n">
        <f aca="false">AN116*D116</f>
        <v>-0</v>
      </c>
      <c r="AS116" s="0" t="n">
        <f aca="false">AH116-AR116</f>
        <v>0</v>
      </c>
    </row>
    <row r="117" customFormat="false" ht="12" hidden="false" customHeight="false" outlineLevel="0" collapsed="false">
      <c r="A117" s="3" t="n">
        <f aca="false">A116+1</f>
        <v>108</v>
      </c>
      <c r="B117" s="3" t="n">
        <f aca="false">IF(A117&lt;$N$4/3,0.1,(IF(A117&gt;2*$N$4/3,0.05,0.12)))</f>
        <v>0.1</v>
      </c>
      <c r="C117" s="4" t="n">
        <f aca="true">RAND()</f>
        <v>0.897397065236738</v>
      </c>
      <c r="D117" s="0" t="n">
        <f aca="false">IF((C117&gt;$M$2),1,0)</f>
        <v>0</v>
      </c>
      <c r="E117" s="0" t="n">
        <f aca="false">1-D117</f>
        <v>1</v>
      </c>
      <c r="F117" s="0" t="n">
        <f aca="true">RAND()</f>
        <v>0.0487175359918891</v>
      </c>
      <c r="G117" s="0" t="n">
        <f aca="false">7.75+F117*10</f>
        <v>8.23717535991889</v>
      </c>
      <c r="H117" s="0" t="n">
        <f aca="false">LOGINV(F117,2.64,1.139)</f>
        <v>2.12166537298042</v>
      </c>
      <c r="I117" s="0" t="n">
        <v>19.5</v>
      </c>
      <c r="J117" s="4" t="n">
        <f aca="true">-LN(RAND())/B117</f>
        <v>2.88883822912472</v>
      </c>
      <c r="K117" s="4" t="n">
        <f aca="false">K116+J117</f>
        <v>1022.70564146095</v>
      </c>
      <c r="L117" s="4" t="n">
        <f aca="false">(1/$J$4)*(1+AB116)</f>
        <v>10</v>
      </c>
      <c r="M117" s="4" t="n">
        <f aca="false">L117+MAX(K117,Y$10:Y116)</f>
        <v>1144.08239238895</v>
      </c>
      <c r="N117" s="4" t="n">
        <f aca="false">K117</f>
        <v>1022.70564146095</v>
      </c>
      <c r="O117" s="4" t="n">
        <f aca="false">M117-K117</f>
        <v>121.376750927994</v>
      </c>
      <c r="P117" s="4" t="n">
        <f aca="false">N117-K117</f>
        <v>0</v>
      </c>
      <c r="Q117" s="4" t="n">
        <f aca="false">A117-MATCH(K117,$M$9:M116,1)</f>
        <v>12</v>
      </c>
      <c r="R117" s="0" t="n">
        <f aca="false">-G117*(O117/3600)</f>
        <v>-0.277722661669746</v>
      </c>
      <c r="S117" s="0" t="n">
        <f aca="false">-1*I117-(H117*(P117/3600))</f>
        <v>-19.5</v>
      </c>
      <c r="T117" s="0" t="n">
        <f aca="false">-H117*(O117/3600)</f>
        <v>-0.071533569313554</v>
      </c>
      <c r="U117" s="0" t="n">
        <f aca="false">T117-S117</f>
        <v>19.4284664306864</v>
      </c>
      <c r="V117" s="0" t="n">
        <f aca="false">1/(1+EXP(U117))</f>
        <v>3.65026366732875E-009</v>
      </c>
      <c r="W117" s="0" t="n">
        <f aca="true">RAND()</f>
        <v>0.0141243868887202</v>
      </c>
      <c r="X117" s="0" t="n">
        <f aca="false">IF(W117&lt;V117,1,0)</f>
        <v>0</v>
      </c>
      <c r="Y117" s="0" t="n">
        <f aca="false">(M117*(1-X117)+N117*X117)*D117+M117*E117</f>
        <v>1144.08239238895</v>
      </c>
      <c r="Z117" s="0" t="n">
        <f aca="false">((1-X117)*O117+X117*P117)*D117+E117*O117</f>
        <v>121.376750927994</v>
      </c>
      <c r="AA117" s="0" t="n">
        <f aca="false">IF(D117*X117&gt;0,AA116,Q117)</f>
        <v>12</v>
      </c>
      <c r="AB117" s="0" t="n">
        <f aca="false">(X117*D117)</f>
        <v>0</v>
      </c>
      <c r="AC117" s="0" t="n">
        <f aca="false">SUM(AB$10:AB116)/K117</f>
        <v>0</v>
      </c>
      <c r="AD117" s="0" t="n">
        <f aca="false">R117*E117+D117*(X117*S117+(1-X117)*T117)</f>
        <v>-0.277722661669746</v>
      </c>
      <c r="AE117" s="0" t="n">
        <f aca="false">Z117</f>
        <v>121.376750927994</v>
      </c>
      <c r="AF117" s="0" t="n">
        <f aca="false">E117*O117</f>
        <v>121.376750927994</v>
      </c>
      <c r="AG117" s="0" t="n">
        <f aca="false">((1-X117)*O117+X117*P117)*D117</f>
        <v>0</v>
      </c>
      <c r="AH117" s="0" t="n">
        <f aca="false">D117*(LN(EXP(S117)+EXP(T117)))</f>
        <v>-0</v>
      </c>
      <c r="AJ117" s="0" t="n">
        <f aca="false">$J$5</f>
        <v>10</v>
      </c>
      <c r="AK117" s="4" t="n">
        <f aca="false">AJ117+MAX(K117,AK$10:AK116)</f>
        <v>1144.08239238895</v>
      </c>
      <c r="AL117" s="5" t="n">
        <f aca="false">AK117-K117</f>
        <v>121.376750927994</v>
      </c>
      <c r="AM117" s="0" t="n">
        <f aca="false">-G117*AL117/3600</f>
        <v>-0.277722661669746</v>
      </c>
      <c r="AN117" s="0" t="n">
        <f aca="false">-H117*AL117/3600</f>
        <v>-0.071533569313554</v>
      </c>
      <c r="AO117" s="0" t="n">
        <f aca="false">AM117*E117+AN117*D117</f>
        <v>-0.277722661669746</v>
      </c>
      <c r="AP117" s="0" t="n">
        <f aca="false">AL117*D117</f>
        <v>0</v>
      </c>
      <c r="AR117" s="0" t="n">
        <f aca="false">AN117*D117</f>
        <v>-0</v>
      </c>
      <c r="AS117" s="0" t="n">
        <f aca="false">AH117-AR117</f>
        <v>0</v>
      </c>
    </row>
    <row r="118" customFormat="false" ht="12" hidden="false" customHeight="false" outlineLevel="0" collapsed="false">
      <c r="A118" s="3" t="n">
        <f aca="false">A117+1</f>
        <v>109</v>
      </c>
      <c r="B118" s="3" t="n">
        <f aca="false">IF(A118&lt;$N$4/3,0.1,(IF(A118&gt;2*$N$4/3,0.05,0.12)))</f>
        <v>0.1</v>
      </c>
      <c r="C118" s="4" t="n">
        <f aca="true">RAND()</f>
        <v>0.181000236261323</v>
      </c>
      <c r="D118" s="0" t="n">
        <f aca="false">IF((C118&gt;$M$2),1,0)</f>
        <v>0</v>
      </c>
      <c r="E118" s="0" t="n">
        <f aca="false">1-D118</f>
        <v>1</v>
      </c>
      <c r="F118" s="0" t="n">
        <f aca="true">RAND()</f>
        <v>0.158300541822953</v>
      </c>
      <c r="G118" s="0" t="n">
        <f aca="false">7.75+F118*10</f>
        <v>9.33300541822953</v>
      </c>
      <c r="H118" s="0" t="n">
        <f aca="false">LOGINV(F118,2.64,1.139)</f>
        <v>4.47868322518762</v>
      </c>
      <c r="I118" s="0" t="n">
        <v>19.5</v>
      </c>
      <c r="J118" s="4" t="n">
        <f aca="true">-LN(RAND())/B118</f>
        <v>10.4015831298294</v>
      </c>
      <c r="K118" s="4" t="n">
        <f aca="false">K117+J118</f>
        <v>1033.10722459078</v>
      </c>
      <c r="L118" s="4" t="n">
        <f aca="false">(1/$J$4)*(1+AB117)</f>
        <v>10</v>
      </c>
      <c r="M118" s="4" t="n">
        <f aca="false">L118+MAX(K118,Y$10:Y117)</f>
        <v>1154.08239238895</v>
      </c>
      <c r="N118" s="4" t="n">
        <f aca="false">K118</f>
        <v>1033.10722459078</v>
      </c>
      <c r="O118" s="4" t="n">
        <f aca="false">M118-K118</f>
        <v>120.975167798165</v>
      </c>
      <c r="P118" s="4" t="n">
        <f aca="false">N118-K118</f>
        <v>0</v>
      </c>
      <c r="Q118" s="4" t="n">
        <f aca="false">A118-MATCH(K118,$M$9:M117,1)</f>
        <v>12</v>
      </c>
      <c r="R118" s="0" t="n">
        <f aca="false">-G118*(O118/3600)</f>
        <v>-0.313628304592083</v>
      </c>
      <c r="S118" s="0" t="n">
        <f aca="false">-1*I118-(H118*(P118/3600))</f>
        <v>-19.5</v>
      </c>
      <c r="T118" s="0" t="n">
        <f aca="false">-H118*(O118/3600)</f>
        <v>-0.150502626300527</v>
      </c>
      <c r="U118" s="0" t="n">
        <f aca="false">T118-S118</f>
        <v>19.3494973736995</v>
      </c>
      <c r="V118" s="0" t="n">
        <f aca="false">1/(1+EXP(U118))</f>
        <v>3.95020888303846E-009</v>
      </c>
      <c r="W118" s="0" t="n">
        <f aca="true">RAND()</f>
        <v>0.897151794443156</v>
      </c>
      <c r="X118" s="0" t="n">
        <f aca="false">IF(W118&lt;V118,1,0)</f>
        <v>0</v>
      </c>
      <c r="Y118" s="0" t="n">
        <f aca="false">(M118*(1-X118)+N118*X118)*D118+M118*E118</f>
        <v>1154.08239238895</v>
      </c>
      <c r="Z118" s="0" t="n">
        <f aca="false">((1-X118)*O118+X118*P118)*D118+E118*O118</f>
        <v>120.975167798165</v>
      </c>
      <c r="AA118" s="0" t="n">
        <f aca="false">IF(D118*X118&gt;0,AA117,Q118)</f>
        <v>12</v>
      </c>
      <c r="AB118" s="0" t="n">
        <f aca="false">(X118*D118)</f>
        <v>0</v>
      </c>
      <c r="AC118" s="0" t="n">
        <f aca="false">SUM(AB$10:AB117)/K118</f>
        <v>0</v>
      </c>
      <c r="AD118" s="0" t="n">
        <f aca="false">R118*E118+D118*(X118*S118+(1-X118)*T118)</f>
        <v>-0.313628304592083</v>
      </c>
      <c r="AE118" s="0" t="n">
        <f aca="false">Z118</f>
        <v>120.975167798165</v>
      </c>
      <c r="AF118" s="0" t="n">
        <f aca="false">E118*O118</f>
        <v>120.975167798165</v>
      </c>
      <c r="AG118" s="0" t="n">
        <f aca="false">((1-X118)*O118+X118*P118)*D118</f>
        <v>0</v>
      </c>
      <c r="AH118" s="0" t="n">
        <f aca="false">D118*(LN(EXP(S118)+EXP(T118)))</f>
        <v>-0</v>
      </c>
      <c r="AJ118" s="0" t="n">
        <f aca="false">$J$5</f>
        <v>10</v>
      </c>
      <c r="AK118" s="4" t="n">
        <f aca="false">AJ118+MAX(K118,AK$10:AK117)</f>
        <v>1154.08239238895</v>
      </c>
      <c r="AL118" s="5" t="n">
        <f aca="false">AK118-K118</f>
        <v>120.975167798165</v>
      </c>
      <c r="AM118" s="0" t="n">
        <f aca="false">-G118*AL118/3600</f>
        <v>-0.313628304592083</v>
      </c>
      <c r="AN118" s="0" t="n">
        <f aca="false">-H118*AL118/3600</f>
        <v>-0.150502626300527</v>
      </c>
      <c r="AO118" s="0" t="n">
        <f aca="false">AM118*E118+AN118*D118</f>
        <v>-0.313628304592083</v>
      </c>
      <c r="AP118" s="0" t="n">
        <f aca="false">AL118*D118</f>
        <v>0</v>
      </c>
      <c r="AR118" s="0" t="n">
        <f aca="false">AN118*D118</f>
        <v>-0</v>
      </c>
      <c r="AS118" s="0" t="n">
        <f aca="false">AH118-AR118</f>
        <v>0</v>
      </c>
    </row>
    <row r="119" customFormat="false" ht="12" hidden="false" customHeight="false" outlineLevel="0" collapsed="false">
      <c r="A119" s="3" t="n">
        <f aca="false">A118+1</f>
        <v>110</v>
      </c>
      <c r="B119" s="3" t="n">
        <f aca="false">IF(A119&lt;$N$4/3,0.1,(IF(A119&gt;2*$N$4/3,0.05,0.12)))</f>
        <v>0.1</v>
      </c>
      <c r="C119" s="4" t="n">
        <f aca="true">RAND()</f>
        <v>0.0667673786905304</v>
      </c>
      <c r="D119" s="0" t="n">
        <f aca="false">IF((C119&gt;$M$2),1,0)</f>
        <v>0</v>
      </c>
      <c r="E119" s="0" t="n">
        <f aca="false">1-D119</f>
        <v>1</v>
      </c>
      <c r="F119" s="0" t="n">
        <f aca="true">RAND()</f>
        <v>0.237914927426081</v>
      </c>
      <c r="G119" s="0" t="n">
        <f aca="false">7.75+F119*10</f>
        <v>10.1291492742608</v>
      </c>
      <c r="H119" s="0" t="n">
        <f aca="false">LOGINV(F119,2.64,1.139)</f>
        <v>6.22058360154847</v>
      </c>
      <c r="I119" s="0" t="n">
        <v>19.5</v>
      </c>
      <c r="J119" s="4" t="n">
        <f aca="true">-LN(RAND())/B119</f>
        <v>11.0144489574017</v>
      </c>
      <c r="K119" s="4" t="n">
        <f aca="false">K118+J119</f>
        <v>1044.12167354818</v>
      </c>
      <c r="L119" s="4" t="n">
        <f aca="false">(1/$J$4)*(1+AB118)</f>
        <v>10</v>
      </c>
      <c r="M119" s="4" t="n">
        <f aca="false">L119+MAX(K119,Y$10:Y118)</f>
        <v>1164.08239238895</v>
      </c>
      <c r="N119" s="4" t="n">
        <f aca="false">K119</f>
        <v>1044.12167354818</v>
      </c>
      <c r="O119" s="4" t="n">
        <f aca="false">M119-K119</f>
        <v>119.960718840763</v>
      </c>
      <c r="P119" s="4" t="n">
        <f aca="false">N119-K119</f>
        <v>0</v>
      </c>
      <c r="Q119" s="4" t="n">
        <f aca="false">A119-MATCH(K119,$M$9:M118,1)</f>
        <v>11</v>
      </c>
      <c r="R119" s="0" t="n">
        <f aca="false">-G119*(O119/3600)</f>
        <v>-0.337527785607144</v>
      </c>
      <c r="S119" s="0" t="n">
        <f aca="false">-1*I119-(H119*(P119/3600))</f>
        <v>-19.5</v>
      </c>
      <c r="T119" s="0" t="n">
        <f aca="false">-H119*(O119/3600)</f>
        <v>-0.207284911236338</v>
      </c>
      <c r="U119" s="0" t="n">
        <f aca="false">T119-S119</f>
        <v>19.2927150887637</v>
      </c>
      <c r="V119" s="0" t="n">
        <f aca="false">1/(1+EXP(U119))</f>
        <v>4.18100121929401E-009</v>
      </c>
      <c r="W119" s="0" t="n">
        <f aca="true">RAND()</f>
        <v>0.174957586962892</v>
      </c>
      <c r="X119" s="0" t="n">
        <f aca="false">IF(W119&lt;V119,1,0)</f>
        <v>0</v>
      </c>
      <c r="Y119" s="0" t="n">
        <f aca="false">(M119*(1-X119)+N119*X119)*D119+M119*E119</f>
        <v>1164.08239238895</v>
      </c>
      <c r="Z119" s="0" t="n">
        <f aca="false">((1-X119)*O119+X119*P119)*D119+E119*O119</f>
        <v>119.960718840763</v>
      </c>
      <c r="AA119" s="0" t="n">
        <f aca="false">IF(D119*X119&gt;0,AA118,Q119)</f>
        <v>11</v>
      </c>
      <c r="AB119" s="0" t="n">
        <f aca="false">(X119*D119)</f>
        <v>0</v>
      </c>
      <c r="AC119" s="0" t="n">
        <f aca="false">SUM(AB$10:AB118)/K119</f>
        <v>0</v>
      </c>
      <c r="AD119" s="0" t="n">
        <f aca="false">R119*E119+D119*(X119*S119+(1-X119)*T119)</f>
        <v>-0.337527785607144</v>
      </c>
      <c r="AE119" s="0" t="n">
        <f aca="false">Z119</f>
        <v>119.960718840763</v>
      </c>
      <c r="AF119" s="0" t="n">
        <f aca="false">E119*O119</f>
        <v>119.960718840763</v>
      </c>
      <c r="AG119" s="0" t="n">
        <f aca="false">((1-X119)*O119+X119*P119)*D119</f>
        <v>0</v>
      </c>
      <c r="AH119" s="0" t="n">
        <f aca="false">D119*(LN(EXP(S119)+EXP(T119)))</f>
        <v>-0</v>
      </c>
      <c r="AJ119" s="0" t="n">
        <f aca="false">$J$5</f>
        <v>10</v>
      </c>
      <c r="AK119" s="4" t="n">
        <f aca="false">AJ119+MAX(K119,AK$10:AK118)</f>
        <v>1164.08239238895</v>
      </c>
      <c r="AL119" s="5" t="n">
        <f aca="false">AK119-K119</f>
        <v>119.960718840763</v>
      </c>
      <c r="AM119" s="0" t="n">
        <f aca="false">-G119*AL119/3600</f>
        <v>-0.337527785607144</v>
      </c>
      <c r="AN119" s="0" t="n">
        <f aca="false">-H119*AL119/3600</f>
        <v>-0.207284911236338</v>
      </c>
      <c r="AO119" s="0" t="n">
        <f aca="false">AM119*E119+AN119*D119</f>
        <v>-0.337527785607144</v>
      </c>
      <c r="AP119" s="0" t="n">
        <f aca="false">AL119*D119</f>
        <v>0</v>
      </c>
      <c r="AR119" s="0" t="n">
        <f aca="false">AN119*D119</f>
        <v>-0</v>
      </c>
      <c r="AS119" s="0" t="n">
        <f aca="false">AH119-AR119</f>
        <v>0</v>
      </c>
    </row>
    <row r="120" customFormat="false" ht="12" hidden="false" customHeight="false" outlineLevel="0" collapsed="false">
      <c r="A120" s="3" t="n">
        <f aca="false">A119+1</f>
        <v>111</v>
      </c>
      <c r="B120" s="3" t="n">
        <f aca="false">IF(A120&lt;$N$4/3,0.1,(IF(A120&gt;2*$N$4/3,0.05,0.12)))</f>
        <v>0.1</v>
      </c>
      <c r="C120" s="4" t="n">
        <f aca="true">RAND()</f>
        <v>0.789673288142015</v>
      </c>
      <c r="D120" s="0" t="n">
        <f aca="false">IF((C120&gt;$M$2),1,0)</f>
        <v>0</v>
      </c>
      <c r="E120" s="0" t="n">
        <f aca="false">1-D120</f>
        <v>1</v>
      </c>
      <c r="F120" s="0" t="n">
        <f aca="true">RAND()</f>
        <v>0.813365187765572</v>
      </c>
      <c r="G120" s="0" t="n">
        <f aca="false">7.75+F120*10</f>
        <v>15.8836518776557</v>
      </c>
      <c r="H120" s="0" t="n">
        <f aca="false">LOGINV(F120,2.64,1.139)</f>
        <v>38.6337552259551</v>
      </c>
      <c r="I120" s="0" t="n">
        <v>19.5</v>
      </c>
      <c r="J120" s="4" t="n">
        <f aca="true">-LN(RAND())/B120</f>
        <v>6.0181740771006</v>
      </c>
      <c r="K120" s="4" t="n">
        <f aca="false">K119+J120</f>
        <v>1050.13984762528</v>
      </c>
      <c r="L120" s="4" t="n">
        <f aca="false">(1/$J$4)*(1+AB119)</f>
        <v>10</v>
      </c>
      <c r="M120" s="4" t="n">
        <f aca="false">L120+MAX(K120,Y$10:Y119)</f>
        <v>1174.08239238895</v>
      </c>
      <c r="N120" s="4" t="n">
        <f aca="false">K120</f>
        <v>1050.13984762528</v>
      </c>
      <c r="O120" s="4" t="n">
        <f aca="false">M120-K120</f>
        <v>123.942544763662</v>
      </c>
      <c r="P120" s="4" t="n">
        <f aca="false">N120-K120</f>
        <v>0</v>
      </c>
      <c r="Q120" s="4" t="n">
        <f aca="false">A120-MATCH(K120,$M$9:M119,1)</f>
        <v>12</v>
      </c>
      <c r="R120" s="0" t="n">
        <f aca="false">-G120*(O120/3600)</f>
        <v>-0.546850064960215</v>
      </c>
      <c r="S120" s="0" t="n">
        <f aca="false">-1*I120-(H120*(P120/3600))</f>
        <v>-19.5</v>
      </c>
      <c r="T120" s="0" t="n">
        <f aca="false">-H120*(O120/3600)</f>
        <v>-1.33010164902259</v>
      </c>
      <c r="U120" s="0" t="n">
        <f aca="false">T120-S120</f>
        <v>18.1698983509774</v>
      </c>
      <c r="V120" s="0" t="n">
        <f aca="false">1/(1+EXP(U120))</f>
        <v>1.28503040574377E-008</v>
      </c>
      <c r="W120" s="0" t="n">
        <f aca="true">RAND()</f>
        <v>0.283931378710936</v>
      </c>
      <c r="X120" s="0" t="n">
        <f aca="false">IF(W120&lt;V120,1,0)</f>
        <v>0</v>
      </c>
      <c r="Y120" s="0" t="n">
        <f aca="false">(M120*(1-X120)+N120*X120)*D120+M120*E120</f>
        <v>1174.08239238895</v>
      </c>
      <c r="Z120" s="0" t="n">
        <f aca="false">((1-X120)*O120+X120*P120)*D120+E120*O120</f>
        <v>123.942544763662</v>
      </c>
      <c r="AA120" s="0" t="n">
        <f aca="false">IF(D120*X120&gt;0,AA119,Q120)</f>
        <v>12</v>
      </c>
      <c r="AB120" s="0" t="n">
        <f aca="false">(X120*D120)</f>
        <v>0</v>
      </c>
      <c r="AC120" s="0" t="n">
        <f aca="false">SUM(AB$10:AB119)/K120</f>
        <v>0</v>
      </c>
      <c r="AD120" s="0" t="n">
        <f aca="false">R120*E120+D120*(X120*S120+(1-X120)*T120)</f>
        <v>-0.546850064960215</v>
      </c>
      <c r="AE120" s="0" t="n">
        <f aca="false">Z120</f>
        <v>123.942544763662</v>
      </c>
      <c r="AF120" s="0" t="n">
        <f aca="false">E120*O120</f>
        <v>123.942544763662</v>
      </c>
      <c r="AG120" s="0" t="n">
        <f aca="false">((1-X120)*O120+X120*P120)*D120</f>
        <v>0</v>
      </c>
      <c r="AH120" s="0" t="n">
        <f aca="false">D120*(LN(EXP(S120)+EXP(T120)))</f>
        <v>-0</v>
      </c>
      <c r="AJ120" s="0" t="n">
        <f aca="false">$J$5</f>
        <v>10</v>
      </c>
      <c r="AK120" s="4" t="n">
        <f aca="false">AJ120+MAX(K120,AK$10:AK119)</f>
        <v>1174.08239238895</v>
      </c>
      <c r="AL120" s="5" t="n">
        <f aca="false">AK120-K120</f>
        <v>123.942544763662</v>
      </c>
      <c r="AM120" s="0" t="n">
        <f aca="false">-G120*AL120/3600</f>
        <v>-0.546850064960215</v>
      </c>
      <c r="AN120" s="0" t="n">
        <f aca="false">-H120*AL120/3600</f>
        <v>-1.33010164902259</v>
      </c>
      <c r="AO120" s="0" t="n">
        <f aca="false">AM120*E120+AN120*D120</f>
        <v>-0.546850064960215</v>
      </c>
      <c r="AP120" s="0" t="n">
        <f aca="false">AL120*D120</f>
        <v>0</v>
      </c>
      <c r="AR120" s="0" t="n">
        <f aca="false">AN120*D120</f>
        <v>-0</v>
      </c>
      <c r="AS120" s="0" t="n">
        <f aca="false">AH120-AR120</f>
        <v>0</v>
      </c>
    </row>
    <row r="121" customFormat="false" ht="12" hidden="false" customHeight="false" outlineLevel="0" collapsed="false">
      <c r="A121" s="3" t="n">
        <f aca="false">A120+1</f>
        <v>112</v>
      </c>
      <c r="B121" s="3" t="n">
        <f aca="false">IF(A121&lt;$N$4/3,0.1,(IF(A121&gt;2*$N$4/3,0.05,0.12)))</f>
        <v>0.1</v>
      </c>
      <c r="C121" s="4" t="n">
        <f aca="true">RAND()</f>
        <v>0.889632115665002</v>
      </c>
      <c r="D121" s="0" t="n">
        <f aca="false">IF((C121&gt;$M$2),1,0)</f>
        <v>0</v>
      </c>
      <c r="E121" s="0" t="n">
        <f aca="false">1-D121</f>
        <v>1</v>
      </c>
      <c r="F121" s="0" t="n">
        <f aca="true">RAND()</f>
        <v>0.108140697378871</v>
      </c>
      <c r="G121" s="0" t="n">
        <f aca="false">7.75+F121*10</f>
        <v>8.83140697378871</v>
      </c>
      <c r="H121" s="0" t="n">
        <f aca="false">LOGINV(F121,2.64,1.139)</f>
        <v>3.42688935847457</v>
      </c>
      <c r="I121" s="0" t="n">
        <v>19.5</v>
      </c>
      <c r="J121" s="4" t="n">
        <f aca="true">-LN(RAND())/B121</f>
        <v>7.02878802181808</v>
      </c>
      <c r="K121" s="4" t="n">
        <f aca="false">K120+J121</f>
        <v>1057.1686356471</v>
      </c>
      <c r="L121" s="4" t="n">
        <f aca="false">(1/$J$4)*(1+AB120)</f>
        <v>10</v>
      </c>
      <c r="M121" s="4" t="n">
        <f aca="false">L121+MAX(K121,Y$10:Y120)</f>
        <v>1184.08239238895</v>
      </c>
      <c r="N121" s="4" t="n">
        <f aca="false">K121</f>
        <v>1057.1686356471</v>
      </c>
      <c r="O121" s="4" t="n">
        <f aca="false">M121-K121</f>
        <v>126.913756741844</v>
      </c>
      <c r="P121" s="4" t="n">
        <f aca="false">N121-K121</f>
        <v>0</v>
      </c>
      <c r="Q121" s="4" t="n">
        <f aca="false">A121-MATCH(K121,$M$9:M120,1)</f>
        <v>12</v>
      </c>
      <c r="R121" s="0" t="n">
        <f aca="false">-G121*(O121/3600)</f>
        <v>-0.311340843433235</v>
      </c>
      <c r="S121" s="0" t="n">
        <f aca="false">-1*I121-(H121*(P121/3600))</f>
        <v>-19.5</v>
      </c>
      <c r="T121" s="0" t="n">
        <f aca="false">-H121*(O121/3600)</f>
        <v>-0.120810945117404</v>
      </c>
      <c r="U121" s="0" t="n">
        <f aca="false">T121-S121</f>
        <v>19.3791890548826</v>
      </c>
      <c r="V121" s="0" t="n">
        <f aca="false">1/(1+EXP(U121))</f>
        <v>3.83464467843886E-009</v>
      </c>
      <c r="W121" s="0" t="n">
        <f aca="true">RAND()</f>
        <v>0.761719291852349</v>
      </c>
      <c r="X121" s="0" t="n">
        <f aca="false">IF(W121&lt;V121,1,0)</f>
        <v>0</v>
      </c>
      <c r="Y121" s="0" t="n">
        <f aca="false">(M121*(1-X121)+N121*X121)*D121+M121*E121</f>
        <v>1184.08239238895</v>
      </c>
      <c r="Z121" s="0" t="n">
        <f aca="false">((1-X121)*O121+X121*P121)*D121+E121*O121</f>
        <v>126.913756741844</v>
      </c>
      <c r="AA121" s="0" t="n">
        <f aca="false">IF(D121*X121&gt;0,AA120,Q121)</f>
        <v>12</v>
      </c>
      <c r="AB121" s="0" t="n">
        <f aca="false">(X121*D121)</f>
        <v>0</v>
      </c>
      <c r="AC121" s="0" t="n">
        <f aca="false">SUM(AB$10:AB120)/K121</f>
        <v>0</v>
      </c>
      <c r="AD121" s="0" t="n">
        <f aca="false">R121*E121+D121*(X121*S121+(1-X121)*T121)</f>
        <v>-0.311340843433235</v>
      </c>
      <c r="AE121" s="0" t="n">
        <f aca="false">Z121</f>
        <v>126.913756741844</v>
      </c>
      <c r="AF121" s="0" t="n">
        <f aca="false">E121*O121</f>
        <v>126.913756741844</v>
      </c>
      <c r="AG121" s="0" t="n">
        <f aca="false">((1-X121)*O121+X121*P121)*D121</f>
        <v>0</v>
      </c>
      <c r="AH121" s="0" t="n">
        <f aca="false">D121*(LN(EXP(S121)+EXP(T121)))</f>
        <v>-0</v>
      </c>
      <c r="AJ121" s="0" t="n">
        <f aca="false">$J$5</f>
        <v>10</v>
      </c>
      <c r="AK121" s="4" t="n">
        <f aca="false">AJ121+MAX(K121,AK$10:AK120)</f>
        <v>1184.08239238895</v>
      </c>
      <c r="AL121" s="5" t="n">
        <f aca="false">AK121-K121</f>
        <v>126.913756741844</v>
      </c>
      <c r="AM121" s="0" t="n">
        <f aca="false">-G121*AL121/3600</f>
        <v>-0.311340843433235</v>
      </c>
      <c r="AN121" s="0" t="n">
        <f aca="false">-H121*AL121/3600</f>
        <v>-0.120810945117404</v>
      </c>
      <c r="AO121" s="0" t="n">
        <f aca="false">AM121*E121+AN121*D121</f>
        <v>-0.311340843433235</v>
      </c>
      <c r="AP121" s="0" t="n">
        <f aca="false">AL121*D121</f>
        <v>0</v>
      </c>
      <c r="AR121" s="0" t="n">
        <f aca="false">AN121*D121</f>
        <v>-0</v>
      </c>
      <c r="AS121" s="0" t="n">
        <f aca="false">AH121-AR121</f>
        <v>0</v>
      </c>
    </row>
    <row r="122" customFormat="false" ht="12" hidden="false" customHeight="false" outlineLevel="0" collapsed="false">
      <c r="A122" s="3" t="n">
        <f aca="false">A121+1</f>
        <v>113</v>
      </c>
      <c r="B122" s="3" t="n">
        <f aca="false">IF(A122&lt;$N$4/3,0.1,(IF(A122&gt;2*$N$4/3,0.05,0.12)))</f>
        <v>0.1</v>
      </c>
      <c r="C122" s="4" t="n">
        <f aca="true">RAND()</f>
        <v>0.695136968832097</v>
      </c>
      <c r="D122" s="0" t="n">
        <f aca="false">IF((C122&gt;$M$2),1,0)</f>
        <v>0</v>
      </c>
      <c r="E122" s="0" t="n">
        <f aca="false">1-D122</f>
        <v>1</v>
      </c>
      <c r="F122" s="0" t="n">
        <f aca="true">RAND()</f>
        <v>0.817530714609545</v>
      </c>
      <c r="G122" s="0" t="n">
        <f aca="false">7.75+F122*10</f>
        <v>15.9253071460954</v>
      </c>
      <c r="H122" s="0" t="n">
        <f aca="false">LOGINV(F122,2.64,1.139)</f>
        <v>39.3276624484744</v>
      </c>
      <c r="I122" s="0" t="n">
        <v>19.5</v>
      </c>
      <c r="J122" s="4" t="n">
        <f aca="true">-LN(RAND())/B122</f>
        <v>40.5635825613301</v>
      </c>
      <c r="K122" s="4" t="n">
        <f aca="false">K121+J122</f>
        <v>1097.73221820843</v>
      </c>
      <c r="L122" s="4" t="n">
        <f aca="false">(1/$J$4)*(1+AB121)</f>
        <v>10</v>
      </c>
      <c r="M122" s="4" t="n">
        <f aca="false">L122+MAX(K122,Y$10:Y121)</f>
        <v>1194.08239238895</v>
      </c>
      <c r="N122" s="4" t="n">
        <f aca="false">K122</f>
        <v>1097.73221820843</v>
      </c>
      <c r="O122" s="4" t="n">
        <f aca="false">M122-K122</f>
        <v>96.3501741805142</v>
      </c>
      <c r="P122" s="4" t="n">
        <f aca="false">N122-K122</f>
        <v>0</v>
      </c>
      <c r="Q122" s="4" t="n">
        <f aca="false">A122-MATCH(K122,$M$9:M121,1)</f>
        <v>9</v>
      </c>
      <c r="R122" s="0" t="n">
        <f aca="false">-G122*(O122/3600)</f>
        <v>-0.426223921501245</v>
      </c>
      <c r="S122" s="0" t="n">
        <f aca="false">-1*I122-(H122*(P122/3600))</f>
        <v>-19.5</v>
      </c>
      <c r="T122" s="0" t="n">
        <f aca="false">-H122*(O122/3600)</f>
        <v>-1.05256309083972</v>
      </c>
      <c r="U122" s="0" t="n">
        <f aca="false">T122-S122</f>
        <v>18.4474369091603</v>
      </c>
      <c r="V122" s="0" t="n">
        <f aca="false">1/(1+EXP(U122))</f>
        <v>9.73598600319487E-009</v>
      </c>
      <c r="W122" s="0" t="n">
        <f aca="true">RAND()</f>
        <v>0.581760450039463</v>
      </c>
      <c r="X122" s="0" t="n">
        <f aca="false">IF(W122&lt;V122,1,0)</f>
        <v>0</v>
      </c>
      <c r="Y122" s="0" t="n">
        <f aca="false">(M122*(1-X122)+N122*X122)*D122+M122*E122</f>
        <v>1194.08239238895</v>
      </c>
      <c r="Z122" s="0" t="n">
        <f aca="false">((1-X122)*O122+X122*P122)*D122+E122*O122</f>
        <v>96.3501741805142</v>
      </c>
      <c r="AA122" s="0" t="n">
        <f aca="false">IF(D122*X122&gt;0,AA121,Q122)</f>
        <v>9</v>
      </c>
      <c r="AB122" s="0" t="n">
        <f aca="false">(X122*D122)</f>
        <v>0</v>
      </c>
      <c r="AC122" s="0" t="n">
        <f aca="false">SUM(AB$10:AB121)/K122</f>
        <v>0</v>
      </c>
      <c r="AD122" s="0" t="n">
        <f aca="false">R122*E122+D122*(X122*S122+(1-X122)*T122)</f>
        <v>-0.426223921501245</v>
      </c>
      <c r="AE122" s="0" t="n">
        <f aca="false">Z122</f>
        <v>96.3501741805142</v>
      </c>
      <c r="AF122" s="0" t="n">
        <f aca="false">E122*O122</f>
        <v>96.3501741805142</v>
      </c>
      <c r="AG122" s="0" t="n">
        <f aca="false">((1-X122)*O122+X122*P122)*D122</f>
        <v>0</v>
      </c>
      <c r="AH122" s="0" t="n">
        <f aca="false">D122*(LN(EXP(S122)+EXP(T122)))</f>
        <v>-0</v>
      </c>
      <c r="AJ122" s="0" t="n">
        <f aca="false">$J$5</f>
        <v>10</v>
      </c>
      <c r="AK122" s="4" t="n">
        <f aca="false">AJ122+MAX(K122,AK$10:AK121)</f>
        <v>1194.08239238895</v>
      </c>
      <c r="AL122" s="5" t="n">
        <f aca="false">AK122-K122</f>
        <v>96.3501741805142</v>
      </c>
      <c r="AM122" s="0" t="n">
        <f aca="false">-G122*AL122/3600</f>
        <v>-0.426223921501245</v>
      </c>
      <c r="AN122" s="0" t="n">
        <f aca="false">-H122*AL122/3600</f>
        <v>-1.05256309083972</v>
      </c>
      <c r="AO122" s="0" t="n">
        <f aca="false">AM122*E122+AN122*D122</f>
        <v>-0.426223921501245</v>
      </c>
      <c r="AP122" s="0" t="n">
        <f aca="false">AL122*D122</f>
        <v>0</v>
      </c>
      <c r="AR122" s="0" t="n">
        <f aca="false">AN122*D122</f>
        <v>-0</v>
      </c>
      <c r="AS122" s="0" t="n">
        <f aca="false">AH122-AR122</f>
        <v>0</v>
      </c>
    </row>
    <row r="123" customFormat="false" ht="12" hidden="false" customHeight="false" outlineLevel="0" collapsed="false">
      <c r="A123" s="3" t="n">
        <f aca="false">A122+1</f>
        <v>114</v>
      </c>
      <c r="B123" s="3" t="n">
        <f aca="false">IF(A123&lt;$N$4/3,0.1,(IF(A123&gt;2*$N$4/3,0.05,0.12)))</f>
        <v>0.1</v>
      </c>
      <c r="C123" s="4" t="n">
        <f aca="true">RAND()</f>
        <v>0.457187455562303</v>
      </c>
      <c r="D123" s="0" t="n">
        <f aca="false">IF((C123&gt;$M$2),1,0)</f>
        <v>0</v>
      </c>
      <c r="E123" s="0" t="n">
        <f aca="false">1-D123</f>
        <v>1</v>
      </c>
      <c r="F123" s="0" t="n">
        <f aca="true">RAND()</f>
        <v>0.540450249377065</v>
      </c>
      <c r="G123" s="0" t="n">
        <f aca="false">7.75+F123*10</f>
        <v>13.1545024937707</v>
      </c>
      <c r="H123" s="0" t="n">
        <f aca="false">LOGINV(F123,2.64,1.139)</f>
        <v>15.7318302675584</v>
      </c>
      <c r="I123" s="0" t="n">
        <v>19.5</v>
      </c>
      <c r="J123" s="4" t="n">
        <f aca="true">-LN(RAND())/B123</f>
        <v>3.21012111257936</v>
      </c>
      <c r="K123" s="4" t="n">
        <f aca="false">K122+J123</f>
        <v>1100.94233932101</v>
      </c>
      <c r="L123" s="4" t="n">
        <f aca="false">(1/$J$4)*(1+AB122)</f>
        <v>10</v>
      </c>
      <c r="M123" s="4" t="n">
        <f aca="false">L123+MAX(K123,Y$10:Y122)</f>
        <v>1204.08239238895</v>
      </c>
      <c r="N123" s="4" t="n">
        <f aca="false">K123</f>
        <v>1100.94233932101</v>
      </c>
      <c r="O123" s="4" t="n">
        <f aca="false">M123-K123</f>
        <v>103.140053067935</v>
      </c>
      <c r="P123" s="4" t="n">
        <f aca="false">N123-K123</f>
        <v>0</v>
      </c>
      <c r="Q123" s="4" t="n">
        <f aca="false">A123-MATCH(K123,$M$9:M122,1)</f>
        <v>10</v>
      </c>
      <c r="R123" s="0" t="n">
        <f aca="false">-G123*(O123/3600)</f>
        <v>-0.376876690358274</v>
      </c>
      <c r="S123" s="0" t="n">
        <f aca="false">-1*I123-(H123*(P123/3600))</f>
        <v>-19.5</v>
      </c>
      <c r="T123" s="0" t="n">
        <f aca="false">-H123*(O123/3600)</f>
        <v>-0.45071716906992</v>
      </c>
      <c r="U123" s="0" t="n">
        <f aca="false">T123-S123</f>
        <v>19.0492828309301</v>
      </c>
      <c r="V123" s="0" t="n">
        <f aca="false">1/(1+EXP(U123))</f>
        <v>5.33336835804188E-009</v>
      </c>
      <c r="W123" s="0" t="n">
        <f aca="true">RAND()</f>
        <v>0.522327859407512</v>
      </c>
      <c r="X123" s="0" t="n">
        <f aca="false">IF(W123&lt;V123,1,0)</f>
        <v>0</v>
      </c>
      <c r="Y123" s="0" t="n">
        <f aca="false">(M123*(1-X123)+N123*X123)*D123+M123*E123</f>
        <v>1204.08239238895</v>
      </c>
      <c r="Z123" s="0" t="n">
        <f aca="false">((1-X123)*O123+X123*P123)*D123+E123*O123</f>
        <v>103.140053067935</v>
      </c>
      <c r="AA123" s="0" t="n">
        <f aca="false">IF(D123*X123&gt;0,AA122,Q123)</f>
        <v>10</v>
      </c>
      <c r="AB123" s="0" t="n">
        <f aca="false">(X123*D123)</f>
        <v>0</v>
      </c>
      <c r="AC123" s="0" t="n">
        <f aca="false">SUM(AB$10:AB122)/K123</f>
        <v>0</v>
      </c>
      <c r="AD123" s="0" t="n">
        <f aca="false">R123*E123+D123*(X123*S123+(1-X123)*T123)</f>
        <v>-0.376876690358274</v>
      </c>
      <c r="AE123" s="0" t="n">
        <f aca="false">Z123</f>
        <v>103.140053067935</v>
      </c>
      <c r="AF123" s="0" t="n">
        <f aca="false">E123*O123</f>
        <v>103.140053067935</v>
      </c>
      <c r="AG123" s="0" t="n">
        <f aca="false">((1-X123)*O123+X123*P123)*D123</f>
        <v>0</v>
      </c>
      <c r="AH123" s="0" t="n">
        <f aca="false">D123*(LN(EXP(S123)+EXP(T123)))</f>
        <v>-0</v>
      </c>
      <c r="AJ123" s="0" t="n">
        <f aca="false">$J$5</f>
        <v>10</v>
      </c>
      <c r="AK123" s="4" t="n">
        <f aca="false">AJ123+MAX(K123,AK$10:AK122)</f>
        <v>1204.08239238895</v>
      </c>
      <c r="AL123" s="5" t="n">
        <f aca="false">AK123-K123</f>
        <v>103.140053067935</v>
      </c>
      <c r="AM123" s="0" t="n">
        <f aca="false">-G123*AL123/3600</f>
        <v>-0.376876690358274</v>
      </c>
      <c r="AN123" s="0" t="n">
        <f aca="false">-H123*AL123/3600</f>
        <v>-0.45071716906992</v>
      </c>
      <c r="AO123" s="0" t="n">
        <f aca="false">AM123*E123+AN123*D123</f>
        <v>-0.376876690358274</v>
      </c>
      <c r="AP123" s="0" t="n">
        <f aca="false">AL123*D123</f>
        <v>0</v>
      </c>
      <c r="AR123" s="0" t="n">
        <f aca="false">AN123*D123</f>
        <v>-0</v>
      </c>
      <c r="AS123" s="0" t="n">
        <f aca="false">AH123-AR123</f>
        <v>0</v>
      </c>
    </row>
    <row r="124" customFormat="false" ht="12" hidden="false" customHeight="false" outlineLevel="0" collapsed="false">
      <c r="A124" s="3" t="n">
        <f aca="false">A123+1</f>
        <v>115</v>
      </c>
      <c r="B124" s="3" t="n">
        <f aca="false">IF(A124&lt;$N$4/3,0.1,(IF(A124&gt;2*$N$4/3,0.05,0.12)))</f>
        <v>0.1</v>
      </c>
      <c r="C124" s="4" t="n">
        <f aca="true">RAND()</f>
        <v>0.084144769940231</v>
      </c>
      <c r="D124" s="0" t="n">
        <f aca="false">IF((C124&gt;$M$2),1,0)</f>
        <v>0</v>
      </c>
      <c r="E124" s="0" t="n">
        <f aca="false">1-D124</f>
        <v>1</v>
      </c>
      <c r="F124" s="0" t="n">
        <f aca="true">RAND()</f>
        <v>0.200841491179907</v>
      </c>
      <c r="G124" s="0" t="n">
        <f aca="false">7.75+F124*10</f>
        <v>9.75841491179907</v>
      </c>
      <c r="H124" s="0" t="n">
        <f aca="false">LOGINV(F124,2.64,1.139)</f>
        <v>5.39144063617663</v>
      </c>
      <c r="I124" s="0" t="n">
        <v>19.5</v>
      </c>
      <c r="J124" s="4" t="n">
        <f aca="true">-LN(RAND())/B124</f>
        <v>1.32995251517661</v>
      </c>
      <c r="K124" s="4" t="n">
        <f aca="false">K123+J124</f>
        <v>1102.27229183619</v>
      </c>
      <c r="L124" s="4" t="n">
        <f aca="false">(1/$J$4)*(1+AB123)</f>
        <v>10</v>
      </c>
      <c r="M124" s="4" t="n">
        <f aca="false">L124+MAX(K124,Y$10:Y123)</f>
        <v>1214.08239238895</v>
      </c>
      <c r="N124" s="4" t="n">
        <f aca="false">K124</f>
        <v>1102.27229183619</v>
      </c>
      <c r="O124" s="4" t="n">
        <f aca="false">M124-K124</f>
        <v>111.810100552758</v>
      </c>
      <c r="P124" s="4" t="n">
        <f aca="false">N124-K124</f>
        <v>0</v>
      </c>
      <c r="Q124" s="4" t="n">
        <f aca="false">A124-MATCH(K124,$M$9:M123,1)</f>
        <v>11</v>
      </c>
      <c r="R124" s="0" t="n">
        <f aca="false">-G124*(O124/3600)</f>
        <v>-0.303080375701053</v>
      </c>
      <c r="S124" s="0" t="n">
        <f aca="false">-1*I124-(H124*(P124/3600))</f>
        <v>-19.5</v>
      </c>
      <c r="T124" s="0" t="n">
        <f aca="false">-H124*(O124/3600)</f>
        <v>-0.167449311015316</v>
      </c>
      <c r="U124" s="0" t="n">
        <f aca="false">T124-S124</f>
        <v>19.3325506889847</v>
      </c>
      <c r="V124" s="0" t="n">
        <f aca="false">1/(1+EXP(U124))</f>
        <v>4.01772227559957E-009</v>
      </c>
      <c r="W124" s="0" t="n">
        <f aca="true">RAND()</f>
        <v>0.314401345211869</v>
      </c>
      <c r="X124" s="0" t="n">
        <f aca="false">IF(W124&lt;V124,1,0)</f>
        <v>0</v>
      </c>
      <c r="Y124" s="0" t="n">
        <f aca="false">(M124*(1-X124)+N124*X124)*D124+M124*E124</f>
        <v>1214.08239238895</v>
      </c>
      <c r="Z124" s="0" t="n">
        <f aca="false">((1-X124)*O124+X124*P124)*D124+E124*O124</f>
        <v>111.810100552758</v>
      </c>
      <c r="AA124" s="0" t="n">
        <f aca="false">IF(D124*X124&gt;0,AA123,Q124)</f>
        <v>11</v>
      </c>
      <c r="AB124" s="0" t="n">
        <f aca="false">(X124*D124)</f>
        <v>0</v>
      </c>
      <c r="AC124" s="0" t="n">
        <f aca="false">SUM(AB$10:AB123)/K124</f>
        <v>0</v>
      </c>
      <c r="AD124" s="0" t="n">
        <f aca="false">R124*E124+D124*(X124*S124+(1-X124)*T124)</f>
        <v>-0.303080375701053</v>
      </c>
      <c r="AE124" s="0" t="n">
        <f aca="false">Z124</f>
        <v>111.810100552758</v>
      </c>
      <c r="AF124" s="0" t="n">
        <f aca="false">E124*O124</f>
        <v>111.810100552758</v>
      </c>
      <c r="AG124" s="0" t="n">
        <f aca="false">((1-X124)*O124+X124*P124)*D124</f>
        <v>0</v>
      </c>
      <c r="AH124" s="0" t="n">
        <f aca="false">D124*(LN(EXP(S124)+EXP(T124)))</f>
        <v>-0</v>
      </c>
      <c r="AJ124" s="0" t="n">
        <f aca="false">$J$5</f>
        <v>10</v>
      </c>
      <c r="AK124" s="4" t="n">
        <f aca="false">AJ124+MAX(K124,AK$10:AK123)</f>
        <v>1214.08239238895</v>
      </c>
      <c r="AL124" s="5" t="n">
        <f aca="false">AK124-K124</f>
        <v>111.810100552758</v>
      </c>
      <c r="AM124" s="0" t="n">
        <f aca="false">-G124*AL124/3600</f>
        <v>-0.303080375701053</v>
      </c>
      <c r="AN124" s="0" t="n">
        <f aca="false">-H124*AL124/3600</f>
        <v>-0.167449311015316</v>
      </c>
      <c r="AO124" s="0" t="n">
        <f aca="false">AM124*E124+AN124*D124</f>
        <v>-0.303080375701053</v>
      </c>
      <c r="AP124" s="0" t="n">
        <f aca="false">AL124*D124</f>
        <v>0</v>
      </c>
      <c r="AR124" s="0" t="n">
        <f aca="false">AN124*D124</f>
        <v>-0</v>
      </c>
      <c r="AS124" s="0" t="n">
        <f aca="false">AH124-AR124</f>
        <v>0</v>
      </c>
    </row>
    <row r="125" customFormat="false" ht="12" hidden="false" customHeight="false" outlineLevel="0" collapsed="false">
      <c r="A125" s="3" t="n">
        <f aca="false">A124+1</f>
        <v>116</v>
      </c>
      <c r="B125" s="3" t="n">
        <f aca="false">IF(A125&lt;$N$4/3,0.1,(IF(A125&gt;2*$N$4/3,0.05,0.12)))</f>
        <v>0.1</v>
      </c>
      <c r="C125" s="4" t="n">
        <f aca="true">RAND()</f>
        <v>0.856824842823247</v>
      </c>
      <c r="D125" s="0" t="n">
        <f aca="false">IF((C125&gt;$M$2),1,0)</f>
        <v>0</v>
      </c>
      <c r="E125" s="0" t="n">
        <f aca="false">1-D125</f>
        <v>1</v>
      </c>
      <c r="F125" s="0" t="n">
        <f aca="true">RAND()</f>
        <v>0.81402701061523</v>
      </c>
      <c r="G125" s="0" t="n">
        <f aca="false">7.75+F125*10</f>
        <v>15.8902701061523</v>
      </c>
      <c r="H125" s="0" t="n">
        <f aca="false">LOGINV(F125,2.64,1.139)</f>
        <v>38.7425365501182</v>
      </c>
      <c r="I125" s="0" t="n">
        <v>19.5</v>
      </c>
      <c r="J125" s="4" t="n">
        <f aca="true">-LN(RAND())/B125</f>
        <v>5.54004308198431</v>
      </c>
      <c r="K125" s="4" t="n">
        <f aca="false">K124+J125</f>
        <v>1107.81233491817</v>
      </c>
      <c r="L125" s="4" t="n">
        <f aca="false">(1/$J$4)*(1+AB124)</f>
        <v>10</v>
      </c>
      <c r="M125" s="4" t="n">
        <f aca="false">L125+MAX(K125,Y$10:Y124)</f>
        <v>1224.08239238895</v>
      </c>
      <c r="N125" s="4" t="n">
        <f aca="false">K125</f>
        <v>1107.81233491817</v>
      </c>
      <c r="O125" s="4" t="n">
        <f aca="false">M125-K125</f>
        <v>116.270057470774</v>
      </c>
      <c r="P125" s="4" t="n">
        <f aca="false">N125-K125</f>
        <v>0</v>
      </c>
      <c r="Q125" s="4" t="n">
        <f aca="false">A125-MATCH(K125,$M$9:M124,1)</f>
        <v>11</v>
      </c>
      <c r="R125" s="0" t="n">
        <f aca="false">-G125*(O125/3600)</f>
        <v>-0.513211838463458</v>
      </c>
      <c r="S125" s="0" t="n">
        <f aca="false">-1*I125-(H125*(P125/3600))</f>
        <v>-19.5</v>
      </c>
      <c r="T125" s="0" t="n">
        <f aca="false">-H125*(O125/3600)</f>
        <v>-1.25127693090161</v>
      </c>
      <c r="U125" s="0" t="n">
        <f aca="false">T125-S125</f>
        <v>18.2487230690984</v>
      </c>
      <c r="V125" s="0" t="n">
        <f aca="false">1/(1+EXP(U125))</f>
        <v>1.18762755153539E-008</v>
      </c>
      <c r="W125" s="0" t="n">
        <f aca="true">RAND()</f>
        <v>0.374714720087558</v>
      </c>
      <c r="X125" s="0" t="n">
        <f aca="false">IF(W125&lt;V125,1,0)</f>
        <v>0</v>
      </c>
      <c r="Y125" s="0" t="n">
        <f aca="false">(M125*(1-X125)+N125*X125)*D125+M125*E125</f>
        <v>1224.08239238895</v>
      </c>
      <c r="Z125" s="0" t="n">
        <f aca="false">((1-X125)*O125+X125*P125)*D125+E125*O125</f>
        <v>116.270057470774</v>
      </c>
      <c r="AA125" s="0" t="n">
        <f aca="false">IF(D125*X125&gt;0,AA124,Q125)</f>
        <v>11</v>
      </c>
      <c r="AB125" s="0" t="n">
        <f aca="false">(X125*D125)</f>
        <v>0</v>
      </c>
      <c r="AC125" s="0" t="n">
        <f aca="false">SUM(AB$10:AB124)/K125</f>
        <v>0</v>
      </c>
      <c r="AD125" s="0" t="n">
        <f aca="false">R125*E125+D125*(X125*S125+(1-X125)*T125)</f>
        <v>-0.513211838463458</v>
      </c>
      <c r="AE125" s="0" t="n">
        <f aca="false">Z125</f>
        <v>116.270057470774</v>
      </c>
      <c r="AF125" s="0" t="n">
        <f aca="false">E125*O125</f>
        <v>116.270057470774</v>
      </c>
      <c r="AG125" s="0" t="n">
        <f aca="false">((1-X125)*O125+X125*P125)*D125</f>
        <v>0</v>
      </c>
      <c r="AH125" s="0" t="n">
        <f aca="false">D125*(LN(EXP(S125)+EXP(T125)))</f>
        <v>-0</v>
      </c>
      <c r="AJ125" s="0" t="n">
        <f aca="false">$J$5</f>
        <v>10</v>
      </c>
      <c r="AK125" s="4" t="n">
        <f aca="false">AJ125+MAX(K125,AK$10:AK124)</f>
        <v>1224.08239238895</v>
      </c>
      <c r="AL125" s="5" t="n">
        <f aca="false">AK125-K125</f>
        <v>116.270057470774</v>
      </c>
      <c r="AM125" s="0" t="n">
        <f aca="false">-G125*AL125/3600</f>
        <v>-0.513211838463458</v>
      </c>
      <c r="AN125" s="0" t="n">
        <f aca="false">-H125*AL125/3600</f>
        <v>-1.25127693090161</v>
      </c>
      <c r="AO125" s="0" t="n">
        <f aca="false">AM125*E125+AN125*D125</f>
        <v>-0.513211838463458</v>
      </c>
      <c r="AP125" s="0" t="n">
        <f aca="false">AL125*D125</f>
        <v>0</v>
      </c>
      <c r="AR125" s="0" t="n">
        <f aca="false">AN125*D125</f>
        <v>-0</v>
      </c>
      <c r="AS125" s="0" t="n">
        <f aca="false">AH125-AR125</f>
        <v>0</v>
      </c>
    </row>
    <row r="126" customFormat="false" ht="12" hidden="false" customHeight="false" outlineLevel="0" collapsed="false">
      <c r="A126" s="3" t="n">
        <f aca="false">A125+1</f>
        <v>117</v>
      </c>
      <c r="B126" s="3" t="n">
        <f aca="false">IF(A126&lt;$N$4/3,0.1,(IF(A126&gt;2*$N$4/3,0.05,0.12)))</f>
        <v>0.1</v>
      </c>
      <c r="C126" s="4" t="n">
        <f aca="true">RAND()</f>
        <v>0.233281606409149</v>
      </c>
      <c r="D126" s="0" t="n">
        <f aca="false">IF((C126&gt;$M$2),1,0)</f>
        <v>0</v>
      </c>
      <c r="E126" s="0" t="n">
        <f aca="false">1-D126</f>
        <v>1</v>
      </c>
      <c r="F126" s="0" t="n">
        <f aca="true">RAND()</f>
        <v>0.229231237648047</v>
      </c>
      <c r="G126" s="0" t="n">
        <f aca="false">7.75+F126*10</f>
        <v>10.0423123764805</v>
      </c>
      <c r="H126" s="0" t="n">
        <f aca="false">LOGINV(F126,2.64,1.139)</f>
        <v>6.02288913571941</v>
      </c>
      <c r="I126" s="0" t="n">
        <v>19.5</v>
      </c>
      <c r="J126" s="4" t="n">
        <f aca="true">-LN(RAND())/B126</f>
        <v>5.85759539545781</v>
      </c>
      <c r="K126" s="4" t="n">
        <f aca="false">K125+J126</f>
        <v>1113.66993031363</v>
      </c>
      <c r="L126" s="4" t="n">
        <f aca="false">(1/$J$4)*(1+AB125)</f>
        <v>10</v>
      </c>
      <c r="M126" s="4" t="n">
        <f aca="false">L126+MAX(K126,Y$10:Y125)</f>
        <v>1234.08239238895</v>
      </c>
      <c r="N126" s="4" t="n">
        <f aca="false">K126</f>
        <v>1113.66993031363</v>
      </c>
      <c r="O126" s="4" t="n">
        <f aca="false">M126-K126</f>
        <v>120.412462075316</v>
      </c>
      <c r="P126" s="4" t="n">
        <f aca="false">N126-K126</f>
        <v>0</v>
      </c>
      <c r="Q126" s="4" t="n">
        <f aca="false">A126-MATCH(K126,$M$9:M125,1)</f>
        <v>12</v>
      </c>
      <c r="R126" s="0" t="n">
        <f aca="false">-G126*(O126/3600)</f>
        <v>-0.335894321717064</v>
      </c>
      <c r="S126" s="0" t="n">
        <f aca="false">-1*I126-(H126*(P126/3600))</f>
        <v>-19.5</v>
      </c>
      <c r="T126" s="0" t="n">
        <f aca="false">-H126*(O126/3600)</f>
        <v>-0.20145303045518</v>
      </c>
      <c r="U126" s="0" t="n">
        <f aca="false">T126-S126</f>
        <v>19.2985469695448</v>
      </c>
      <c r="V126" s="0" t="n">
        <f aca="false">1/(1+EXP(U126))</f>
        <v>4.15668908039267E-009</v>
      </c>
      <c r="W126" s="0" t="n">
        <f aca="true">RAND()</f>
        <v>0.723312944742088</v>
      </c>
      <c r="X126" s="0" t="n">
        <f aca="false">IF(W126&lt;V126,1,0)</f>
        <v>0</v>
      </c>
      <c r="Y126" s="0" t="n">
        <f aca="false">(M126*(1-X126)+N126*X126)*D126+M126*E126</f>
        <v>1234.08239238895</v>
      </c>
      <c r="Z126" s="0" t="n">
        <f aca="false">((1-X126)*O126+X126*P126)*D126+E126*O126</f>
        <v>120.412462075316</v>
      </c>
      <c r="AA126" s="0" t="n">
        <f aca="false">IF(D126*X126&gt;0,AA125,Q126)</f>
        <v>12</v>
      </c>
      <c r="AB126" s="0" t="n">
        <f aca="false">(X126*D126)</f>
        <v>0</v>
      </c>
      <c r="AC126" s="0" t="n">
        <f aca="false">SUM(AB$10:AB125)/K126</f>
        <v>0</v>
      </c>
      <c r="AD126" s="0" t="n">
        <f aca="false">R126*E126+D126*(X126*S126+(1-X126)*T126)</f>
        <v>-0.335894321717064</v>
      </c>
      <c r="AE126" s="0" t="n">
        <f aca="false">Z126</f>
        <v>120.412462075316</v>
      </c>
      <c r="AF126" s="0" t="n">
        <f aca="false">E126*O126</f>
        <v>120.412462075316</v>
      </c>
      <c r="AG126" s="0" t="n">
        <f aca="false">((1-X126)*O126+X126*P126)*D126</f>
        <v>0</v>
      </c>
      <c r="AH126" s="0" t="n">
        <f aca="false">D126*(LN(EXP(S126)+EXP(T126)))</f>
        <v>-0</v>
      </c>
      <c r="AJ126" s="0" t="n">
        <f aca="false">$J$5</f>
        <v>10</v>
      </c>
      <c r="AK126" s="4" t="n">
        <f aca="false">AJ126+MAX(K126,AK$10:AK125)</f>
        <v>1234.08239238895</v>
      </c>
      <c r="AL126" s="5" t="n">
        <f aca="false">AK126-K126</f>
        <v>120.412462075316</v>
      </c>
      <c r="AM126" s="0" t="n">
        <f aca="false">-G126*AL126/3600</f>
        <v>-0.335894321717064</v>
      </c>
      <c r="AN126" s="0" t="n">
        <f aca="false">-H126*AL126/3600</f>
        <v>-0.20145303045518</v>
      </c>
      <c r="AO126" s="0" t="n">
        <f aca="false">AM126*E126+AN126*D126</f>
        <v>-0.335894321717064</v>
      </c>
      <c r="AP126" s="0" t="n">
        <f aca="false">AL126*D126</f>
        <v>0</v>
      </c>
      <c r="AR126" s="0" t="n">
        <f aca="false">AN126*D126</f>
        <v>-0</v>
      </c>
      <c r="AS126" s="0" t="n">
        <f aca="false">AH126-AR126</f>
        <v>0</v>
      </c>
    </row>
    <row r="127" customFormat="false" ht="12" hidden="false" customHeight="false" outlineLevel="0" collapsed="false">
      <c r="A127" s="3" t="n">
        <f aca="false">A126+1</f>
        <v>118</v>
      </c>
      <c r="B127" s="3" t="n">
        <f aca="false">IF(A127&lt;$N$4/3,0.1,(IF(A127&gt;2*$N$4/3,0.05,0.12)))</f>
        <v>0.1</v>
      </c>
      <c r="C127" s="4" t="n">
        <f aca="true">RAND()</f>
        <v>0.578026247632372</v>
      </c>
      <c r="D127" s="0" t="n">
        <f aca="false">IF((C127&gt;$M$2),1,0)</f>
        <v>0</v>
      </c>
      <c r="E127" s="0" t="n">
        <f aca="false">1-D127</f>
        <v>1</v>
      </c>
      <c r="F127" s="0" t="n">
        <f aca="true">RAND()</f>
        <v>0.731362681106896</v>
      </c>
      <c r="G127" s="0" t="n">
        <f aca="false">7.75+F127*10</f>
        <v>15.063626811069</v>
      </c>
      <c r="H127" s="0" t="n">
        <f aca="false">LOGINV(F127,2.64,1.139)</f>
        <v>28.2952537902599</v>
      </c>
      <c r="I127" s="0" t="n">
        <v>19.5</v>
      </c>
      <c r="J127" s="4" t="n">
        <f aca="true">-LN(RAND())/B127</f>
        <v>65.6294438931313</v>
      </c>
      <c r="K127" s="4" t="n">
        <f aca="false">K126+J127</f>
        <v>1179.29937420676</v>
      </c>
      <c r="L127" s="4" t="n">
        <f aca="false">(1/$J$4)*(1+AB126)</f>
        <v>10</v>
      </c>
      <c r="M127" s="4" t="n">
        <f aca="false">L127+MAX(K127,Y$10:Y126)</f>
        <v>1244.08239238895</v>
      </c>
      <c r="N127" s="4" t="n">
        <f aca="false">K127</f>
        <v>1179.29937420676</v>
      </c>
      <c r="O127" s="4" t="n">
        <f aca="false">M127-K127</f>
        <v>64.7830181821848</v>
      </c>
      <c r="P127" s="4" t="n">
        <f aca="false">N127-K127</f>
        <v>0</v>
      </c>
      <c r="Q127" s="4" t="n">
        <f aca="false">A127-MATCH(K127,$M$9:M126,1)</f>
        <v>6</v>
      </c>
      <c r="R127" s="0" t="n">
        <f aca="false">-G127*(O127/3600)</f>
        <v>-0.271074224886424</v>
      </c>
      <c r="S127" s="0" t="n">
        <f aca="false">-1*I127-(H127*(P127/3600))</f>
        <v>-19.5</v>
      </c>
      <c r="T127" s="0" t="n">
        <f aca="false">-H127*(O127/3600)</f>
        <v>-0.509181094656651</v>
      </c>
      <c r="U127" s="0" t="n">
        <f aca="false">T127-S127</f>
        <v>18.9908189053434</v>
      </c>
      <c r="V127" s="0" t="n">
        <f aca="false">1/(1+EXP(U127))</f>
        <v>5.6544730711827E-009</v>
      </c>
      <c r="W127" s="0" t="n">
        <f aca="true">RAND()</f>
        <v>0.095981935968922</v>
      </c>
      <c r="X127" s="0" t="n">
        <f aca="false">IF(W127&lt;V127,1,0)</f>
        <v>0</v>
      </c>
      <c r="Y127" s="0" t="n">
        <f aca="false">(M127*(1-X127)+N127*X127)*D127+M127*E127</f>
        <v>1244.08239238895</v>
      </c>
      <c r="Z127" s="0" t="n">
        <f aca="false">((1-X127)*O127+X127*P127)*D127+E127*O127</f>
        <v>64.7830181821848</v>
      </c>
      <c r="AA127" s="0" t="n">
        <f aca="false">IF(D127*X127&gt;0,AA126,Q127)</f>
        <v>6</v>
      </c>
      <c r="AB127" s="0" t="n">
        <f aca="false">(X127*D127)</f>
        <v>0</v>
      </c>
      <c r="AC127" s="0" t="n">
        <f aca="false">SUM(AB$10:AB126)/K127</f>
        <v>0</v>
      </c>
      <c r="AD127" s="0" t="n">
        <f aca="false">R127*E127+D127*(X127*S127+(1-X127)*T127)</f>
        <v>-0.271074224886424</v>
      </c>
      <c r="AE127" s="0" t="n">
        <f aca="false">Z127</f>
        <v>64.7830181821848</v>
      </c>
      <c r="AF127" s="0" t="n">
        <f aca="false">E127*O127</f>
        <v>64.7830181821848</v>
      </c>
      <c r="AG127" s="0" t="n">
        <f aca="false">((1-X127)*O127+X127*P127)*D127</f>
        <v>0</v>
      </c>
      <c r="AH127" s="0" t="n">
        <f aca="false">D127*(LN(EXP(S127)+EXP(T127)))</f>
        <v>-0</v>
      </c>
      <c r="AJ127" s="0" t="n">
        <f aca="false">$J$5</f>
        <v>10</v>
      </c>
      <c r="AK127" s="4" t="n">
        <f aca="false">AJ127+MAX(K127,AK$10:AK126)</f>
        <v>1244.08239238895</v>
      </c>
      <c r="AL127" s="5" t="n">
        <f aca="false">AK127-K127</f>
        <v>64.7830181821848</v>
      </c>
      <c r="AM127" s="0" t="n">
        <f aca="false">-G127*AL127/3600</f>
        <v>-0.271074224886424</v>
      </c>
      <c r="AN127" s="0" t="n">
        <f aca="false">-H127*AL127/3600</f>
        <v>-0.509181094656651</v>
      </c>
      <c r="AO127" s="0" t="n">
        <f aca="false">AM127*E127+AN127*D127</f>
        <v>-0.271074224886424</v>
      </c>
      <c r="AP127" s="0" t="n">
        <f aca="false">AL127*D127</f>
        <v>0</v>
      </c>
      <c r="AR127" s="0" t="n">
        <f aca="false">AN127*D127</f>
        <v>-0</v>
      </c>
      <c r="AS127" s="0" t="n">
        <f aca="false">AH127-AR127</f>
        <v>0</v>
      </c>
    </row>
    <row r="128" customFormat="false" ht="12" hidden="false" customHeight="false" outlineLevel="0" collapsed="false">
      <c r="A128" s="3" t="n">
        <f aca="false">A127+1</f>
        <v>119</v>
      </c>
      <c r="B128" s="3" t="n">
        <f aca="false">IF(A128&lt;$N$4/3,0.1,(IF(A128&gt;2*$N$4/3,0.05,0.12)))</f>
        <v>0.1</v>
      </c>
      <c r="C128" s="4" t="n">
        <f aca="true">RAND()</f>
        <v>0.21332295720641</v>
      </c>
      <c r="D128" s="0" t="n">
        <f aca="false">IF((C128&gt;$M$2),1,0)</f>
        <v>0</v>
      </c>
      <c r="E128" s="0" t="n">
        <f aca="false">1-D128</f>
        <v>1</v>
      </c>
      <c r="F128" s="0" t="n">
        <f aca="true">RAND()</f>
        <v>0.416324586416233</v>
      </c>
      <c r="G128" s="0" t="n">
        <f aca="false">7.75+F128*10</f>
        <v>11.9132458641623</v>
      </c>
      <c r="H128" s="0" t="n">
        <f aca="false">LOGINV(F128,2.64,1.139)</f>
        <v>11.015721131685</v>
      </c>
      <c r="I128" s="0" t="n">
        <v>19.5</v>
      </c>
      <c r="J128" s="4" t="n">
        <f aca="true">-LN(RAND())/B128</f>
        <v>13.9351909309488</v>
      </c>
      <c r="K128" s="4" t="n">
        <f aca="false">K127+J128</f>
        <v>1193.23456513771</v>
      </c>
      <c r="L128" s="4" t="n">
        <f aca="false">(1/$J$4)*(1+AB127)</f>
        <v>10</v>
      </c>
      <c r="M128" s="4" t="n">
        <f aca="false">L128+MAX(K128,Y$10:Y127)</f>
        <v>1254.08239238895</v>
      </c>
      <c r="N128" s="4" t="n">
        <f aca="false">K128</f>
        <v>1193.23456513771</v>
      </c>
      <c r="O128" s="4" t="n">
        <f aca="false">M128-K128</f>
        <v>60.8478272512361</v>
      </c>
      <c r="P128" s="4" t="n">
        <f aca="false">N128-K128</f>
        <v>0</v>
      </c>
      <c r="Q128" s="4" t="n">
        <f aca="false">A128-MATCH(K128,$M$9:M127,1)</f>
        <v>6</v>
      </c>
      <c r="R128" s="0" t="n">
        <f aca="false">-G128*(O128/3600)</f>
        <v>-0.201359757317792</v>
      </c>
      <c r="S128" s="0" t="n">
        <f aca="false">-1*I128-(H128*(P128/3600))</f>
        <v>-19.5</v>
      </c>
      <c r="T128" s="0" t="n">
        <f aca="false">-H128*(O128/3600)</f>
        <v>-0.186189637907933</v>
      </c>
      <c r="U128" s="0" t="n">
        <f aca="false">T128-S128</f>
        <v>19.3138103620921</v>
      </c>
      <c r="V128" s="0" t="n">
        <f aca="false">1/(1+EXP(U128))</f>
        <v>4.09372564373041E-009</v>
      </c>
      <c r="W128" s="0" t="n">
        <f aca="true">RAND()</f>
        <v>0.772826395812864</v>
      </c>
      <c r="X128" s="0" t="n">
        <f aca="false">IF(W128&lt;V128,1,0)</f>
        <v>0</v>
      </c>
      <c r="Y128" s="0" t="n">
        <f aca="false">(M128*(1-X128)+N128*X128)*D128+M128*E128</f>
        <v>1254.08239238895</v>
      </c>
      <c r="Z128" s="0" t="n">
        <f aca="false">((1-X128)*O128+X128*P128)*D128+E128*O128</f>
        <v>60.8478272512361</v>
      </c>
      <c r="AA128" s="0" t="n">
        <f aca="false">IF(D128*X128&gt;0,AA127,Q128)</f>
        <v>6</v>
      </c>
      <c r="AB128" s="0" t="n">
        <f aca="false">(X128*D128)</f>
        <v>0</v>
      </c>
      <c r="AC128" s="0" t="n">
        <f aca="false">SUM(AB$10:AB127)/K128</f>
        <v>0</v>
      </c>
      <c r="AD128" s="0" t="n">
        <f aca="false">R128*E128+D128*(X128*S128+(1-X128)*T128)</f>
        <v>-0.201359757317792</v>
      </c>
      <c r="AE128" s="0" t="n">
        <f aca="false">Z128</f>
        <v>60.8478272512361</v>
      </c>
      <c r="AF128" s="0" t="n">
        <f aca="false">E128*O128</f>
        <v>60.8478272512361</v>
      </c>
      <c r="AG128" s="0" t="n">
        <f aca="false">((1-X128)*O128+X128*P128)*D128</f>
        <v>0</v>
      </c>
      <c r="AH128" s="0" t="n">
        <f aca="false">D128*(LN(EXP(S128)+EXP(T128)))</f>
        <v>-0</v>
      </c>
      <c r="AJ128" s="0" t="n">
        <f aca="false">$J$5</f>
        <v>10</v>
      </c>
      <c r="AK128" s="4" t="n">
        <f aca="false">AJ128+MAX(K128,AK$10:AK127)</f>
        <v>1254.08239238895</v>
      </c>
      <c r="AL128" s="5" t="n">
        <f aca="false">AK128-K128</f>
        <v>60.8478272512361</v>
      </c>
      <c r="AM128" s="0" t="n">
        <f aca="false">-G128*AL128/3600</f>
        <v>-0.201359757317792</v>
      </c>
      <c r="AN128" s="0" t="n">
        <f aca="false">-H128*AL128/3600</f>
        <v>-0.186189637907933</v>
      </c>
      <c r="AO128" s="0" t="n">
        <f aca="false">AM128*E128+AN128*D128</f>
        <v>-0.201359757317792</v>
      </c>
      <c r="AP128" s="0" t="n">
        <f aca="false">AL128*D128</f>
        <v>0</v>
      </c>
      <c r="AR128" s="0" t="n">
        <f aca="false">AN128*D128</f>
        <v>-0</v>
      </c>
      <c r="AS128" s="0" t="n">
        <f aca="false">AH128-AR128</f>
        <v>0</v>
      </c>
    </row>
    <row r="129" customFormat="false" ht="12" hidden="false" customHeight="false" outlineLevel="0" collapsed="false">
      <c r="A129" s="3" t="n">
        <f aca="false">A128+1</f>
        <v>120</v>
      </c>
      <c r="B129" s="3" t="n">
        <f aca="false">IF(A129&lt;$N$4/3,0.1,(IF(A129&gt;2*$N$4/3,0.05,0.12)))</f>
        <v>0.1</v>
      </c>
      <c r="C129" s="4" t="n">
        <f aca="true">RAND()</f>
        <v>0.165396733564485</v>
      </c>
      <c r="D129" s="0" t="n">
        <f aca="false">IF((C129&gt;$M$2),1,0)</f>
        <v>0</v>
      </c>
      <c r="E129" s="0" t="n">
        <f aca="false">1-D129</f>
        <v>1</v>
      </c>
      <c r="F129" s="0" t="n">
        <f aca="true">RAND()</f>
        <v>0.415677472514249</v>
      </c>
      <c r="G129" s="0" t="n">
        <f aca="false">7.75+F129*10</f>
        <v>11.9067747251425</v>
      </c>
      <c r="H129" s="0" t="n">
        <f aca="false">LOGINV(F129,2.64,1.139)</f>
        <v>10.9949256501869</v>
      </c>
      <c r="I129" s="0" t="n">
        <v>19.5</v>
      </c>
      <c r="J129" s="4" t="n">
        <f aca="true">-LN(RAND())/B129</f>
        <v>7.69144228320746</v>
      </c>
      <c r="K129" s="4" t="n">
        <f aca="false">K128+J129</f>
        <v>1200.92600742092</v>
      </c>
      <c r="L129" s="4" t="n">
        <f aca="false">(1/$J$4)*(1+AB128)</f>
        <v>10</v>
      </c>
      <c r="M129" s="4" t="n">
        <f aca="false">L129+MAX(K129,Y$10:Y128)</f>
        <v>1264.08239238895</v>
      </c>
      <c r="N129" s="4" t="n">
        <f aca="false">K129</f>
        <v>1200.92600742092</v>
      </c>
      <c r="O129" s="4" t="n">
        <f aca="false">M129-K129</f>
        <v>63.1563849680288</v>
      </c>
      <c r="P129" s="4" t="n">
        <f aca="false">N129-K129</f>
        <v>0</v>
      </c>
      <c r="Q129" s="4" t="n">
        <f aca="false">A129-MATCH(K129,$M$9:M128,1)</f>
        <v>6</v>
      </c>
      <c r="R129" s="0" t="n">
        <f aca="false">-G129*(O129/3600)</f>
        <v>-0.208885791185748</v>
      </c>
      <c r="S129" s="0" t="n">
        <f aca="false">-1*I129-(H129*(P129/3600))</f>
        <v>-19.5</v>
      </c>
      <c r="T129" s="0" t="n">
        <f aca="false">-H129*(O129/3600)</f>
        <v>-0.192888821405015</v>
      </c>
      <c r="U129" s="0" t="n">
        <f aca="false">T129-S129</f>
        <v>19.307111178595</v>
      </c>
      <c r="V129" s="0" t="n">
        <f aca="false">1/(1+EXP(U129))</f>
        <v>4.12124232964536E-009</v>
      </c>
      <c r="W129" s="0" t="n">
        <f aca="true">RAND()</f>
        <v>0.726152465855194</v>
      </c>
      <c r="X129" s="0" t="n">
        <f aca="false">IF(W129&lt;V129,1,0)</f>
        <v>0</v>
      </c>
      <c r="Y129" s="0" t="n">
        <f aca="false">(M129*(1-X129)+N129*X129)*D129+M129*E129</f>
        <v>1264.08239238895</v>
      </c>
      <c r="Z129" s="0" t="n">
        <f aca="false">((1-X129)*O129+X129*P129)*D129+E129*O129</f>
        <v>63.1563849680288</v>
      </c>
      <c r="AA129" s="0" t="n">
        <f aca="false">IF(D129*X129&gt;0,AA128,Q129)</f>
        <v>6</v>
      </c>
      <c r="AB129" s="0" t="n">
        <f aca="false">(X129*D129)</f>
        <v>0</v>
      </c>
      <c r="AC129" s="0" t="n">
        <f aca="false">SUM(AB$10:AB128)/K129</f>
        <v>0</v>
      </c>
      <c r="AD129" s="0" t="n">
        <f aca="false">R129*E129+D129*(X129*S129+(1-X129)*T129)</f>
        <v>-0.208885791185748</v>
      </c>
      <c r="AE129" s="0" t="n">
        <f aca="false">Z129</f>
        <v>63.1563849680288</v>
      </c>
      <c r="AF129" s="0" t="n">
        <f aca="false">E129*O129</f>
        <v>63.1563849680288</v>
      </c>
      <c r="AG129" s="0" t="n">
        <f aca="false">((1-X129)*O129+X129*P129)*D129</f>
        <v>0</v>
      </c>
      <c r="AH129" s="0" t="n">
        <f aca="false">D129*(LN(EXP(S129)+EXP(T129)))</f>
        <v>-0</v>
      </c>
      <c r="AJ129" s="0" t="n">
        <f aca="false">$J$5</f>
        <v>10</v>
      </c>
      <c r="AK129" s="4" t="n">
        <f aca="false">AJ129+MAX(K129,AK$10:AK128)</f>
        <v>1264.08239238895</v>
      </c>
      <c r="AL129" s="5" t="n">
        <f aca="false">AK129-K129</f>
        <v>63.1563849680288</v>
      </c>
      <c r="AM129" s="0" t="n">
        <f aca="false">-G129*AL129/3600</f>
        <v>-0.208885791185748</v>
      </c>
      <c r="AN129" s="0" t="n">
        <f aca="false">-H129*AL129/3600</f>
        <v>-0.192888821405015</v>
      </c>
      <c r="AO129" s="0" t="n">
        <f aca="false">AM129*E129+AN129*D129</f>
        <v>-0.208885791185748</v>
      </c>
      <c r="AP129" s="0" t="n">
        <f aca="false">AL129*D129</f>
        <v>0</v>
      </c>
      <c r="AR129" s="0" t="n">
        <f aca="false">AN129*D129</f>
        <v>-0</v>
      </c>
      <c r="AS129" s="0" t="n">
        <f aca="false">AH129-AR129</f>
        <v>0</v>
      </c>
    </row>
    <row r="130" customFormat="false" ht="12" hidden="false" customHeight="false" outlineLevel="0" collapsed="false">
      <c r="A130" s="3" t="n">
        <f aca="false">A129+1</f>
        <v>121</v>
      </c>
      <c r="B130" s="3" t="n">
        <f aca="false">IF(A130&lt;$N$4/3,0.1,(IF(A130&gt;2*$N$4/3,0.05,0.12)))</f>
        <v>0.1</v>
      </c>
      <c r="C130" s="4" t="n">
        <f aca="true">RAND()</f>
        <v>0.742603098776354</v>
      </c>
      <c r="D130" s="0" t="n">
        <f aca="false">IF((C130&gt;$M$2),1,0)</f>
        <v>0</v>
      </c>
      <c r="E130" s="0" t="n">
        <f aca="false">1-D130</f>
        <v>1</v>
      </c>
      <c r="F130" s="0" t="n">
        <f aca="true">RAND()</f>
        <v>0.937567809696113</v>
      </c>
      <c r="G130" s="0" t="n">
        <f aca="false">7.75+F130*10</f>
        <v>17.1256780969611</v>
      </c>
      <c r="H130" s="0" t="n">
        <f aca="false">LOGINV(F130,2.64,1.139)</f>
        <v>80.4786214084976</v>
      </c>
      <c r="I130" s="0" t="n">
        <v>19.5</v>
      </c>
      <c r="J130" s="4" t="n">
        <f aca="true">-LN(RAND())/B130</f>
        <v>4.8931925566587</v>
      </c>
      <c r="K130" s="4" t="n">
        <f aca="false">K129+J130</f>
        <v>1205.81919997758</v>
      </c>
      <c r="L130" s="4" t="n">
        <f aca="false">(1/$J$4)*(1+AB129)</f>
        <v>10</v>
      </c>
      <c r="M130" s="4" t="n">
        <f aca="false">L130+MAX(K130,Y$10:Y129)</f>
        <v>1274.08239238895</v>
      </c>
      <c r="N130" s="4" t="n">
        <f aca="false">K130</f>
        <v>1205.81919997758</v>
      </c>
      <c r="O130" s="4" t="n">
        <f aca="false">M130-K130</f>
        <v>68.26319241137</v>
      </c>
      <c r="P130" s="4" t="n">
        <f aca="false">N130-K130</f>
        <v>0</v>
      </c>
      <c r="Q130" s="4" t="n">
        <f aca="false">A130-MATCH(K130,$M$9:M129,1)</f>
        <v>6</v>
      </c>
      <c r="R130" s="0" t="n">
        <f aca="false">-G130*(O130/3600)</f>
        <v>-0.324737071974456</v>
      </c>
      <c r="S130" s="0" t="n">
        <f aca="false">-1*I130-(H130*(P130/3600))</f>
        <v>-19.5</v>
      </c>
      <c r="T130" s="0" t="n">
        <f aca="false">-H130*(O130/3600)</f>
        <v>-1.5260354495028</v>
      </c>
      <c r="U130" s="0" t="n">
        <f aca="false">T130-S130</f>
        <v>17.9739645504972</v>
      </c>
      <c r="V130" s="0" t="n">
        <f aca="false">1/(1+EXP(U130))</f>
        <v>1.56317057384526E-008</v>
      </c>
      <c r="W130" s="0" t="n">
        <f aca="true">RAND()</f>
        <v>0.636006669252249</v>
      </c>
      <c r="X130" s="0" t="n">
        <f aca="false">IF(W130&lt;V130,1,0)</f>
        <v>0</v>
      </c>
      <c r="Y130" s="0" t="n">
        <f aca="false">(M130*(1-X130)+N130*X130)*D130+M130*E130</f>
        <v>1274.08239238895</v>
      </c>
      <c r="Z130" s="0" t="n">
        <f aca="false">((1-X130)*O130+X130*P130)*D130+E130*O130</f>
        <v>68.26319241137</v>
      </c>
      <c r="AA130" s="0" t="n">
        <f aca="false">IF(D130*X130&gt;0,AA129,Q130)</f>
        <v>6</v>
      </c>
      <c r="AB130" s="0" t="n">
        <f aca="false">(X130*D130)</f>
        <v>0</v>
      </c>
      <c r="AC130" s="0" t="n">
        <f aca="false">SUM(AB$10:AB129)/K130</f>
        <v>0</v>
      </c>
      <c r="AD130" s="0" t="n">
        <f aca="false">R130*E130+D130*(X130*S130+(1-X130)*T130)</f>
        <v>-0.324737071974456</v>
      </c>
      <c r="AE130" s="0" t="n">
        <f aca="false">Z130</f>
        <v>68.26319241137</v>
      </c>
      <c r="AF130" s="0" t="n">
        <f aca="false">E130*O130</f>
        <v>68.26319241137</v>
      </c>
      <c r="AG130" s="0" t="n">
        <f aca="false">((1-X130)*O130+X130*P130)*D130</f>
        <v>0</v>
      </c>
      <c r="AH130" s="0" t="n">
        <f aca="false">D130*(LN(EXP(S130)+EXP(T130)))</f>
        <v>-0</v>
      </c>
      <c r="AJ130" s="0" t="n">
        <f aca="false">$J$5</f>
        <v>10</v>
      </c>
      <c r="AK130" s="4" t="n">
        <f aca="false">AJ130+MAX(K130,AK$10:AK129)</f>
        <v>1274.08239238895</v>
      </c>
      <c r="AL130" s="5" t="n">
        <f aca="false">AK130-K130</f>
        <v>68.26319241137</v>
      </c>
      <c r="AM130" s="0" t="n">
        <f aca="false">-G130*AL130/3600</f>
        <v>-0.324737071974456</v>
      </c>
      <c r="AN130" s="0" t="n">
        <f aca="false">-H130*AL130/3600</f>
        <v>-1.5260354495028</v>
      </c>
      <c r="AO130" s="0" t="n">
        <f aca="false">AM130*E130+AN130*D130</f>
        <v>-0.324737071974456</v>
      </c>
      <c r="AP130" s="0" t="n">
        <f aca="false">AL130*D130</f>
        <v>0</v>
      </c>
      <c r="AR130" s="0" t="n">
        <f aca="false">AN130*D130</f>
        <v>-0</v>
      </c>
      <c r="AS130" s="0" t="n">
        <f aca="false">AH130-AR130</f>
        <v>0</v>
      </c>
    </row>
    <row r="131" customFormat="false" ht="12" hidden="false" customHeight="false" outlineLevel="0" collapsed="false">
      <c r="A131" s="3" t="n">
        <f aca="false">A130+1</f>
        <v>122</v>
      </c>
      <c r="B131" s="3" t="n">
        <f aca="false">IF(A131&lt;$N$4/3,0.1,(IF(A131&gt;2*$N$4/3,0.05,0.12)))</f>
        <v>0.1</v>
      </c>
      <c r="C131" s="4" t="n">
        <f aca="true">RAND()</f>
        <v>0.0364339970974716</v>
      </c>
      <c r="D131" s="0" t="n">
        <f aca="false">IF((C131&gt;$M$2),1,0)</f>
        <v>0</v>
      </c>
      <c r="E131" s="0" t="n">
        <f aca="false">1-D131</f>
        <v>1</v>
      </c>
      <c r="F131" s="0" t="n">
        <f aca="true">RAND()</f>
        <v>0.572805204507632</v>
      </c>
      <c r="G131" s="0" t="n">
        <f aca="false">7.75+F131*10</f>
        <v>13.4780520450763</v>
      </c>
      <c r="H131" s="0" t="n">
        <f aca="false">LOGINV(F131,2.64,1.139)</f>
        <v>17.2710193331286</v>
      </c>
      <c r="I131" s="0" t="n">
        <v>19.5</v>
      </c>
      <c r="J131" s="4" t="n">
        <f aca="true">-LN(RAND())/B131</f>
        <v>4.01229204187382</v>
      </c>
      <c r="K131" s="4" t="n">
        <f aca="false">K130+J131</f>
        <v>1209.83149201945</v>
      </c>
      <c r="L131" s="4" t="n">
        <f aca="false">(1/$J$4)*(1+AB130)</f>
        <v>10</v>
      </c>
      <c r="M131" s="4" t="n">
        <f aca="false">L131+MAX(K131,Y$10:Y130)</f>
        <v>1284.08239238895</v>
      </c>
      <c r="N131" s="4" t="n">
        <f aca="false">K131</f>
        <v>1209.83149201945</v>
      </c>
      <c r="O131" s="4" t="n">
        <f aca="false">M131-K131</f>
        <v>74.2509003694961</v>
      </c>
      <c r="P131" s="4" t="n">
        <f aca="false">N131-K131</f>
        <v>0</v>
      </c>
      <c r="Q131" s="4" t="n">
        <f aca="false">A131-MATCH(K131,$M$9:M130,1)</f>
        <v>7</v>
      </c>
      <c r="R131" s="0" t="n">
        <f aca="false">-G131*(O131/3600)</f>
        <v>-0.277988194326068</v>
      </c>
      <c r="S131" s="0" t="n">
        <f aca="false">-1*I131-(H131*(P131/3600))</f>
        <v>-19.5</v>
      </c>
      <c r="T131" s="0" t="n">
        <f aca="false">-H131*(O131/3600)</f>
        <v>-0.35621909327327</v>
      </c>
      <c r="U131" s="0" t="n">
        <f aca="false">T131-S131</f>
        <v>19.1437809067267</v>
      </c>
      <c r="V131" s="0" t="n">
        <f aca="false">1/(1+EXP(U131))</f>
        <v>4.85245579055972E-009</v>
      </c>
      <c r="W131" s="0" t="n">
        <f aca="true">RAND()</f>
        <v>0.400234073466814</v>
      </c>
      <c r="X131" s="0" t="n">
        <f aca="false">IF(W131&lt;V131,1,0)</f>
        <v>0</v>
      </c>
      <c r="Y131" s="0" t="n">
        <f aca="false">(M131*(1-X131)+N131*X131)*D131+M131*E131</f>
        <v>1284.08239238895</v>
      </c>
      <c r="Z131" s="0" t="n">
        <f aca="false">((1-X131)*O131+X131*P131)*D131+E131*O131</f>
        <v>74.2509003694961</v>
      </c>
      <c r="AA131" s="0" t="n">
        <f aca="false">IF(D131*X131&gt;0,AA130,Q131)</f>
        <v>7</v>
      </c>
      <c r="AB131" s="0" t="n">
        <f aca="false">(X131*D131)</f>
        <v>0</v>
      </c>
      <c r="AC131" s="0" t="n">
        <f aca="false">SUM(AB$10:AB130)/K131</f>
        <v>0</v>
      </c>
      <c r="AD131" s="0" t="n">
        <f aca="false">R131*E131+D131*(X131*S131+(1-X131)*T131)</f>
        <v>-0.277988194326068</v>
      </c>
      <c r="AE131" s="0" t="n">
        <f aca="false">Z131</f>
        <v>74.2509003694961</v>
      </c>
      <c r="AF131" s="0" t="n">
        <f aca="false">E131*O131</f>
        <v>74.2509003694961</v>
      </c>
      <c r="AG131" s="0" t="n">
        <f aca="false">((1-X131)*O131+X131*P131)*D131</f>
        <v>0</v>
      </c>
      <c r="AH131" s="0" t="n">
        <f aca="false">D131*(LN(EXP(S131)+EXP(T131)))</f>
        <v>-0</v>
      </c>
      <c r="AJ131" s="0" t="n">
        <f aca="false">$J$5</f>
        <v>10</v>
      </c>
      <c r="AK131" s="4" t="n">
        <f aca="false">AJ131+MAX(K131,AK$10:AK130)</f>
        <v>1284.08239238895</v>
      </c>
      <c r="AL131" s="5" t="n">
        <f aca="false">AK131-K131</f>
        <v>74.2509003694961</v>
      </c>
      <c r="AM131" s="0" t="n">
        <f aca="false">-G131*AL131/3600</f>
        <v>-0.277988194326068</v>
      </c>
      <c r="AN131" s="0" t="n">
        <f aca="false">-H131*AL131/3600</f>
        <v>-0.356219093273271</v>
      </c>
      <c r="AO131" s="0" t="n">
        <f aca="false">AM131*E131+AN131*D131</f>
        <v>-0.277988194326068</v>
      </c>
      <c r="AP131" s="0" t="n">
        <f aca="false">AL131*D131</f>
        <v>0</v>
      </c>
      <c r="AR131" s="0" t="n">
        <f aca="false">AN131*D131</f>
        <v>-0</v>
      </c>
      <c r="AS131" s="0" t="n">
        <f aca="false">AH131-AR131</f>
        <v>0</v>
      </c>
    </row>
    <row r="132" customFormat="false" ht="12" hidden="false" customHeight="false" outlineLevel="0" collapsed="false">
      <c r="A132" s="3" t="n">
        <f aca="false">A131+1</f>
        <v>123</v>
      </c>
      <c r="B132" s="3" t="n">
        <f aca="false">IF(A132&lt;$N$4/3,0.1,(IF(A132&gt;2*$N$4/3,0.05,0.12)))</f>
        <v>0.1</v>
      </c>
      <c r="C132" s="4" t="n">
        <f aca="true">RAND()</f>
        <v>0.90266487336109</v>
      </c>
      <c r="D132" s="0" t="n">
        <f aca="false">IF((C132&gt;$M$2),1,0)</f>
        <v>1</v>
      </c>
      <c r="E132" s="0" t="n">
        <f aca="false">1-D132</f>
        <v>0</v>
      </c>
      <c r="F132" s="0" t="n">
        <f aca="true">RAND()</f>
        <v>0.192834277790307</v>
      </c>
      <c r="G132" s="0" t="n">
        <f aca="false">7.75+F132*10</f>
        <v>9.67834277790307</v>
      </c>
      <c r="H132" s="0" t="n">
        <f aca="false">LOGINV(F132,2.64,1.139)</f>
        <v>5.21697860474603</v>
      </c>
      <c r="I132" s="0" t="n">
        <v>19.5</v>
      </c>
      <c r="J132" s="4" t="n">
        <f aca="true">-LN(RAND())/B132</f>
        <v>2.88040887747959</v>
      </c>
      <c r="K132" s="4" t="n">
        <f aca="false">K131+J132</f>
        <v>1212.71190089693</v>
      </c>
      <c r="L132" s="4" t="n">
        <f aca="false">(1/$J$4)*(1+AB131)</f>
        <v>10</v>
      </c>
      <c r="M132" s="4" t="n">
        <f aca="false">L132+MAX(K132,Y$10:Y131)</f>
        <v>1294.08239238895</v>
      </c>
      <c r="N132" s="4" t="n">
        <f aca="false">K132</f>
        <v>1212.71190089693</v>
      </c>
      <c r="O132" s="4" t="n">
        <f aca="false">M132-K132</f>
        <v>81.3704914920165</v>
      </c>
      <c r="P132" s="4" t="n">
        <f aca="false">N132-K132</f>
        <v>0</v>
      </c>
      <c r="Q132" s="4" t="n">
        <f aca="false">A132-MATCH(K132,$M$9:M131,1)</f>
        <v>8</v>
      </c>
      <c r="R132" s="0" t="n">
        <f aca="false">-G132*(O132/3600)</f>
        <v>-0.218758752407273</v>
      </c>
      <c r="S132" s="0" t="n">
        <f aca="false">-1*I132-(H132*(P132/3600))</f>
        <v>-19.5</v>
      </c>
      <c r="T132" s="0" t="n">
        <f aca="false">-H132*(O132/3600)</f>
        <v>-0.117918920325422</v>
      </c>
      <c r="U132" s="0" t="n">
        <f aca="false">T132-S132</f>
        <v>19.3820810796746</v>
      </c>
      <c r="V132" s="0" t="n">
        <f aca="false">1/(1+EXP(U132))</f>
        <v>3.8235708116697E-009</v>
      </c>
      <c r="W132" s="0" t="n">
        <f aca="true">RAND()</f>
        <v>0.399042255729834</v>
      </c>
      <c r="X132" s="0" t="n">
        <f aca="false">IF(W132&lt;V132,1,0)</f>
        <v>0</v>
      </c>
      <c r="Y132" s="0" t="n">
        <f aca="false">(M132*(1-X132)+N132*X132)*D132+M132*E132</f>
        <v>1294.08239238895</v>
      </c>
      <c r="Z132" s="0" t="n">
        <f aca="false">((1-X132)*O132+X132*P132)*D132+E132*O132</f>
        <v>81.3704914920165</v>
      </c>
      <c r="AA132" s="0" t="n">
        <f aca="false">IF(D132*X132&gt;0,AA131,Q132)</f>
        <v>8</v>
      </c>
      <c r="AB132" s="0" t="n">
        <f aca="false">(X132*D132)</f>
        <v>0</v>
      </c>
      <c r="AC132" s="0" t="n">
        <f aca="false">SUM(AB$10:AB131)/K132</f>
        <v>0</v>
      </c>
      <c r="AD132" s="0" t="n">
        <f aca="false">R132*E132+D132*(X132*S132+(1-X132)*T132)</f>
        <v>-0.117918920325422</v>
      </c>
      <c r="AE132" s="0" t="n">
        <f aca="false">Z132</f>
        <v>81.3704914920165</v>
      </c>
      <c r="AF132" s="0" t="n">
        <f aca="false">E132*O132</f>
        <v>0</v>
      </c>
      <c r="AG132" s="0" t="n">
        <f aca="false">((1-X132)*O132+X132*P132)*D132</f>
        <v>81.3704914920165</v>
      </c>
      <c r="AH132" s="0" t="n">
        <f aca="false">D132*(LN(EXP(S132)+EXP(T132)))</f>
        <v>-0.117918916501851</v>
      </c>
      <c r="AJ132" s="0" t="n">
        <f aca="false">$J$5</f>
        <v>10</v>
      </c>
      <c r="AK132" s="4" t="n">
        <f aca="false">AJ132+MAX(K132,AK$10:AK131)</f>
        <v>1294.08239238895</v>
      </c>
      <c r="AL132" s="5" t="n">
        <f aca="false">AK132-K132</f>
        <v>81.3704914920165</v>
      </c>
      <c r="AM132" s="0" t="n">
        <f aca="false">-G132*AL132/3600</f>
        <v>-0.218758752407273</v>
      </c>
      <c r="AN132" s="0" t="n">
        <f aca="false">-H132*AL132/3600</f>
        <v>-0.117918920325422</v>
      </c>
      <c r="AO132" s="0" t="n">
        <f aca="false">AM132*E132+AN132*D132</f>
        <v>-0.117918920325422</v>
      </c>
      <c r="AP132" s="0" t="n">
        <f aca="false">AL132*D132</f>
        <v>81.3704914920165</v>
      </c>
      <c r="AR132" s="0" t="n">
        <f aca="false">AN132*D132</f>
        <v>-0.117918920325422</v>
      </c>
      <c r="AS132" s="0" t="n">
        <f aca="false">AH132-AR132</f>
        <v>3.82357073780426E-009</v>
      </c>
    </row>
    <row r="133" customFormat="false" ht="12" hidden="false" customHeight="false" outlineLevel="0" collapsed="false">
      <c r="A133" s="3" t="n">
        <f aca="false">A132+1</f>
        <v>124</v>
      </c>
      <c r="B133" s="3" t="n">
        <f aca="false">IF(A133&lt;$N$4/3,0.1,(IF(A133&gt;2*$N$4/3,0.05,0.12)))</f>
        <v>0.1</v>
      </c>
      <c r="C133" s="4" t="n">
        <f aca="true">RAND()</f>
        <v>0.453154118701526</v>
      </c>
      <c r="D133" s="0" t="n">
        <f aca="false">IF((C133&gt;$M$2),1,0)</f>
        <v>0</v>
      </c>
      <c r="E133" s="0" t="n">
        <f aca="false">1-D133</f>
        <v>1</v>
      </c>
      <c r="F133" s="0" t="n">
        <f aca="true">RAND()</f>
        <v>0.291190551194769</v>
      </c>
      <c r="G133" s="0" t="n">
        <f aca="false">7.75+F133*10</f>
        <v>10.6619055119477</v>
      </c>
      <c r="H133" s="0" t="n">
        <f aca="false">LOGINV(F133,2.64,1.139)</f>
        <v>7.49062700020198</v>
      </c>
      <c r="I133" s="0" t="n">
        <v>19.5</v>
      </c>
      <c r="J133" s="4" t="n">
        <f aca="true">-LN(RAND())/B133</f>
        <v>39.0559287040722</v>
      </c>
      <c r="K133" s="4" t="n">
        <f aca="false">K132+J133</f>
        <v>1251.767829601</v>
      </c>
      <c r="L133" s="4" t="n">
        <f aca="false">(1/$J$4)*(1+AB132)</f>
        <v>10</v>
      </c>
      <c r="M133" s="4" t="n">
        <f aca="false">L133+MAX(K133,Y$10:Y132)</f>
        <v>1304.08239238895</v>
      </c>
      <c r="N133" s="4" t="n">
        <f aca="false">K133</f>
        <v>1251.767829601</v>
      </c>
      <c r="O133" s="4" t="n">
        <f aca="false">M133-K133</f>
        <v>52.3145627879444</v>
      </c>
      <c r="P133" s="4" t="n">
        <f aca="false">N133-K133</f>
        <v>0</v>
      </c>
      <c r="Q133" s="4" t="n">
        <f aca="false">A133-MATCH(K133,$M$9:M132,1)</f>
        <v>5</v>
      </c>
      <c r="R133" s="0" t="n">
        <f aca="false">-G133*(O133/3600)</f>
        <v>-0.154936923706644</v>
      </c>
      <c r="S133" s="0" t="n">
        <f aca="false">-1*I133-(H133*(P133/3600))</f>
        <v>-19.5</v>
      </c>
      <c r="T133" s="0" t="n">
        <f aca="false">-H133*(O133/3600)</f>
        <v>-0.108852465700872</v>
      </c>
      <c r="U133" s="0" t="n">
        <f aca="false">T133-S133</f>
        <v>19.3911475342991</v>
      </c>
      <c r="V133" s="0" t="n">
        <f aca="false">1/(1+EXP(U133))</f>
        <v>3.7890612565828E-009</v>
      </c>
      <c r="W133" s="0" t="n">
        <f aca="true">RAND()</f>
        <v>0.45832018095711</v>
      </c>
      <c r="X133" s="0" t="n">
        <f aca="false">IF(W133&lt;V133,1,0)</f>
        <v>0</v>
      </c>
      <c r="Y133" s="0" t="n">
        <f aca="false">(M133*(1-X133)+N133*X133)*D133+M133*E133</f>
        <v>1304.08239238895</v>
      </c>
      <c r="Z133" s="0" t="n">
        <f aca="false">((1-X133)*O133+X133*P133)*D133+E133*O133</f>
        <v>52.3145627879444</v>
      </c>
      <c r="AA133" s="0" t="n">
        <f aca="false">IF(D133*X133&gt;0,AA132,Q133)</f>
        <v>5</v>
      </c>
      <c r="AB133" s="0" t="n">
        <f aca="false">(X133*D133)</f>
        <v>0</v>
      </c>
      <c r="AC133" s="0" t="n">
        <f aca="false">SUM(AB$10:AB132)/K133</f>
        <v>0</v>
      </c>
      <c r="AD133" s="0" t="n">
        <f aca="false">R133*E133+D133*(X133*S133+(1-X133)*T133)</f>
        <v>-0.154936923706644</v>
      </c>
      <c r="AE133" s="0" t="n">
        <f aca="false">Z133</f>
        <v>52.3145627879444</v>
      </c>
      <c r="AF133" s="0" t="n">
        <f aca="false">E133*O133</f>
        <v>52.3145627879444</v>
      </c>
      <c r="AG133" s="0" t="n">
        <f aca="false">((1-X133)*O133+X133*P133)*D133</f>
        <v>0</v>
      </c>
      <c r="AH133" s="0" t="n">
        <f aca="false">D133*(LN(EXP(S133)+EXP(T133)))</f>
        <v>-0</v>
      </c>
      <c r="AJ133" s="0" t="n">
        <f aca="false">$J$5</f>
        <v>10</v>
      </c>
      <c r="AK133" s="4" t="n">
        <f aca="false">AJ133+MAX(K133,AK$10:AK132)</f>
        <v>1304.08239238895</v>
      </c>
      <c r="AL133" s="5" t="n">
        <f aca="false">AK133-K133</f>
        <v>52.3145627879444</v>
      </c>
      <c r="AM133" s="0" t="n">
        <f aca="false">-G133*AL133/3600</f>
        <v>-0.154936923706644</v>
      </c>
      <c r="AN133" s="0" t="n">
        <f aca="false">-H133*AL133/3600</f>
        <v>-0.108852465700872</v>
      </c>
      <c r="AO133" s="0" t="n">
        <f aca="false">AM133*E133+AN133*D133</f>
        <v>-0.154936923706644</v>
      </c>
      <c r="AP133" s="0" t="n">
        <f aca="false">AL133*D133</f>
        <v>0</v>
      </c>
      <c r="AR133" s="0" t="n">
        <f aca="false">AN133*D133</f>
        <v>-0</v>
      </c>
      <c r="AS133" s="0" t="n">
        <f aca="false">AH133-AR133</f>
        <v>0</v>
      </c>
    </row>
    <row r="134" customFormat="false" ht="12" hidden="false" customHeight="false" outlineLevel="0" collapsed="false">
      <c r="A134" s="3" t="n">
        <f aca="false">A133+1</f>
        <v>125</v>
      </c>
      <c r="B134" s="3" t="n">
        <f aca="false">IF(A134&lt;$N$4/3,0.1,(IF(A134&gt;2*$N$4/3,0.05,0.12)))</f>
        <v>0.1</v>
      </c>
      <c r="C134" s="4" t="n">
        <f aca="true">RAND()</f>
        <v>0.32749547837467</v>
      </c>
      <c r="D134" s="0" t="n">
        <f aca="false">IF((C134&gt;$M$2),1,0)</f>
        <v>0</v>
      </c>
      <c r="E134" s="0" t="n">
        <f aca="false">1-D134</f>
        <v>1</v>
      </c>
      <c r="F134" s="0" t="n">
        <f aca="true">RAND()</f>
        <v>0.463482691270769</v>
      </c>
      <c r="G134" s="0" t="n">
        <f aca="false">7.75+F134*10</f>
        <v>12.3848269127077</v>
      </c>
      <c r="H134" s="0" t="n">
        <f aca="false">LOGINV(F134,2.64,1.139)</f>
        <v>12.6239430302747</v>
      </c>
      <c r="I134" s="0" t="n">
        <v>19.5</v>
      </c>
      <c r="J134" s="4" t="n">
        <f aca="true">-LN(RAND())/B134</f>
        <v>9.52343403350886</v>
      </c>
      <c r="K134" s="4" t="n">
        <f aca="false">K133+J134</f>
        <v>1261.29126363451</v>
      </c>
      <c r="L134" s="4" t="n">
        <f aca="false">(1/$J$4)*(1+AB133)</f>
        <v>10</v>
      </c>
      <c r="M134" s="4" t="n">
        <f aca="false">L134+MAX(K134,Y$10:Y133)</f>
        <v>1314.08239238895</v>
      </c>
      <c r="N134" s="4" t="n">
        <f aca="false">K134</f>
        <v>1261.29126363451</v>
      </c>
      <c r="O134" s="4" t="n">
        <f aca="false">M134-K134</f>
        <v>52.7911287544355</v>
      </c>
      <c r="P134" s="4" t="n">
        <f aca="false">N134-K134</f>
        <v>0</v>
      </c>
      <c r="Q134" s="4" t="n">
        <f aca="false">A134-MATCH(K134,$M$9:M133,1)</f>
        <v>5</v>
      </c>
      <c r="R134" s="0" t="n">
        <f aca="false">-G134*(O134/3600)</f>
        <v>-0.181613608930597</v>
      </c>
      <c r="S134" s="0" t="n">
        <f aca="false">-1*I134-(H134*(P134/3600))</f>
        <v>-19.5</v>
      </c>
      <c r="T134" s="0" t="n">
        <f aca="false">-H134*(O134/3600)</f>
        <v>-0.185120056083303</v>
      </c>
      <c r="U134" s="0" t="n">
        <f aca="false">T134-S134</f>
        <v>19.3148799439167</v>
      </c>
      <c r="V134" s="0" t="n">
        <f aca="false">1/(1+EXP(U134))</f>
        <v>4.08934940999199E-009</v>
      </c>
      <c r="W134" s="0" t="n">
        <f aca="true">RAND()</f>
        <v>0.8930517268617</v>
      </c>
      <c r="X134" s="0" t="n">
        <f aca="false">IF(W134&lt;V134,1,0)</f>
        <v>0</v>
      </c>
      <c r="Y134" s="0" t="n">
        <f aca="false">(M134*(1-X134)+N134*X134)*D134+M134*E134</f>
        <v>1314.08239238895</v>
      </c>
      <c r="Z134" s="0" t="n">
        <f aca="false">((1-X134)*O134+X134*P134)*D134+E134*O134</f>
        <v>52.7911287544355</v>
      </c>
      <c r="AA134" s="0" t="n">
        <f aca="false">IF(D134*X134&gt;0,AA133,Q134)</f>
        <v>5</v>
      </c>
      <c r="AB134" s="0" t="n">
        <f aca="false">(X134*D134)</f>
        <v>0</v>
      </c>
      <c r="AC134" s="0" t="n">
        <f aca="false">SUM(AB$10:AB133)/K134</f>
        <v>0</v>
      </c>
      <c r="AD134" s="0" t="n">
        <f aca="false">R134*E134+D134*(X134*S134+(1-X134)*T134)</f>
        <v>-0.181613608930597</v>
      </c>
      <c r="AE134" s="0" t="n">
        <f aca="false">Z134</f>
        <v>52.7911287544355</v>
      </c>
      <c r="AF134" s="0" t="n">
        <f aca="false">E134*O134</f>
        <v>52.7911287544355</v>
      </c>
      <c r="AG134" s="0" t="n">
        <f aca="false">((1-X134)*O134+X134*P134)*D134</f>
        <v>0</v>
      </c>
      <c r="AH134" s="0" t="n">
        <f aca="false">D134*(LN(EXP(S134)+EXP(T134)))</f>
        <v>-0</v>
      </c>
      <c r="AJ134" s="0" t="n">
        <f aca="false">$J$5</f>
        <v>10</v>
      </c>
      <c r="AK134" s="4" t="n">
        <f aca="false">AJ134+MAX(K134,AK$10:AK133)</f>
        <v>1314.08239238895</v>
      </c>
      <c r="AL134" s="5" t="n">
        <f aca="false">AK134-K134</f>
        <v>52.7911287544355</v>
      </c>
      <c r="AM134" s="0" t="n">
        <f aca="false">-G134*AL134/3600</f>
        <v>-0.181613608930597</v>
      </c>
      <c r="AN134" s="0" t="n">
        <f aca="false">-H134*AL134/3600</f>
        <v>-0.185120056083303</v>
      </c>
      <c r="AO134" s="0" t="n">
        <f aca="false">AM134*E134+AN134*D134</f>
        <v>-0.181613608930597</v>
      </c>
      <c r="AP134" s="0" t="n">
        <f aca="false">AL134*D134</f>
        <v>0</v>
      </c>
      <c r="AR134" s="0" t="n">
        <f aca="false">AN134*D134</f>
        <v>-0</v>
      </c>
      <c r="AS134" s="0" t="n">
        <f aca="false">AH134-AR134</f>
        <v>0</v>
      </c>
    </row>
    <row r="135" customFormat="false" ht="12" hidden="false" customHeight="false" outlineLevel="0" collapsed="false">
      <c r="A135" s="3" t="n">
        <f aca="false">A134+1</f>
        <v>126</v>
      </c>
      <c r="B135" s="3" t="n">
        <f aca="false">IF(A135&lt;$N$4/3,0.1,(IF(A135&gt;2*$N$4/3,0.05,0.12)))</f>
        <v>0.1</v>
      </c>
      <c r="C135" s="4" t="n">
        <f aca="true">RAND()</f>
        <v>0.629745181695474</v>
      </c>
      <c r="D135" s="0" t="n">
        <f aca="false">IF((C135&gt;$M$2),1,0)</f>
        <v>0</v>
      </c>
      <c r="E135" s="0" t="n">
        <f aca="false">1-D135</f>
        <v>1</v>
      </c>
      <c r="F135" s="0" t="n">
        <f aca="true">RAND()</f>
        <v>0.459884799542703</v>
      </c>
      <c r="G135" s="0" t="n">
        <f aca="false">7.75+F135*10</f>
        <v>12.348847995427</v>
      </c>
      <c r="H135" s="0" t="n">
        <f aca="false">LOGINV(F135,2.64,1.139)</f>
        <v>12.4943359984404</v>
      </c>
      <c r="I135" s="0" t="n">
        <v>19.5</v>
      </c>
      <c r="J135" s="4" t="n">
        <f aca="true">-LN(RAND())/B135</f>
        <v>3.68730248410089</v>
      </c>
      <c r="K135" s="4" t="n">
        <f aca="false">K134+J135</f>
        <v>1264.97856611861</v>
      </c>
      <c r="L135" s="4" t="n">
        <f aca="false">(1/$J$4)*(1+AB134)</f>
        <v>10</v>
      </c>
      <c r="M135" s="4" t="n">
        <f aca="false">L135+MAX(K135,Y$10:Y134)</f>
        <v>1324.08239238895</v>
      </c>
      <c r="N135" s="4" t="n">
        <f aca="false">K135</f>
        <v>1264.97856611861</v>
      </c>
      <c r="O135" s="4" t="n">
        <f aca="false">M135-K135</f>
        <v>59.1038262703346</v>
      </c>
      <c r="P135" s="4" t="n">
        <f aca="false">N135-K135</f>
        <v>0</v>
      </c>
      <c r="Q135" s="4" t="n">
        <f aca="false">A135-MATCH(K135,$M$9:M134,1)</f>
        <v>5</v>
      </c>
      <c r="R135" s="0" t="n">
        <f aca="false">-G135*(O135/3600)</f>
        <v>-0.202740046266802</v>
      </c>
      <c r="S135" s="0" t="n">
        <f aca="false">-1*I135-(H135*(P135/3600))</f>
        <v>-19.5</v>
      </c>
      <c r="T135" s="0" t="n">
        <f aca="false">-H135*(O135/3600)</f>
        <v>-0.205128628948613</v>
      </c>
      <c r="U135" s="0" t="n">
        <f aca="false">T135-S135</f>
        <v>19.2948713710514</v>
      </c>
      <c r="V135" s="0" t="n">
        <f aca="false">1/(1+EXP(U135))</f>
        <v>4.17199551336896E-009</v>
      </c>
      <c r="W135" s="0" t="n">
        <f aca="true">RAND()</f>
        <v>0.478193234538396</v>
      </c>
      <c r="X135" s="0" t="n">
        <f aca="false">IF(W135&lt;V135,1,0)</f>
        <v>0</v>
      </c>
      <c r="Y135" s="0" t="n">
        <f aca="false">(M135*(1-X135)+N135*X135)*D135+M135*E135</f>
        <v>1324.08239238895</v>
      </c>
      <c r="Z135" s="0" t="n">
        <f aca="false">((1-X135)*O135+X135*P135)*D135+E135*O135</f>
        <v>59.1038262703346</v>
      </c>
      <c r="AA135" s="0" t="n">
        <f aca="false">IF(D135*X135&gt;0,AA134,Q135)</f>
        <v>5</v>
      </c>
      <c r="AB135" s="0" t="n">
        <f aca="false">(X135*D135)</f>
        <v>0</v>
      </c>
      <c r="AC135" s="0" t="n">
        <f aca="false">SUM(AB$10:AB134)/K135</f>
        <v>0</v>
      </c>
      <c r="AD135" s="0" t="n">
        <f aca="false">R135*E135+D135*(X135*S135+(1-X135)*T135)</f>
        <v>-0.202740046266802</v>
      </c>
      <c r="AE135" s="0" t="n">
        <f aca="false">Z135</f>
        <v>59.1038262703346</v>
      </c>
      <c r="AF135" s="0" t="n">
        <f aca="false">E135*O135</f>
        <v>59.1038262703346</v>
      </c>
      <c r="AG135" s="0" t="n">
        <f aca="false">((1-X135)*O135+X135*P135)*D135</f>
        <v>0</v>
      </c>
      <c r="AH135" s="0" t="n">
        <f aca="false">D135*(LN(EXP(S135)+EXP(T135)))</f>
        <v>-0</v>
      </c>
      <c r="AJ135" s="0" t="n">
        <f aca="false">$J$5</f>
        <v>10</v>
      </c>
      <c r="AK135" s="4" t="n">
        <f aca="false">AJ135+MAX(K135,AK$10:AK134)</f>
        <v>1324.08239238895</v>
      </c>
      <c r="AL135" s="5" t="n">
        <f aca="false">AK135-K135</f>
        <v>59.1038262703346</v>
      </c>
      <c r="AM135" s="0" t="n">
        <f aca="false">-G135*AL135/3600</f>
        <v>-0.202740046266802</v>
      </c>
      <c r="AN135" s="0" t="n">
        <f aca="false">-H135*AL135/3600</f>
        <v>-0.205128628948613</v>
      </c>
      <c r="AO135" s="0" t="n">
        <f aca="false">AM135*E135+AN135*D135</f>
        <v>-0.202740046266802</v>
      </c>
      <c r="AP135" s="0" t="n">
        <f aca="false">AL135*D135</f>
        <v>0</v>
      </c>
      <c r="AR135" s="0" t="n">
        <f aca="false">AN135*D135</f>
        <v>-0</v>
      </c>
      <c r="AS135" s="0" t="n">
        <f aca="false">AH135-AR135</f>
        <v>0</v>
      </c>
    </row>
    <row r="136" customFormat="false" ht="12" hidden="false" customHeight="false" outlineLevel="0" collapsed="false">
      <c r="A136" s="3" t="n">
        <f aca="false">A135+1</f>
        <v>127</v>
      </c>
      <c r="B136" s="3" t="n">
        <f aca="false">IF(A136&lt;$N$4/3,0.1,(IF(A136&gt;2*$N$4/3,0.05,0.12)))</f>
        <v>0.1</v>
      </c>
      <c r="C136" s="4" t="n">
        <f aca="true">RAND()</f>
        <v>0.472544480536861</v>
      </c>
      <c r="D136" s="0" t="n">
        <f aca="false">IF((C136&gt;$M$2),1,0)</f>
        <v>0</v>
      </c>
      <c r="E136" s="0" t="n">
        <f aca="false">1-D136</f>
        <v>1</v>
      </c>
      <c r="F136" s="0" t="n">
        <f aca="true">RAND()</f>
        <v>0.140876007106255</v>
      </c>
      <c r="G136" s="0" t="n">
        <f aca="false">7.75+F136*10</f>
        <v>9.15876007106255</v>
      </c>
      <c r="H136" s="0" t="n">
        <f aca="false">LOGINV(F136,2.64,1.139)</f>
        <v>4.11232927880838</v>
      </c>
      <c r="I136" s="0" t="n">
        <v>19.5</v>
      </c>
      <c r="J136" s="4" t="n">
        <f aca="true">-LN(RAND())/B136</f>
        <v>5.27187054866942</v>
      </c>
      <c r="K136" s="4" t="n">
        <f aca="false">K135+J136</f>
        <v>1270.25043666728</v>
      </c>
      <c r="L136" s="4" t="n">
        <f aca="false">(1/$J$4)*(1+AB135)</f>
        <v>10</v>
      </c>
      <c r="M136" s="4" t="n">
        <f aca="false">L136+MAX(K136,Y$10:Y135)</f>
        <v>1334.08239238895</v>
      </c>
      <c r="N136" s="4" t="n">
        <f aca="false">K136</f>
        <v>1270.25043666728</v>
      </c>
      <c r="O136" s="4" t="n">
        <f aca="false">M136-K136</f>
        <v>63.8319557216653</v>
      </c>
      <c r="P136" s="4" t="n">
        <f aca="false">N136-K136</f>
        <v>0</v>
      </c>
      <c r="Q136" s="4" t="n">
        <f aca="false">A136-MATCH(K136,$M$9:M135,1)</f>
        <v>6</v>
      </c>
      <c r="R136" s="0" t="n">
        <f aca="false">-G136*(O136/3600)</f>
        <v>-0.162394879811506</v>
      </c>
      <c r="S136" s="0" t="n">
        <f aca="false">-1*I136-(H136*(P136/3600))</f>
        <v>-19.5</v>
      </c>
      <c r="T136" s="0" t="n">
        <f aca="false">-H136*(O136/3600)</f>
        <v>-0.0729161167882789</v>
      </c>
      <c r="U136" s="0" t="n">
        <f aca="false">T136-S136</f>
        <v>19.4270838832117</v>
      </c>
      <c r="V136" s="0" t="n">
        <f aca="false">1/(1+EXP(U136))</f>
        <v>3.65531382035938E-009</v>
      </c>
      <c r="W136" s="0" t="n">
        <f aca="true">RAND()</f>
        <v>0.503834632757015</v>
      </c>
      <c r="X136" s="0" t="n">
        <f aca="false">IF(W136&lt;V136,1,0)</f>
        <v>0</v>
      </c>
      <c r="Y136" s="0" t="n">
        <f aca="false">(M136*(1-X136)+N136*X136)*D136+M136*E136</f>
        <v>1334.08239238895</v>
      </c>
      <c r="Z136" s="0" t="n">
        <f aca="false">((1-X136)*O136+X136*P136)*D136+E136*O136</f>
        <v>63.8319557216653</v>
      </c>
      <c r="AA136" s="0" t="n">
        <f aca="false">IF(D136*X136&gt;0,AA135,Q136)</f>
        <v>6</v>
      </c>
      <c r="AB136" s="0" t="n">
        <f aca="false">(X136*D136)</f>
        <v>0</v>
      </c>
      <c r="AC136" s="0" t="n">
        <f aca="false">SUM(AB$10:AB135)/K136</f>
        <v>0</v>
      </c>
      <c r="AD136" s="0" t="n">
        <f aca="false">R136*E136+D136*(X136*S136+(1-X136)*T136)</f>
        <v>-0.162394879811506</v>
      </c>
      <c r="AE136" s="0" t="n">
        <f aca="false">Z136</f>
        <v>63.8319557216653</v>
      </c>
      <c r="AF136" s="0" t="n">
        <f aca="false">E136*O136</f>
        <v>63.8319557216653</v>
      </c>
      <c r="AG136" s="0" t="n">
        <f aca="false">((1-X136)*O136+X136*P136)*D136</f>
        <v>0</v>
      </c>
      <c r="AH136" s="0" t="n">
        <f aca="false">D136*(LN(EXP(S136)+EXP(T136)))</f>
        <v>-0</v>
      </c>
      <c r="AJ136" s="0" t="n">
        <f aca="false">$J$5</f>
        <v>10</v>
      </c>
      <c r="AK136" s="4" t="n">
        <f aca="false">AJ136+MAX(K136,AK$10:AK135)</f>
        <v>1334.08239238895</v>
      </c>
      <c r="AL136" s="5" t="n">
        <f aca="false">AK136-K136</f>
        <v>63.8319557216653</v>
      </c>
      <c r="AM136" s="0" t="n">
        <f aca="false">-G136*AL136/3600</f>
        <v>-0.162394879811506</v>
      </c>
      <c r="AN136" s="0" t="n">
        <f aca="false">-H136*AL136/3600</f>
        <v>-0.0729161167882789</v>
      </c>
      <c r="AO136" s="0" t="n">
        <f aca="false">AM136*E136+AN136*D136</f>
        <v>-0.162394879811506</v>
      </c>
      <c r="AP136" s="0" t="n">
        <f aca="false">AL136*D136</f>
        <v>0</v>
      </c>
      <c r="AR136" s="0" t="n">
        <f aca="false">AN136*D136</f>
        <v>-0</v>
      </c>
      <c r="AS136" s="0" t="n">
        <f aca="false">AH136-AR136</f>
        <v>0</v>
      </c>
    </row>
    <row r="137" customFormat="false" ht="12" hidden="false" customHeight="false" outlineLevel="0" collapsed="false">
      <c r="A137" s="3" t="n">
        <f aca="false">A136+1</f>
        <v>128</v>
      </c>
      <c r="B137" s="3" t="n">
        <f aca="false">IF(A137&lt;$N$4/3,0.1,(IF(A137&gt;2*$N$4/3,0.05,0.12)))</f>
        <v>0.1</v>
      </c>
      <c r="C137" s="4" t="n">
        <f aca="true">RAND()</f>
        <v>0.963691234511793</v>
      </c>
      <c r="D137" s="0" t="n">
        <f aca="false">IF((C137&gt;$M$2),1,0)</f>
        <v>1</v>
      </c>
      <c r="E137" s="0" t="n">
        <f aca="false">1-D137</f>
        <v>0</v>
      </c>
      <c r="F137" s="0" t="n">
        <f aca="true">RAND()</f>
        <v>0.150423902657915</v>
      </c>
      <c r="G137" s="0" t="n">
        <f aca="false">7.75+F137*10</f>
        <v>9.25423902657915</v>
      </c>
      <c r="H137" s="0" t="n">
        <f aca="false">LOGINV(F137,2.64,1.139)</f>
        <v>4.31273046308569</v>
      </c>
      <c r="I137" s="0" t="n">
        <v>19.5</v>
      </c>
      <c r="J137" s="4" t="n">
        <f aca="true">-LN(RAND())/B137</f>
        <v>7.79116759887934</v>
      </c>
      <c r="K137" s="4" t="n">
        <f aca="false">K136+J137</f>
        <v>1278.04160426616</v>
      </c>
      <c r="L137" s="4" t="n">
        <f aca="false">(1/$J$4)*(1+AB136)</f>
        <v>10</v>
      </c>
      <c r="M137" s="4" t="n">
        <f aca="false">L137+MAX(K137,Y$10:Y136)</f>
        <v>1344.08239238895</v>
      </c>
      <c r="N137" s="4" t="n">
        <f aca="false">K137</f>
        <v>1278.04160426616</v>
      </c>
      <c r="O137" s="4" t="n">
        <f aca="false">M137-K137</f>
        <v>66.0407881227859</v>
      </c>
      <c r="P137" s="4" t="n">
        <f aca="false">N137-K137</f>
        <v>0</v>
      </c>
      <c r="Q137" s="4" t="n">
        <f aca="false">A137-MATCH(K137,$M$9:M136,1)</f>
        <v>6</v>
      </c>
      <c r="R137" s="0" t="n">
        <f aca="false">-G137*(O137/3600)</f>
        <v>-0.169765899664425</v>
      </c>
      <c r="S137" s="0" t="n">
        <f aca="false">-1*I137-(H137*(P137/3600))</f>
        <v>-19.5</v>
      </c>
      <c r="T137" s="0" t="n">
        <f aca="false">-H137*(O137/3600)</f>
        <v>-0.0791155885398128</v>
      </c>
      <c r="U137" s="0" t="n">
        <f aca="false">T137-S137</f>
        <v>19.4208844114602</v>
      </c>
      <c r="V137" s="0" t="n">
        <f aca="false">1/(1+EXP(U137))</f>
        <v>3.67804522359064E-009</v>
      </c>
      <c r="W137" s="0" t="n">
        <f aca="true">RAND()</f>
        <v>0.549975839988054</v>
      </c>
      <c r="X137" s="0" t="n">
        <f aca="false">IF(W137&lt;V137,1,0)</f>
        <v>0</v>
      </c>
      <c r="Y137" s="0" t="n">
        <f aca="false">(M137*(1-X137)+N137*X137)*D137+M137*E137</f>
        <v>1344.08239238895</v>
      </c>
      <c r="Z137" s="0" t="n">
        <f aca="false">((1-X137)*O137+X137*P137)*D137+E137*O137</f>
        <v>66.0407881227859</v>
      </c>
      <c r="AA137" s="0" t="n">
        <f aca="false">IF(D137*X137&gt;0,AA136,Q137)</f>
        <v>6</v>
      </c>
      <c r="AB137" s="0" t="n">
        <f aca="false">(X137*D137)</f>
        <v>0</v>
      </c>
      <c r="AC137" s="0" t="n">
        <f aca="false">SUM(AB$10:AB136)/K137</f>
        <v>0</v>
      </c>
      <c r="AD137" s="0" t="n">
        <f aca="false">R137*E137+D137*(X137*S137+(1-X137)*T137)</f>
        <v>-0.0791155885398128</v>
      </c>
      <c r="AE137" s="0" t="n">
        <f aca="false">Z137</f>
        <v>66.0407881227859</v>
      </c>
      <c r="AF137" s="0" t="n">
        <f aca="false">E137*O137</f>
        <v>0</v>
      </c>
      <c r="AG137" s="0" t="n">
        <f aca="false">((1-X137)*O137+X137*P137)*D137</f>
        <v>66.0407881227859</v>
      </c>
      <c r="AH137" s="0" t="n">
        <f aca="false">D137*(LN(EXP(S137)+EXP(T137)))</f>
        <v>-0.0791155848617676</v>
      </c>
      <c r="AJ137" s="0" t="n">
        <f aca="false">$J$5</f>
        <v>10</v>
      </c>
      <c r="AK137" s="4" t="n">
        <f aca="false">AJ137+MAX(K137,AK$10:AK136)</f>
        <v>1344.08239238895</v>
      </c>
      <c r="AL137" s="5" t="n">
        <f aca="false">AK137-K137</f>
        <v>66.0407881227859</v>
      </c>
      <c r="AM137" s="0" t="n">
        <f aca="false">-G137*AL137/3600</f>
        <v>-0.169765899664425</v>
      </c>
      <c r="AN137" s="0" t="n">
        <f aca="false">-H137*AL137/3600</f>
        <v>-0.0791155885398128</v>
      </c>
      <c r="AO137" s="0" t="n">
        <f aca="false">AM137*E137+AN137*D137</f>
        <v>-0.0791155885398128</v>
      </c>
      <c r="AP137" s="0" t="n">
        <f aca="false">AL137*D137</f>
        <v>66.0407881227859</v>
      </c>
      <c r="AR137" s="0" t="n">
        <f aca="false">AN137*D137</f>
        <v>-0.0791155885398128</v>
      </c>
      <c r="AS137" s="0" t="n">
        <f aca="false">AH137-AR137</f>
        <v>3.67804517398262E-009</v>
      </c>
    </row>
    <row r="138" customFormat="false" ht="12" hidden="false" customHeight="false" outlineLevel="0" collapsed="false">
      <c r="A138" s="3" t="n">
        <f aca="false">A137+1</f>
        <v>129</v>
      </c>
      <c r="B138" s="3" t="n">
        <f aca="false">IF(A138&lt;$N$4/3,0.1,(IF(A138&gt;2*$N$4/3,0.05,0.12)))</f>
        <v>0.1</v>
      </c>
      <c r="C138" s="4" t="n">
        <f aca="true">RAND()</f>
        <v>0.671096193818508</v>
      </c>
      <c r="D138" s="0" t="n">
        <f aca="false">IF((C138&gt;$M$2),1,0)</f>
        <v>0</v>
      </c>
      <c r="E138" s="0" t="n">
        <f aca="false">1-D138</f>
        <v>1</v>
      </c>
      <c r="F138" s="0" t="n">
        <f aca="true">RAND()</f>
        <v>0.204830217995393</v>
      </c>
      <c r="G138" s="0" t="n">
        <f aca="false">7.75+F138*10</f>
        <v>9.79830217995393</v>
      </c>
      <c r="H138" s="0" t="n">
        <f aca="false">LOGINV(F138,2.64,1.139)</f>
        <v>5.47890008785073</v>
      </c>
      <c r="I138" s="0" t="n">
        <v>19.5</v>
      </c>
      <c r="J138" s="4" t="n">
        <f aca="true">-LN(RAND())/B138</f>
        <v>10.4259891588475</v>
      </c>
      <c r="K138" s="4" t="n">
        <f aca="false">K137+J138</f>
        <v>1288.46759342501</v>
      </c>
      <c r="L138" s="4" t="n">
        <f aca="false">(1/$J$4)*(1+AB137)</f>
        <v>10</v>
      </c>
      <c r="M138" s="4" t="n">
        <f aca="false">L138+MAX(K138,Y$10:Y137)</f>
        <v>1354.08239238895</v>
      </c>
      <c r="N138" s="4" t="n">
        <f aca="false">K138</f>
        <v>1288.46759342501</v>
      </c>
      <c r="O138" s="4" t="n">
        <f aca="false">M138-K138</f>
        <v>65.6147989639383</v>
      </c>
      <c r="P138" s="4" t="n">
        <f aca="false">N138-K138</f>
        <v>0</v>
      </c>
      <c r="Q138" s="4" t="n">
        <f aca="false">A138-MATCH(K138,$M$9:M137,1)</f>
        <v>6</v>
      </c>
      <c r="R138" s="0" t="n">
        <f aca="false">-G138*(O138/3600)</f>
        <v>-0.178587118812665</v>
      </c>
      <c r="S138" s="0" t="n">
        <f aca="false">-1*I138-(H138*(P138/3600))</f>
        <v>-19.5</v>
      </c>
      <c r="T138" s="0" t="n">
        <f aca="false">-H138*(O138/3600)</f>
        <v>-0.099860257724397</v>
      </c>
      <c r="U138" s="0" t="n">
        <f aca="false">T138-S138</f>
        <v>19.4001397422756</v>
      </c>
      <c r="V138" s="0" t="n">
        <f aca="false">1/(1+EXP(U138))</f>
        <v>3.75514196308537E-009</v>
      </c>
      <c r="W138" s="0" t="n">
        <f aca="true">RAND()</f>
        <v>0.909939279036655</v>
      </c>
      <c r="X138" s="0" t="n">
        <f aca="false">IF(W138&lt;V138,1,0)</f>
        <v>0</v>
      </c>
      <c r="Y138" s="0" t="n">
        <f aca="false">(M138*(1-X138)+N138*X138)*D138+M138*E138</f>
        <v>1354.08239238895</v>
      </c>
      <c r="Z138" s="0" t="n">
        <f aca="false">((1-X138)*O138+X138*P138)*D138+E138*O138</f>
        <v>65.6147989639383</v>
      </c>
      <c r="AA138" s="0" t="n">
        <f aca="false">IF(D138*X138&gt;0,AA137,Q138)</f>
        <v>6</v>
      </c>
      <c r="AB138" s="0" t="n">
        <f aca="false">(X138*D138)</f>
        <v>0</v>
      </c>
      <c r="AC138" s="0" t="n">
        <f aca="false">SUM(AB$10:AB137)/K138</f>
        <v>0</v>
      </c>
      <c r="AD138" s="0" t="n">
        <f aca="false">R138*E138+D138*(X138*S138+(1-X138)*T138)</f>
        <v>-0.178587118812665</v>
      </c>
      <c r="AE138" s="0" t="n">
        <f aca="false">Z138</f>
        <v>65.6147989639383</v>
      </c>
      <c r="AF138" s="0" t="n">
        <f aca="false">E138*O138</f>
        <v>65.6147989639383</v>
      </c>
      <c r="AG138" s="0" t="n">
        <f aca="false">((1-X138)*O138+X138*P138)*D138</f>
        <v>0</v>
      </c>
      <c r="AH138" s="0" t="n">
        <f aca="false">D138*(LN(EXP(S138)+EXP(T138)))</f>
        <v>-0</v>
      </c>
      <c r="AJ138" s="0" t="n">
        <f aca="false">$J$5</f>
        <v>10</v>
      </c>
      <c r="AK138" s="4" t="n">
        <f aca="false">AJ138+MAX(K138,AK$10:AK137)</f>
        <v>1354.08239238895</v>
      </c>
      <c r="AL138" s="5" t="n">
        <f aca="false">AK138-K138</f>
        <v>65.6147989639383</v>
      </c>
      <c r="AM138" s="0" t="n">
        <f aca="false">-G138*AL138/3600</f>
        <v>-0.178587118812665</v>
      </c>
      <c r="AN138" s="0" t="n">
        <f aca="false">-H138*AL138/3600</f>
        <v>-0.099860257724397</v>
      </c>
      <c r="AO138" s="0" t="n">
        <f aca="false">AM138*E138+AN138*D138</f>
        <v>-0.178587118812665</v>
      </c>
      <c r="AP138" s="0" t="n">
        <f aca="false">AL138*D138</f>
        <v>0</v>
      </c>
      <c r="AR138" s="0" t="n">
        <f aca="false">AN138*D138</f>
        <v>-0</v>
      </c>
      <c r="AS138" s="0" t="n">
        <f aca="false">AH138-AR138</f>
        <v>0</v>
      </c>
    </row>
    <row r="139" customFormat="false" ht="12" hidden="false" customHeight="false" outlineLevel="0" collapsed="false">
      <c r="A139" s="3" t="n">
        <f aca="false">A138+1</f>
        <v>130</v>
      </c>
      <c r="B139" s="3" t="n">
        <f aca="false">IF(A139&lt;$N$4/3,0.1,(IF(A139&gt;2*$N$4/3,0.05,0.12)))</f>
        <v>0.1</v>
      </c>
      <c r="C139" s="4" t="n">
        <f aca="true">RAND()</f>
        <v>0.389917120054517</v>
      </c>
      <c r="D139" s="0" t="n">
        <f aca="false">IF((C139&gt;$M$2),1,0)</f>
        <v>0</v>
      </c>
      <c r="E139" s="0" t="n">
        <f aca="false">1-D139</f>
        <v>1</v>
      </c>
      <c r="F139" s="0" t="n">
        <f aca="true">RAND()</f>
        <v>0.202308934523445</v>
      </c>
      <c r="G139" s="0" t="n">
        <f aca="false">7.75+F139*10</f>
        <v>9.77308934523445</v>
      </c>
      <c r="H139" s="0" t="n">
        <f aca="false">LOGINV(F139,2.64,1.139)</f>
        <v>5.42357266841383</v>
      </c>
      <c r="I139" s="0" t="n">
        <v>19.5</v>
      </c>
      <c r="J139" s="4" t="n">
        <f aca="true">-LN(RAND())/B139</f>
        <v>29.7523411156686</v>
      </c>
      <c r="K139" s="4" t="n">
        <f aca="false">K138+J139</f>
        <v>1318.21993454068</v>
      </c>
      <c r="L139" s="4" t="n">
        <f aca="false">(1/$J$4)*(1+AB138)</f>
        <v>10</v>
      </c>
      <c r="M139" s="4" t="n">
        <f aca="false">L139+MAX(K139,Y$10:Y138)</f>
        <v>1364.08239238895</v>
      </c>
      <c r="N139" s="4" t="n">
        <f aca="false">K139</f>
        <v>1318.21993454068</v>
      </c>
      <c r="O139" s="4" t="n">
        <f aca="false">M139-K139</f>
        <v>45.8624578482695</v>
      </c>
      <c r="P139" s="4" t="n">
        <f aca="false">N139-K139</f>
        <v>0</v>
      </c>
      <c r="Q139" s="4" t="n">
        <f aca="false">A139-MATCH(K139,$M$9:M138,1)</f>
        <v>4</v>
      </c>
      <c r="R139" s="0" t="n">
        <f aca="false">-G139*(O139/3600)</f>
        <v>-0.124504971706441</v>
      </c>
      <c r="S139" s="0" t="n">
        <f aca="false">-1*I139-(H139*(P139/3600))</f>
        <v>-19.5</v>
      </c>
      <c r="T139" s="0" t="n">
        <f aca="false">-H139*(O139/3600)</f>
        <v>-0.0690939924700433</v>
      </c>
      <c r="U139" s="0" t="n">
        <f aca="false">T139-S139</f>
        <v>19.43090600753</v>
      </c>
      <c r="V139" s="0" t="n">
        <f aca="false">1/(1+EXP(U139))</f>
        <v>3.64136942215413E-009</v>
      </c>
      <c r="W139" s="0" t="n">
        <f aca="true">RAND()</f>
        <v>0.656457682375658</v>
      </c>
      <c r="X139" s="0" t="n">
        <f aca="false">IF(W139&lt;V139,1,0)</f>
        <v>0</v>
      </c>
      <c r="Y139" s="0" t="n">
        <f aca="false">(M139*(1-X139)+N139*X139)*D139+M139*E139</f>
        <v>1364.08239238895</v>
      </c>
      <c r="Z139" s="0" t="n">
        <f aca="false">((1-X139)*O139+X139*P139)*D139+E139*O139</f>
        <v>45.8624578482695</v>
      </c>
      <c r="AA139" s="0" t="n">
        <f aca="false">IF(D139*X139&gt;0,AA138,Q139)</f>
        <v>4</v>
      </c>
      <c r="AB139" s="0" t="n">
        <f aca="false">(X139*D139)</f>
        <v>0</v>
      </c>
      <c r="AC139" s="0" t="n">
        <f aca="false">SUM(AB$10:AB138)/K139</f>
        <v>0</v>
      </c>
      <c r="AD139" s="0" t="n">
        <f aca="false">R139*E139+D139*(X139*S139+(1-X139)*T139)</f>
        <v>-0.124504971706441</v>
      </c>
      <c r="AE139" s="0" t="n">
        <f aca="false">Z139</f>
        <v>45.8624578482695</v>
      </c>
      <c r="AF139" s="0" t="n">
        <f aca="false">E139*O139</f>
        <v>45.8624578482695</v>
      </c>
      <c r="AG139" s="0" t="n">
        <f aca="false">((1-X139)*O139+X139*P139)*D139</f>
        <v>0</v>
      </c>
      <c r="AH139" s="0" t="n">
        <f aca="false">D139*(LN(EXP(S139)+EXP(T139)))</f>
        <v>-0</v>
      </c>
      <c r="AJ139" s="0" t="n">
        <f aca="false">$J$5</f>
        <v>10</v>
      </c>
      <c r="AK139" s="4" t="n">
        <f aca="false">AJ139+MAX(K139,AK$10:AK138)</f>
        <v>1364.08239238895</v>
      </c>
      <c r="AL139" s="5" t="n">
        <f aca="false">AK139-K139</f>
        <v>45.8624578482695</v>
      </c>
      <c r="AM139" s="0" t="n">
        <f aca="false">-G139*AL139/3600</f>
        <v>-0.124504971706441</v>
      </c>
      <c r="AN139" s="0" t="n">
        <f aca="false">-H139*AL139/3600</f>
        <v>-0.0690939924700433</v>
      </c>
      <c r="AO139" s="0" t="n">
        <f aca="false">AM139*E139+AN139*D139</f>
        <v>-0.124504971706441</v>
      </c>
      <c r="AP139" s="0" t="n">
        <f aca="false">AL139*D139</f>
        <v>0</v>
      </c>
      <c r="AR139" s="0" t="n">
        <f aca="false">AN139*D139</f>
        <v>-0</v>
      </c>
      <c r="AS139" s="0" t="n">
        <f aca="false">AH139-AR139</f>
        <v>0</v>
      </c>
    </row>
    <row r="140" customFormat="false" ht="12" hidden="false" customHeight="false" outlineLevel="0" collapsed="false">
      <c r="A140" s="3" t="n">
        <f aca="false">A139+1</f>
        <v>131</v>
      </c>
      <c r="B140" s="3" t="n">
        <f aca="false">IF(A140&lt;$N$4/3,0.1,(IF(A140&gt;2*$N$4/3,0.05,0.12)))</f>
        <v>0.1</v>
      </c>
      <c r="C140" s="4" t="n">
        <f aca="true">RAND()</f>
        <v>0.87813075441041</v>
      </c>
      <c r="D140" s="0" t="n">
        <f aca="false">IF((C140&gt;$M$2),1,0)</f>
        <v>0</v>
      </c>
      <c r="E140" s="0" t="n">
        <f aca="false">1-D140</f>
        <v>1</v>
      </c>
      <c r="F140" s="0" t="n">
        <f aca="true">RAND()</f>
        <v>0.402695883986279</v>
      </c>
      <c r="G140" s="0" t="n">
        <f aca="false">7.75+F140*10</f>
        <v>11.7769588398628</v>
      </c>
      <c r="H140" s="0" t="n">
        <f aca="false">LOGINV(F140,2.64,1.139)</f>
        <v>10.5843722463655</v>
      </c>
      <c r="I140" s="0" t="n">
        <v>19.5</v>
      </c>
      <c r="J140" s="4" t="n">
        <f aca="true">-LN(RAND())/B140</f>
        <v>8.27513135671702</v>
      </c>
      <c r="K140" s="4" t="n">
        <f aca="false">K139+J140</f>
        <v>1326.49506589739</v>
      </c>
      <c r="L140" s="4" t="n">
        <f aca="false">(1/$J$4)*(1+AB139)</f>
        <v>10</v>
      </c>
      <c r="M140" s="4" t="n">
        <f aca="false">L140+MAX(K140,Y$10:Y139)</f>
        <v>1374.08239238895</v>
      </c>
      <c r="N140" s="4" t="n">
        <f aca="false">K140</f>
        <v>1326.49506589739</v>
      </c>
      <c r="O140" s="4" t="n">
        <f aca="false">M140-K140</f>
        <v>47.5873264915524</v>
      </c>
      <c r="P140" s="4" t="n">
        <f aca="false">N140-K140</f>
        <v>0</v>
      </c>
      <c r="Q140" s="4" t="n">
        <f aca="false">A140-MATCH(K140,$M$9:M139,1)</f>
        <v>4</v>
      </c>
      <c r="R140" s="0" t="n">
        <f aca="false">-G140*(O140/3600)</f>
        <v>-0.155676107052812</v>
      </c>
      <c r="S140" s="0" t="n">
        <f aca="false">-1*I140-(H140*(P140/3600))</f>
        <v>-19.5</v>
      </c>
      <c r="T140" s="0" t="n">
        <f aca="false">-H140*(O140/3600)</f>
        <v>-0.139911660498867</v>
      </c>
      <c r="U140" s="0" t="n">
        <f aca="false">T140-S140</f>
        <v>19.3600883395011</v>
      </c>
      <c r="V140" s="0" t="n">
        <f aca="false">1/(1+EXP(U140))</f>
        <v>3.90859312056849E-009</v>
      </c>
      <c r="W140" s="0" t="n">
        <f aca="true">RAND()</f>
        <v>0.568277026879038</v>
      </c>
      <c r="X140" s="0" t="n">
        <f aca="false">IF(W140&lt;V140,1,0)</f>
        <v>0</v>
      </c>
      <c r="Y140" s="0" t="n">
        <f aca="false">(M140*(1-X140)+N140*X140)*D140+M140*E140</f>
        <v>1374.08239238895</v>
      </c>
      <c r="Z140" s="0" t="n">
        <f aca="false">((1-X140)*O140+X140*P140)*D140+E140*O140</f>
        <v>47.5873264915524</v>
      </c>
      <c r="AA140" s="0" t="n">
        <f aca="false">IF(D140*X140&gt;0,AA139,Q140)</f>
        <v>4</v>
      </c>
      <c r="AB140" s="0" t="n">
        <f aca="false">(X140*D140)</f>
        <v>0</v>
      </c>
      <c r="AC140" s="0" t="n">
        <f aca="false">SUM(AB$10:AB139)/K140</f>
        <v>0</v>
      </c>
      <c r="AD140" s="0" t="n">
        <f aca="false">R140*E140+D140*(X140*S140+(1-X140)*T140)</f>
        <v>-0.155676107052812</v>
      </c>
      <c r="AE140" s="0" t="n">
        <f aca="false">Z140</f>
        <v>47.5873264915524</v>
      </c>
      <c r="AF140" s="0" t="n">
        <f aca="false">E140*O140</f>
        <v>47.5873264915524</v>
      </c>
      <c r="AG140" s="0" t="n">
        <f aca="false">((1-X140)*O140+X140*P140)*D140</f>
        <v>0</v>
      </c>
      <c r="AH140" s="0" t="n">
        <f aca="false">D140*(LN(EXP(S140)+EXP(T140)))</f>
        <v>-0</v>
      </c>
      <c r="AJ140" s="0" t="n">
        <f aca="false">$J$5</f>
        <v>10</v>
      </c>
      <c r="AK140" s="4" t="n">
        <f aca="false">AJ140+MAX(K140,AK$10:AK139)</f>
        <v>1374.08239238895</v>
      </c>
      <c r="AL140" s="5" t="n">
        <f aca="false">AK140-K140</f>
        <v>47.5873264915524</v>
      </c>
      <c r="AM140" s="0" t="n">
        <f aca="false">-G140*AL140/3600</f>
        <v>-0.155676107052812</v>
      </c>
      <c r="AN140" s="0" t="n">
        <f aca="false">-H140*AL140/3600</f>
        <v>-0.139911660498867</v>
      </c>
      <c r="AO140" s="0" t="n">
        <f aca="false">AM140*E140+AN140*D140</f>
        <v>-0.155676107052812</v>
      </c>
      <c r="AP140" s="0" t="n">
        <f aca="false">AL140*D140</f>
        <v>0</v>
      </c>
      <c r="AR140" s="0" t="n">
        <f aca="false">AN140*D140</f>
        <v>-0</v>
      </c>
      <c r="AS140" s="0" t="n">
        <f aca="false">AH140-AR140</f>
        <v>0</v>
      </c>
    </row>
    <row r="141" customFormat="false" ht="12" hidden="false" customHeight="false" outlineLevel="0" collapsed="false">
      <c r="A141" s="3" t="n">
        <f aca="false">A140+1</f>
        <v>132</v>
      </c>
      <c r="B141" s="3" t="n">
        <f aca="false">IF(A141&lt;$N$4/3,0.1,(IF(A141&gt;2*$N$4/3,0.05,0.12)))</f>
        <v>0.1</v>
      </c>
      <c r="C141" s="4" t="n">
        <f aca="true">RAND()</f>
        <v>0.542677091936306</v>
      </c>
      <c r="D141" s="0" t="n">
        <f aca="false">IF((C141&gt;$M$2),1,0)</f>
        <v>0</v>
      </c>
      <c r="E141" s="0" t="n">
        <f aca="false">1-D141</f>
        <v>1</v>
      </c>
      <c r="F141" s="0" t="n">
        <f aca="true">RAND()</f>
        <v>0.715407520239117</v>
      </c>
      <c r="G141" s="0" t="n">
        <f aca="false">7.75+F141*10</f>
        <v>14.9040752023912</v>
      </c>
      <c r="H141" s="0" t="n">
        <f aca="false">LOGINV(F141,2.64,1.139)</f>
        <v>26.7993685199317</v>
      </c>
      <c r="I141" s="0" t="n">
        <v>19.5</v>
      </c>
      <c r="J141" s="4" t="n">
        <f aca="true">-LN(RAND())/B141</f>
        <v>26.0693131018736</v>
      </c>
      <c r="K141" s="4" t="n">
        <f aca="false">K140+J141</f>
        <v>1352.56437899927</v>
      </c>
      <c r="L141" s="4" t="n">
        <f aca="false">(1/$J$4)*(1+AB140)</f>
        <v>10</v>
      </c>
      <c r="M141" s="4" t="n">
        <f aca="false">L141+MAX(K141,Y$10:Y140)</f>
        <v>1384.08239238895</v>
      </c>
      <c r="N141" s="4" t="n">
        <f aca="false">K141</f>
        <v>1352.56437899927</v>
      </c>
      <c r="O141" s="4" t="n">
        <f aca="false">M141-K141</f>
        <v>31.5180133896788</v>
      </c>
      <c r="P141" s="4" t="n">
        <f aca="false">N141-K141</f>
        <v>0</v>
      </c>
      <c r="Q141" s="4" t="n">
        <f aca="false">A141-MATCH(K141,$M$9:M140,1)</f>
        <v>3</v>
      </c>
      <c r="R141" s="0" t="n">
        <f aca="false">-G141*(O141/3600)</f>
        <v>-0.130485233830485</v>
      </c>
      <c r="S141" s="0" t="n">
        <f aca="false">-1*I141-(H141*(P141/3600))</f>
        <v>-19.5</v>
      </c>
      <c r="T141" s="0" t="n">
        <f aca="false">-H141*(O141/3600)</f>
        <v>-0.234628571068373</v>
      </c>
      <c r="U141" s="0" t="n">
        <f aca="false">T141-S141</f>
        <v>19.2653714289316</v>
      </c>
      <c r="V141" s="0" t="n">
        <f aca="false">1/(1+EXP(U141))</f>
        <v>4.29690245458803E-009</v>
      </c>
      <c r="W141" s="0" t="n">
        <f aca="true">RAND()</f>
        <v>0.964250047031013</v>
      </c>
      <c r="X141" s="0" t="n">
        <f aca="false">IF(W141&lt;V141,1,0)</f>
        <v>0</v>
      </c>
      <c r="Y141" s="0" t="n">
        <f aca="false">(M141*(1-X141)+N141*X141)*D141+M141*E141</f>
        <v>1384.08239238895</v>
      </c>
      <c r="Z141" s="0" t="n">
        <f aca="false">((1-X141)*O141+X141*P141)*D141+E141*O141</f>
        <v>31.5180133896788</v>
      </c>
      <c r="AA141" s="0" t="n">
        <f aca="false">IF(D141*X141&gt;0,AA140,Q141)</f>
        <v>3</v>
      </c>
      <c r="AB141" s="0" t="n">
        <f aca="false">(X141*D141)</f>
        <v>0</v>
      </c>
      <c r="AC141" s="0" t="n">
        <f aca="false">SUM(AB$10:AB140)/K141</f>
        <v>0</v>
      </c>
      <c r="AD141" s="0" t="n">
        <f aca="false">R141*E141+D141*(X141*S141+(1-X141)*T141)</f>
        <v>-0.130485233830485</v>
      </c>
      <c r="AE141" s="0" t="n">
        <f aca="false">Z141</f>
        <v>31.5180133896788</v>
      </c>
      <c r="AF141" s="0" t="n">
        <f aca="false">E141*O141</f>
        <v>31.5180133896788</v>
      </c>
      <c r="AG141" s="0" t="n">
        <f aca="false">((1-X141)*O141+X141*P141)*D141</f>
        <v>0</v>
      </c>
      <c r="AH141" s="0" t="n">
        <f aca="false">D141*(LN(EXP(S141)+EXP(T141)))</f>
        <v>-0</v>
      </c>
      <c r="AJ141" s="0" t="n">
        <f aca="false">$J$5</f>
        <v>10</v>
      </c>
      <c r="AK141" s="4" t="n">
        <f aca="false">AJ141+MAX(K141,AK$10:AK140)</f>
        <v>1384.08239238895</v>
      </c>
      <c r="AL141" s="5" t="n">
        <f aca="false">AK141-K141</f>
        <v>31.5180133896788</v>
      </c>
      <c r="AM141" s="0" t="n">
        <f aca="false">-G141*AL141/3600</f>
        <v>-0.130485233830485</v>
      </c>
      <c r="AN141" s="0" t="n">
        <f aca="false">-H141*AL141/3600</f>
        <v>-0.234628571068373</v>
      </c>
      <c r="AO141" s="0" t="n">
        <f aca="false">AM141*E141+AN141*D141</f>
        <v>-0.130485233830485</v>
      </c>
      <c r="AP141" s="0" t="n">
        <f aca="false">AL141*D141</f>
        <v>0</v>
      </c>
      <c r="AR141" s="0" t="n">
        <f aca="false">AN141*D141</f>
        <v>-0</v>
      </c>
      <c r="AS141" s="0" t="n">
        <f aca="false">AH141-AR141</f>
        <v>0</v>
      </c>
    </row>
    <row r="142" customFormat="false" ht="12" hidden="false" customHeight="false" outlineLevel="0" collapsed="false">
      <c r="A142" s="3" t="n">
        <f aca="false">A141+1</f>
        <v>133</v>
      </c>
      <c r="B142" s="3" t="n">
        <f aca="false">IF(A142&lt;$N$4/3,0.1,(IF(A142&gt;2*$N$4/3,0.05,0.12)))</f>
        <v>0.1</v>
      </c>
      <c r="C142" s="4" t="n">
        <f aca="true">RAND()</f>
        <v>0.372131317964881</v>
      </c>
      <c r="D142" s="0" t="n">
        <f aca="false">IF((C142&gt;$M$2),1,0)</f>
        <v>0</v>
      </c>
      <c r="E142" s="0" t="n">
        <f aca="false">1-D142</f>
        <v>1</v>
      </c>
      <c r="F142" s="0" t="n">
        <f aca="true">RAND()</f>
        <v>0.605998345097862</v>
      </c>
      <c r="G142" s="0" t="n">
        <f aca="false">7.75+F142*10</f>
        <v>13.8099834509786</v>
      </c>
      <c r="H142" s="0" t="n">
        <f aca="false">LOGINV(F142,2.64,1.139)</f>
        <v>19.0350501503835</v>
      </c>
      <c r="I142" s="0" t="n">
        <v>19.5</v>
      </c>
      <c r="J142" s="4" t="n">
        <f aca="true">-LN(RAND())/B142</f>
        <v>29.3945118953291</v>
      </c>
      <c r="K142" s="4" t="n">
        <f aca="false">K141+J142</f>
        <v>1381.9588908946</v>
      </c>
      <c r="L142" s="4" t="n">
        <f aca="false">(1/$J$4)*(1+AB141)</f>
        <v>10</v>
      </c>
      <c r="M142" s="4" t="n">
        <f aca="false">L142+MAX(K142,Y$10:Y141)</f>
        <v>1394.08239238895</v>
      </c>
      <c r="N142" s="4" t="n">
        <f aca="false">K142</f>
        <v>1381.9588908946</v>
      </c>
      <c r="O142" s="4" t="n">
        <f aca="false">M142-K142</f>
        <v>12.1235014943497</v>
      </c>
      <c r="P142" s="4" t="n">
        <f aca="false">N142-K142</f>
        <v>0</v>
      </c>
      <c r="Q142" s="4" t="n">
        <f aca="false">A142-MATCH(K142,$M$9:M141,1)</f>
        <v>1</v>
      </c>
      <c r="R142" s="0" t="n">
        <f aca="false">-G142*(O142/3600)</f>
        <v>-0.0465070430569123</v>
      </c>
      <c r="S142" s="0" t="n">
        <f aca="false">-1*I142-(H142*(P142/3600))</f>
        <v>-19.5</v>
      </c>
      <c r="T142" s="0" t="n">
        <f aca="false">-H142*(O142/3600)</f>
        <v>-0.0641031830397769</v>
      </c>
      <c r="U142" s="0" t="n">
        <f aca="false">T142-S142</f>
        <v>19.4358968169602</v>
      </c>
      <c r="V142" s="0" t="n">
        <f aca="false">1/(1+EXP(U142))</f>
        <v>3.62324131595864E-009</v>
      </c>
      <c r="W142" s="0" t="n">
        <f aca="true">RAND()</f>
        <v>0.522165325920252</v>
      </c>
      <c r="X142" s="0" t="n">
        <f aca="false">IF(W142&lt;V142,1,0)</f>
        <v>0</v>
      </c>
      <c r="Y142" s="0" t="n">
        <f aca="false">(M142*(1-X142)+N142*X142)*D142+M142*E142</f>
        <v>1394.08239238895</v>
      </c>
      <c r="Z142" s="0" t="n">
        <f aca="false">((1-X142)*O142+X142*P142)*D142+E142*O142</f>
        <v>12.1235014943497</v>
      </c>
      <c r="AA142" s="0" t="n">
        <f aca="false">IF(D142*X142&gt;0,AA141,Q142)</f>
        <v>1</v>
      </c>
      <c r="AB142" s="0" t="n">
        <f aca="false">(X142*D142)</f>
        <v>0</v>
      </c>
      <c r="AC142" s="0" t="n">
        <f aca="false">SUM(AB$10:AB141)/K142</f>
        <v>0</v>
      </c>
      <c r="AD142" s="0" t="n">
        <f aca="false">R142*E142+D142*(X142*S142+(1-X142)*T142)</f>
        <v>-0.0465070430569123</v>
      </c>
      <c r="AE142" s="0" t="n">
        <f aca="false">Z142</f>
        <v>12.1235014943497</v>
      </c>
      <c r="AF142" s="0" t="n">
        <f aca="false">E142*O142</f>
        <v>12.1235014943497</v>
      </c>
      <c r="AG142" s="0" t="n">
        <f aca="false">((1-X142)*O142+X142*P142)*D142</f>
        <v>0</v>
      </c>
      <c r="AH142" s="0" t="n">
        <f aca="false">D142*(LN(EXP(S142)+EXP(T142)))</f>
        <v>-0</v>
      </c>
      <c r="AJ142" s="0" t="n">
        <f aca="false">$J$5</f>
        <v>10</v>
      </c>
      <c r="AK142" s="4" t="n">
        <f aca="false">AJ142+MAX(K142,AK$10:AK141)</f>
        <v>1394.08239238895</v>
      </c>
      <c r="AL142" s="5" t="n">
        <f aca="false">AK142-K142</f>
        <v>12.1235014943497</v>
      </c>
      <c r="AM142" s="0" t="n">
        <f aca="false">-G142*AL142/3600</f>
        <v>-0.0465070430569123</v>
      </c>
      <c r="AN142" s="0" t="n">
        <f aca="false">-H142*AL142/3600</f>
        <v>-0.0641031830397769</v>
      </c>
      <c r="AO142" s="0" t="n">
        <f aca="false">AM142*E142+AN142*D142</f>
        <v>-0.0465070430569123</v>
      </c>
      <c r="AP142" s="0" t="n">
        <f aca="false">AL142*D142</f>
        <v>0</v>
      </c>
      <c r="AR142" s="0" t="n">
        <f aca="false">AN142*D142</f>
        <v>-0</v>
      </c>
      <c r="AS142" s="0" t="n">
        <f aca="false">AH142-AR142</f>
        <v>0</v>
      </c>
    </row>
    <row r="143" customFormat="false" ht="12" hidden="false" customHeight="false" outlineLevel="0" collapsed="false">
      <c r="A143" s="3" t="n">
        <f aca="false">A142+1</f>
        <v>134</v>
      </c>
      <c r="B143" s="3" t="n">
        <f aca="false">IF(A143&lt;$N$4/3,0.1,(IF(A143&gt;2*$N$4/3,0.05,0.12)))</f>
        <v>0.1</v>
      </c>
      <c r="C143" s="4" t="n">
        <f aca="true">RAND()</f>
        <v>0.523336485827263</v>
      </c>
      <c r="D143" s="0" t="n">
        <f aca="false">IF((C143&gt;$M$2),1,0)</f>
        <v>0</v>
      </c>
      <c r="E143" s="0" t="n">
        <f aca="false">1-D143</f>
        <v>1</v>
      </c>
      <c r="F143" s="0" t="n">
        <f aca="true">RAND()</f>
        <v>0.0874564464186485</v>
      </c>
      <c r="G143" s="0" t="n">
        <f aca="false">7.75+F143*10</f>
        <v>8.62456446418648</v>
      </c>
      <c r="H143" s="0" t="n">
        <f aca="false">LOGINV(F143,2.64,1.139)</f>
        <v>2.98873106711115</v>
      </c>
      <c r="I143" s="0" t="n">
        <v>19.5</v>
      </c>
      <c r="J143" s="4" t="n">
        <f aca="true">-LN(RAND())/B143</f>
        <v>2.13799051574324</v>
      </c>
      <c r="K143" s="4" t="n">
        <f aca="false">K142+J143</f>
        <v>1384.09688141034</v>
      </c>
      <c r="L143" s="4" t="n">
        <f aca="false">(1/$J$4)*(1+AB142)</f>
        <v>10</v>
      </c>
      <c r="M143" s="4" t="n">
        <f aca="false">L143+MAX(K143,Y$10:Y142)</f>
        <v>1404.08239238895</v>
      </c>
      <c r="N143" s="4" t="n">
        <f aca="false">K143</f>
        <v>1384.09688141034</v>
      </c>
      <c r="O143" s="4" t="n">
        <f aca="false">M143-K143</f>
        <v>19.9855109786065</v>
      </c>
      <c r="P143" s="4" t="n">
        <f aca="false">N143-K143</f>
        <v>0</v>
      </c>
      <c r="Q143" s="4" t="n">
        <f aca="false">A143-MATCH(K143,$M$9:M142,1)</f>
        <v>1</v>
      </c>
      <c r="R143" s="0" t="n">
        <f aca="false">-G143*(O143/3600)</f>
        <v>-0.0478795354957496</v>
      </c>
      <c r="S143" s="0" t="n">
        <f aca="false">-1*I143-(H143*(P143/3600))</f>
        <v>-19.5</v>
      </c>
      <c r="T143" s="0" t="n">
        <f aca="false">-H143*(O143/3600)</f>
        <v>-0.0165920326538479</v>
      </c>
      <c r="U143" s="0" t="n">
        <f aca="false">T143-S143</f>
        <v>19.4834079673462</v>
      </c>
      <c r="V143" s="0" t="n">
        <f aca="false">1/(1+EXP(U143))</f>
        <v>3.45512234000356E-009</v>
      </c>
      <c r="W143" s="0" t="n">
        <f aca="true">RAND()</f>
        <v>0.81743905606061</v>
      </c>
      <c r="X143" s="0" t="n">
        <f aca="false">IF(W143&lt;V143,1,0)</f>
        <v>0</v>
      </c>
      <c r="Y143" s="0" t="n">
        <f aca="false">(M143*(1-X143)+N143*X143)*D143+M143*E143</f>
        <v>1404.08239238895</v>
      </c>
      <c r="Z143" s="0" t="n">
        <f aca="false">((1-X143)*O143+X143*P143)*D143+E143*O143</f>
        <v>19.9855109786065</v>
      </c>
      <c r="AA143" s="0" t="n">
        <f aca="false">IF(D143*X143&gt;0,AA142,Q143)</f>
        <v>1</v>
      </c>
      <c r="AB143" s="0" t="n">
        <f aca="false">(X143*D143)</f>
        <v>0</v>
      </c>
      <c r="AC143" s="0" t="n">
        <f aca="false">SUM(AB$10:AB142)/K143</f>
        <v>0</v>
      </c>
      <c r="AD143" s="0" t="n">
        <f aca="false">R143*E143+D143*(X143*S143+(1-X143)*T143)</f>
        <v>-0.0478795354957496</v>
      </c>
      <c r="AE143" s="0" t="n">
        <f aca="false">Z143</f>
        <v>19.9855109786065</v>
      </c>
      <c r="AF143" s="0" t="n">
        <f aca="false">E143*O143</f>
        <v>19.9855109786065</v>
      </c>
      <c r="AG143" s="0" t="n">
        <f aca="false">((1-X143)*O143+X143*P143)*D143</f>
        <v>0</v>
      </c>
      <c r="AH143" s="0" t="n">
        <f aca="false">D143*(LN(EXP(S143)+EXP(T143)))</f>
        <v>-0</v>
      </c>
      <c r="AJ143" s="0" t="n">
        <f aca="false">$J$5</f>
        <v>10</v>
      </c>
      <c r="AK143" s="4" t="n">
        <f aca="false">AJ143+MAX(K143,AK$10:AK142)</f>
        <v>1404.08239238895</v>
      </c>
      <c r="AL143" s="5" t="n">
        <f aca="false">AK143-K143</f>
        <v>19.9855109786065</v>
      </c>
      <c r="AM143" s="0" t="n">
        <f aca="false">-G143*AL143/3600</f>
        <v>-0.0478795354957496</v>
      </c>
      <c r="AN143" s="0" t="n">
        <f aca="false">-H143*AL143/3600</f>
        <v>-0.0165920326538479</v>
      </c>
      <c r="AO143" s="0" t="n">
        <f aca="false">AM143*E143+AN143*D143</f>
        <v>-0.0478795354957496</v>
      </c>
      <c r="AP143" s="0" t="n">
        <f aca="false">AL143*D143</f>
        <v>0</v>
      </c>
      <c r="AR143" s="0" t="n">
        <f aca="false">AN143*D143</f>
        <v>-0</v>
      </c>
      <c r="AS143" s="0" t="n">
        <f aca="false">AH143-AR143</f>
        <v>0</v>
      </c>
    </row>
    <row r="144" customFormat="false" ht="12" hidden="false" customHeight="false" outlineLevel="0" collapsed="false">
      <c r="A144" s="3" t="n">
        <f aca="false">A143+1</f>
        <v>135</v>
      </c>
      <c r="B144" s="3" t="n">
        <f aca="false">IF(A144&lt;$N$4/3,0.1,(IF(A144&gt;2*$N$4/3,0.05,0.12)))</f>
        <v>0.1</v>
      </c>
      <c r="C144" s="4" t="n">
        <f aca="true">RAND()</f>
        <v>0.611007823757995</v>
      </c>
      <c r="D144" s="0" t="n">
        <f aca="false">IF((C144&gt;$M$2),1,0)</f>
        <v>0</v>
      </c>
      <c r="E144" s="0" t="n">
        <f aca="false">1-D144</f>
        <v>1</v>
      </c>
      <c r="F144" s="0" t="n">
        <f aca="true">RAND()</f>
        <v>0.0455401465855462</v>
      </c>
      <c r="G144" s="0" t="n">
        <f aca="false">7.75+F144*10</f>
        <v>8.20540146585546</v>
      </c>
      <c r="H144" s="0" t="n">
        <f aca="false">LOGINV(F144,2.64,1.139)</f>
        <v>2.04500764810813</v>
      </c>
      <c r="I144" s="0" t="n">
        <v>19.5</v>
      </c>
      <c r="J144" s="4" t="n">
        <f aca="true">-LN(RAND())/B144</f>
        <v>41.943669430348</v>
      </c>
      <c r="K144" s="4" t="n">
        <f aca="false">K143+J144</f>
        <v>1426.04055084069</v>
      </c>
      <c r="L144" s="4" t="n">
        <f aca="false">(1/$J$4)*(1+AB143)</f>
        <v>10</v>
      </c>
      <c r="M144" s="4" t="n">
        <f aca="false">L144+MAX(K144,Y$10:Y143)</f>
        <v>1436.04055084069</v>
      </c>
      <c r="N144" s="4" t="n">
        <f aca="false">K144</f>
        <v>1426.04055084069</v>
      </c>
      <c r="O144" s="4" t="n">
        <f aca="false">M144-K144</f>
        <v>10</v>
      </c>
      <c r="P144" s="4" t="n">
        <f aca="false">N144-K144</f>
        <v>0</v>
      </c>
      <c r="Q144" s="4" t="n">
        <f aca="false">A144-MATCH(K144,$M$9:M143,1)</f>
        <v>0</v>
      </c>
      <c r="R144" s="0" t="n">
        <f aca="false">-G144*(O144/3600)</f>
        <v>-0.0227927818495985</v>
      </c>
      <c r="S144" s="0" t="n">
        <f aca="false">-1*I144-(H144*(P144/3600))</f>
        <v>-19.5</v>
      </c>
      <c r="T144" s="0" t="n">
        <f aca="false">-H144*(O144/3600)</f>
        <v>-0.00568057680030037</v>
      </c>
      <c r="U144" s="0" t="n">
        <f aca="false">T144-S144</f>
        <v>19.4943194231997</v>
      </c>
      <c r="V144" s="0" t="n">
        <f aca="false">1/(1+EXP(U144))</f>
        <v>3.41762686239168E-009</v>
      </c>
      <c r="W144" s="0" t="n">
        <f aca="true">RAND()</f>
        <v>0.455904247183133</v>
      </c>
      <c r="X144" s="0" t="n">
        <f aca="false">IF(W144&lt;V144,1,0)</f>
        <v>0</v>
      </c>
      <c r="Y144" s="0" t="n">
        <f aca="false">(M144*(1-X144)+N144*X144)*D144+M144*E144</f>
        <v>1436.04055084069</v>
      </c>
      <c r="Z144" s="0" t="n">
        <f aca="false">((1-X144)*O144+X144*P144)*D144+E144*O144</f>
        <v>10</v>
      </c>
      <c r="AA144" s="0" t="n">
        <f aca="false">IF(D144*X144&gt;0,AA143,Q144)</f>
        <v>0</v>
      </c>
      <c r="AB144" s="0" t="n">
        <f aca="false">(X144*D144)</f>
        <v>0</v>
      </c>
      <c r="AC144" s="0" t="n">
        <f aca="false">SUM(AB$10:AB143)/K144</f>
        <v>0</v>
      </c>
      <c r="AD144" s="0" t="n">
        <f aca="false">R144*E144+D144*(X144*S144+(1-X144)*T144)</f>
        <v>-0.0227927818495985</v>
      </c>
      <c r="AE144" s="0" t="n">
        <f aca="false">Z144</f>
        <v>10</v>
      </c>
      <c r="AF144" s="0" t="n">
        <f aca="false">E144*O144</f>
        <v>10</v>
      </c>
      <c r="AG144" s="0" t="n">
        <f aca="false">((1-X144)*O144+X144*P144)*D144</f>
        <v>0</v>
      </c>
      <c r="AH144" s="0" t="n">
        <f aca="false">D144*(LN(EXP(S144)+EXP(T144)))</f>
        <v>-0</v>
      </c>
      <c r="AJ144" s="0" t="n">
        <f aca="false">$J$5</f>
        <v>10</v>
      </c>
      <c r="AK144" s="4" t="n">
        <f aca="false">AJ144+MAX(K144,AK$10:AK143)</f>
        <v>1436.04055084069</v>
      </c>
      <c r="AL144" s="5" t="n">
        <f aca="false">AK144-K144</f>
        <v>10</v>
      </c>
      <c r="AM144" s="0" t="n">
        <f aca="false">-G144*AL144/3600</f>
        <v>-0.0227927818495985</v>
      </c>
      <c r="AN144" s="0" t="n">
        <f aca="false">-H144*AL144/3600</f>
        <v>-0.00568057680030037</v>
      </c>
      <c r="AO144" s="0" t="n">
        <f aca="false">AM144*E144+AN144*D144</f>
        <v>-0.0227927818495985</v>
      </c>
      <c r="AP144" s="0" t="n">
        <f aca="false">AL144*D144</f>
        <v>0</v>
      </c>
      <c r="AR144" s="0" t="n">
        <f aca="false">AN144*D144</f>
        <v>-0</v>
      </c>
      <c r="AS144" s="0" t="n">
        <f aca="false">AH144-AR144</f>
        <v>0</v>
      </c>
    </row>
    <row r="145" customFormat="false" ht="12" hidden="false" customHeight="false" outlineLevel="0" collapsed="false">
      <c r="A145" s="3" t="n">
        <f aca="false">A144+1</f>
        <v>136</v>
      </c>
      <c r="B145" s="3" t="n">
        <f aca="false">IF(A145&lt;$N$4/3,0.1,(IF(A145&gt;2*$N$4/3,0.05,0.12)))</f>
        <v>0.1</v>
      </c>
      <c r="C145" s="4" t="n">
        <f aca="true">RAND()</f>
        <v>0.438121823372566</v>
      </c>
      <c r="D145" s="0" t="n">
        <f aca="false">IF((C145&gt;$M$2),1,0)</f>
        <v>0</v>
      </c>
      <c r="E145" s="0" t="n">
        <f aca="false">1-D145</f>
        <v>1</v>
      </c>
      <c r="F145" s="0" t="n">
        <f aca="true">RAND()</f>
        <v>0.815558828361348</v>
      </c>
      <c r="G145" s="0" t="n">
        <f aca="false">7.75+F145*10</f>
        <v>15.9055882836135</v>
      </c>
      <c r="H145" s="0" t="n">
        <f aca="false">LOGINV(F145,2.64,1.139)</f>
        <v>38.9964239904473</v>
      </c>
      <c r="I145" s="0" t="n">
        <v>19.5</v>
      </c>
      <c r="J145" s="4" t="n">
        <f aca="true">-LN(RAND())/B145</f>
        <v>3.70626978068287</v>
      </c>
      <c r="K145" s="4" t="n">
        <f aca="false">K144+J145</f>
        <v>1429.74682062137</v>
      </c>
      <c r="L145" s="4" t="n">
        <f aca="false">(1/$J$4)*(1+AB144)</f>
        <v>10</v>
      </c>
      <c r="M145" s="4" t="n">
        <f aca="false">L145+MAX(K145,Y$10:Y144)</f>
        <v>1446.04055084069</v>
      </c>
      <c r="N145" s="4" t="n">
        <f aca="false">K145</f>
        <v>1429.74682062137</v>
      </c>
      <c r="O145" s="4" t="n">
        <f aca="false">M145-K145</f>
        <v>16.293730219317</v>
      </c>
      <c r="P145" s="4" t="n">
        <f aca="false">N145-K145</f>
        <v>0</v>
      </c>
      <c r="Q145" s="4" t="n">
        <f aca="false">A145-MATCH(K145,$M$9:M144,1)</f>
        <v>1</v>
      </c>
      <c r="R145" s="0" t="n">
        <f aca="false">-G145*(O145/3600)</f>
        <v>-0.071989267909091</v>
      </c>
      <c r="S145" s="0" t="n">
        <f aca="false">-1*I145-(H145*(P145/3600))</f>
        <v>-19.5</v>
      </c>
      <c r="T145" s="0" t="n">
        <f aca="false">-H145*(O145/3600)</f>
        <v>-0.176499225560681</v>
      </c>
      <c r="U145" s="0" t="n">
        <f aca="false">T145-S145</f>
        <v>19.3235007744393</v>
      </c>
      <c r="V145" s="0" t="n">
        <f aca="false">1/(1+EXP(U145))</f>
        <v>4.05424734380018E-009</v>
      </c>
      <c r="W145" s="0" t="n">
        <f aca="true">RAND()</f>
        <v>0.0260151060824177</v>
      </c>
      <c r="X145" s="0" t="n">
        <f aca="false">IF(W145&lt;V145,1,0)</f>
        <v>0</v>
      </c>
      <c r="Y145" s="0" t="n">
        <f aca="false">(M145*(1-X145)+N145*X145)*D145+M145*E145</f>
        <v>1446.04055084069</v>
      </c>
      <c r="Z145" s="0" t="n">
        <f aca="false">((1-X145)*O145+X145*P145)*D145+E145*O145</f>
        <v>16.293730219317</v>
      </c>
      <c r="AA145" s="0" t="n">
        <f aca="false">IF(D145*X145&gt;0,AA144,Q145)</f>
        <v>1</v>
      </c>
      <c r="AB145" s="0" t="n">
        <f aca="false">(X145*D145)</f>
        <v>0</v>
      </c>
      <c r="AC145" s="0" t="n">
        <f aca="false">SUM(AB$10:AB144)/K145</f>
        <v>0</v>
      </c>
      <c r="AD145" s="0" t="n">
        <f aca="false">R145*E145+D145*(X145*S145+(1-X145)*T145)</f>
        <v>-0.071989267909091</v>
      </c>
      <c r="AE145" s="0" t="n">
        <f aca="false">Z145</f>
        <v>16.293730219317</v>
      </c>
      <c r="AF145" s="0" t="n">
        <f aca="false">E145*O145</f>
        <v>16.293730219317</v>
      </c>
      <c r="AG145" s="0" t="n">
        <f aca="false">((1-X145)*O145+X145*P145)*D145</f>
        <v>0</v>
      </c>
      <c r="AH145" s="0" t="n">
        <f aca="false">D145*(LN(EXP(S145)+EXP(T145)))</f>
        <v>-0</v>
      </c>
      <c r="AJ145" s="0" t="n">
        <f aca="false">$J$5</f>
        <v>10</v>
      </c>
      <c r="AK145" s="4" t="n">
        <f aca="false">AJ145+MAX(K145,AK$10:AK144)</f>
        <v>1446.04055084069</v>
      </c>
      <c r="AL145" s="5" t="n">
        <f aca="false">AK145-K145</f>
        <v>16.293730219317</v>
      </c>
      <c r="AM145" s="0" t="n">
        <f aca="false">-G145*AL145/3600</f>
        <v>-0.071989267909091</v>
      </c>
      <c r="AN145" s="0" t="n">
        <f aca="false">-H145*AL145/3600</f>
        <v>-0.176499225560681</v>
      </c>
      <c r="AO145" s="0" t="n">
        <f aca="false">AM145*E145+AN145*D145</f>
        <v>-0.071989267909091</v>
      </c>
      <c r="AP145" s="0" t="n">
        <f aca="false">AL145*D145</f>
        <v>0</v>
      </c>
      <c r="AR145" s="0" t="n">
        <f aca="false">AN145*D145</f>
        <v>-0</v>
      </c>
      <c r="AS145" s="0" t="n">
        <f aca="false">AH145-AR145</f>
        <v>0</v>
      </c>
    </row>
    <row r="146" customFormat="false" ht="12" hidden="false" customHeight="false" outlineLevel="0" collapsed="false">
      <c r="A146" s="3" t="n">
        <f aca="false">A145+1</f>
        <v>137</v>
      </c>
      <c r="B146" s="3" t="n">
        <f aca="false">IF(A146&lt;$N$4/3,0.1,(IF(A146&gt;2*$N$4/3,0.05,0.12)))</f>
        <v>0.1</v>
      </c>
      <c r="C146" s="4" t="n">
        <f aca="true">RAND()</f>
        <v>0.403004986712714</v>
      </c>
      <c r="D146" s="0" t="n">
        <f aca="false">IF((C146&gt;$M$2),1,0)</f>
        <v>0</v>
      </c>
      <c r="E146" s="0" t="n">
        <f aca="false">1-D146</f>
        <v>1</v>
      </c>
      <c r="F146" s="0" t="n">
        <f aca="true">RAND()</f>
        <v>0.555938982077888</v>
      </c>
      <c r="G146" s="0" t="n">
        <f aca="false">7.75+F146*10</f>
        <v>13.3093898207789</v>
      </c>
      <c r="H146" s="0" t="n">
        <f aca="false">LOGINV(F146,2.64,1.139)</f>
        <v>16.4485206540211</v>
      </c>
      <c r="I146" s="0" t="n">
        <v>19.5</v>
      </c>
      <c r="J146" s="4" t="n">
        <f aca="true">-LN(RAND())/B146</f>
        <v>0.766791907353701</v>
      </c>
      <c r="K146" s="4" t="n">
        <f aca="false">K145+J146</f>
        <v>1430.51361252872</v>
      </c>
      <c r="L146" s="4" t="n">
        <f aca="false">(1/$J$4)*(1+AB145)</f>
        <v>10</v>
      </c>
      <c r="M146" s="4" t="n">
        <f aca="false">L146+MAX(K146,Y$10:Y145)</f>
        <v>1456.04055084069</v>
      </c>
      <c r="N146" s="4" t="n">
        <f aca="false">K146</f>
        <v>1430.51361252872</v>
      </c>
      <c r="O146" s="4" t="n">
        <f aca="false">M146-K146</f>
        <v>25.5269383119633</v>
      </c>
      <c r="P146" s="4" t="n">
        <f aca="false">N146-K146</f>
        <v>0</v>
      </c>
      <c r="Q146" s="4" t="n">
        <f aca="false">A146-MATCH(K146,$M$9:M145,1)</f>
        <v>2</v>
      </c>
      <c r="R146" s="0" t="n">
        <f aca="false">-G146*(O146/3600)</f>
        <v>-0.0943744369235817</v>
      </c>
      <c r="S146" s="0" t="n">
        <f aca="false">-1*I146-(H146*(P146/3600))</f>
        <v>-19.5</v>
      </c>
      <c r="T146" s="0" t="n">
        <f aca="false">-H146*(O146/3600)</f>
        <v>-0.116633436682847</v>
      </c>
      <c r="U146" s="0" t="n">
        <f aca="false">T146-S146</f>
        <v>19.3833665633172</v>
      </c>
      <c r="V146" s="0" t="n">
        <f aca="false">1/(1+EXP(U146))</f>
        <v>3.81865883176516E-009</v>
      </c>
      <c r="W146" s="0" t="n">
        <f aca="true">RAND()</f>
        <v>0.917336897224303</v>
      </c>
      <c r="X146" s="0" t="n">
        <f aca="false">IF(W146&lt;V146,1,0)</f>
        <v>0</v>
      </c>
      <c r="Y146" s="0" t="n">
        <f aca="false">(M146*(1-X146)+N146*X146)*D146+M146*E146</f>
        <v>1456.04055084069</v>
      </c>
      <c r="Z146" s="0" t="n">
        <f aca="false">((1-X146)*O146+X146*P146)*D146+E146*O146</f>
        <v>25.5269383119633</v>
      </c>
      <c r="AA146" s="0" t="n">
        <f aca="false">IF(D146*X146&gt;0,AA145,Q146)</f>
        <v>2</v>
      </c>
      <c r="AB146" s="0" t="n">
        <f aca="false">(X146*D146)</f>
        <v>0</v>
      </c>
      <c r="AC146" s="0" t="n">
        <f aca="false">SUM(AB$10:AB145)/K146</f>
        <v>0</v>
      </c>
      <c r="AD146" s="0" t="n">
        <f aca="false">R146*E146+D146*(X146*S146+(1-X146)*T146)</f>
        <v>-0.0943744369235817</v>
      </c>
      <c r="AE146" s="0" t="n">
        <f aca="false">Z146</f>
        <v>25.5269383119633</v>
      </c>
      <c r="AF146" s="0" t="n">
        <f aca="false">E146*O146</f>
        <v>25.5269383119633</v>
      </c>
      <c r="AG146" s="0" t="n">
        <f aca="false">((1-X146)*O146+X146*P146)*D146</f>
        <v>0</v>
      </c>
      <c r="AH146" s="0" t="n">
        <f aca="false">D146*(LN(EXP(S146)+EXP(T146)))</f>
        <v>-0</v>
      </c>
      <c r="AJ146" s="0" t="n">
        <f aca="false">$J$5</f>
        <v>10</v>
      </c>
      <c r="AK146" s="4" t="n">
        <f aca="false">AJ146+MAX(K146,AK$10:AK145)</f>
        <v>1456.04055084069</v>
      </c>
      <c r="AL146" s="5" t="n">
        <f aca="false">AK146-K146</f>
        <v>25.5269383119633</v>
      </c>
      <c r="AM146" s="0" t="n">
        <f aca="false">-G146*AL146/3600</f>
        <v>-0.0943744369235817</v>
      </c>
      <c r="AN146" s="0" t="n">
        <f aca="false">-H146*AL146/3600</f>
        <v>-0.116633436682847</v>
      </c>
      <c r="AO146" s="0" t="n">
        <f aca="false">AM146*E146+AN146*D146</f>
        <v>-0.0943744369235817</v>
      </c>
      <c r="AP146" s="0" t="n">
        <f aca="false">AL146*D146</f>
        <v>0</v>
      </c>
      <c r="AR146" s="0" t="n">
        <f aca="false">AN146*D146</f>
        <v>-0</v>
      </c>
      <c r="AS146" s="0" t="n">
        <f aca="false">AH146-AR146</f>
        <v>0</v>
      </c>
    </row>
    <row r="147" customFormat="false" ht="12" hidden="false" customHeight="false" outlineLevel="0" collapsed="false">
      <c r="A147" s="3" t="n">
        <f aca="false">A146+1</f>
        <v>138</v>
      </c>
      <c r="B147" s="3" t="n">
        <f aca="false">IF(A147&lt;$N$4/3,0.1,(IF(A147&gt;2*$N$4/3,0.05,0.12)))</f>
        <v>0.1</v>
      </c>
      <c r="C147" s="4" t="n">
        <f aca="true">RAND()</f>
        <v>0.994732294764199</v>
      </c>
      <c r="D147" s="0" t="n">
        <f aca="false">IF((C147&gt;$M$2),1,0)</f>
        <v>1</v>
      </c>
      <c r="E147" s="0" t="n">
        <f aca="false">1-D147</f>
        <v>0</v>
      </c>
      <c r="F147" s="0" t="n">
        <f aca="true">RAND()</f>
        <v>0.0919643634003946</v>
      </c>
      <c r="G147" s="0" t="n">
        <f aca="false">7.75+F147*10</f>
        <v>8.66964363400395</v>
      </c>
      <c r="H147" s="0" t="n">
        <f aca="false">LOGINV(F147,2.64,1.139)</f>
        <v>3.08498797015299</v>
      </c>
      <c r="I147" s="0" t="n">
        <v>19.5</v>
      </c>
      <c r="J147" s="4" t="n">
        <f aca="true">-LN(RAND())/B147</f>
        <v>3.12529652863193</v>
      </c>
      <c r="K147" s="4" t="n">
        <f aca="false">K146+J147</f>
        <v>1433.63890905736</v>
      </c>
      <c r="L147" s="4" t="n">
        <f aca="false">(1/$J$4)*(1+AB146)</f>
        <v>10</v>
      </c>
      <c r="M147" s="4" t="n">
        <f aca="false">L147+MAX(K147,Y$10:Y146)</f>
        <v>1466.04055084069</v>
      </c>
      <c r="N147" s="4" t="n">
        <f aca="false">K147</f>
        <v>1433.63890905736</v>
      </c>
      <c r="O147" s="4" t="n">
        <f aca="false">M147-K147</f>
        <v>32.4016417833313</v>
      </c>
      <c r="P147" s="4" t="n">
        <f aca="false">N147-K147</f>
        <v>0</v>
      </c>
      <c r="Q147" s="4" t="n">
        <f aca="false">A147-MATCH(K147,$M$9:M146,1)</f>
        <v>3</v>
      </c>
      <c r="R147" s="0" t="n">
        <f aca="false">-G147*(O147/3600)</f>
        <v>-0.0780307465050375</v>
      </c>
      <c r="S147" s="0" t="n">
        <f aca="false">-1*I147-(H147*(P147/3600))</f>
        <v>-19.5</v>
      </c>
      <c r="T147" s="0" t="n">
        <f aca="false">-H147*(O147/3600)</f>
        <v>-0.0277662986429955</v>
      </c>
      <c r="U147" s="0" t="n">
        <f aca="false">T147-S147</f>
        <v>19.472233701357</v>
      </c>
      <c r="V147" s="0" t="n">
        <f aca="false">1/(1+EXP(U147))</f>
        <v>3.49394731221753E-009</v>
      </c>
      <c r="W147" s="0" t="n">
        <f aca="true">RAND()</f>
        <v>0.171073574227074</v>
      </c>
      <c r="X147" s="0" t="n">
        <f aca="false">IF(W147&lt;V147,1,0)</f>
        <v>0</v>
      </c>
      <c r="Y147" s="0" t="n">
        <f aca="false">(M147*(1-X147)+N147*X147)*D147+M147*E147</f>
        <v>1466.04055084069</v>
      </c>
      <c r="Z147" s="0" t="n">
        <f aca="false">((1-X147)*O147+X147*P147)*D147+E147*O147</f>
        <v>32.4016417833313</v>
      </c>
      <c r="AA147" s="0" t="n">
        <f aca="false">IF(D147*X147&gt;0,AA146,Q147)</f>
        <v>3</v>
      </c>
      <c r="AB147" s="0" t="n">
        <f aca="false">(X147*D147)</f>
        <v>0</v>
      </c>
      <c r="AC147" s="0" t="n">
        <f aca="false">SUM(AB$10:AB146)/K147</f>
        <v>0</v>
      </c>
      <c r="AD147" s="0" t="n">
        <f aca="false">R147*E147+D147*(X147*S147+(1-X147)*T147)</f>
        <v>-0.0277662986429955</v>
      </c>
      <c r="AE147" s="0" t="n">
        <f aca="false">Z147</f>
        <v>32.4016417833313</v>
      </c>
      <c r="AF147" s="0" t="n">
        <f aca="false">E147*O147</f>
        <v>0</v>
      </c>
      <c r="AG147" s="0" t="n">
        <f aca="false">((1-X147)*O147+X147*P147)*D147</f>
        <v>32.4016417833313</v>
      </c>
      <c r="AH147" s="0" t="n">
        <f aca="false">D147*(LN(EXP(S147)+EXP(T147)))</f>
        <v>-0.0277662951490482</v>
      </c>
      <c r="AJ147" s="0" t="n">
        <f aca="false">$J$5</f>
        <v>10</v>
      </c>
      <c r="AK147" s="4" t="n">
        <f aca="false">AJ147+MAX(K147,AK$10:AK146)</f>
        <v>1466.04055084069</v>
      </c>
      <c r="AL147" s="5" t="n">
        <f aca="false">AK147-K147</f>
        <v>32.4016417833313</v>
      </c>
      <c r="AM147" s="0" t="n">
        <f aca="false">-G147*AL147/3600</f>
        <v>-0.0780307465050375</v>
      </c>
      <c r="AN147" s="0" t="n">
        <f aca="false">-H147*AL147/3600</f>
        <v>-0.0277662986429955</v>
      </c>
      <c r="AO147" s="0" t="n">
        <f aca="false">AM147*E147+AN147*D147</f>
        <v>-0.0277662986429955</v>
      </c>
      <c r="AP147" s="0" t="n">
        <f aca="false">AL147*D147</f>
        <v>32.4016417833313</v>
      </c>
      <c r="AR147" s="0" t="n">
        <f aca="false">AN147*D147</f>
        <v>-0.0277662986429955</v>
      </c>
      <c r="AS147" s="0" t="n">
        <f aca="false">AH147-AR147</f>
        <v>3.49394724610819E-009</v>
      </c>
    </row>
    <row r="148" customFormat="false" ht="12" hidden="false" customHeight="false" outlineLevel="0" collapsed="false">
      <c r="A148" s="3" t="n">
        <f aca="false">A147+1</f>
        <v>139</v>
      </c>
      <c r="B148" s="3" t="n">
        <f aca="false">IF(A148&lt;$N$4/3,0.1,(IF(A148&gt;2*$N$4/3,0.05,0.12)))</f>
        <v>0.1</v>
      </c>
      <c r="C148" s="4" t="n">
        <f aca="true">RAND()</f>
        <v>0.0701221660931631</v>
      </c>
      <c r="D148" s="0" t="n">
        <f aca="false">IF((C148&gt;$M$2),1,0)</f>
        <v>0</v>
      </c>
      <c r="E148" s="0" t="n">
        <f aca="false">1-D148</f>
        <v>1</v>
      </c>
      <c r="F148" s="0" t="n">
        <f aca="true">RAND()</f>
        <v>0.175143008551531</v>
      </c>
      <c r="G148" s="0" t="n">
        <f aca="false">7.75+F148*10</f>
        <v>9.50143008551531</v>
      </c>
      <c r="H148" s="0" t="n">
        <f aca="false">LOGINV(F148,2.64,1.139)</f>
        <v>4.83622534032237</v>
      </c>
      <c r="I148" s="0" t="n">
        <v>19.5</v>
      </c>
      <c r="J148" s="4" t="n">
        <f aca="true">-LN(RAND())/B148</f>
        <v>24.2038320121848</v>
      </c>
      <c r="K148" s="4" t="n">
        <f aca="false">K147+J148</f>
        <v>1457.84274106954</v>
      </c>
      <c r="L148" s="4" t="n">
        <f aca="false">(1/$J$4)*(1+AB147)</f>
        <v>10</v>
      </c>
      <c r="M148" s="4" t="n">
        <f aca="false">L148+MAX(K148,Y$10:Y147)</f>
        <v>1476.04055084069</v>
      </c>
      <c r="N148" s="4" t="n">
        <f aca="false">K148</f>
        <v>1457.84274106954</v>
      </c>
      <c r="O148" s="4" t="n">
        <f aca="false">M148-K148</f>
        <v>18.1978097711465</v>
      </c>
      <c r="P148" s="4" t="n">
        <f aca="false">N148-K148</f>
        <v>0</v>
      </c>
      <c r="Q148" s="4" t="n">
        <f aca="false">A148-MATCH(K148,$M$9:M147,1)</f>
        <v>1</v>
      </c>
      <c r="R148" s="0" t="n">
        <f aca="false">-G148*(O148/3600)</f>
        <v>-0.0480292270139043</v>
      </c>
      <c r="S148" s="0" t="n">
        <f aca="false">-1*I148-(H148*(P148/3600))</f>
        <v>-19.5</v>
      </c>
      <c r="T148" s="0" t="n">
        <f aca="false">-H148*(O148/3600)</f>
        <v>-0.0244468635426624</v>
      </c>
      <c r="U148" s="0" t="n">
        <f aca="false">T148-S148</f>
        <v>19.4755531364573</v>
      </c>
      <c r="V148" s="0" t="n">
        <f aca="false">1/(1+EXP(U148))</f>
        <v>3.4823686089199E-009</v>
      </c>
      <c r="W148" s="0" t="n">
        <f aca="true">RAND()</f>
        <v>0.932297295583983</v>
      </c>
      <c r="X148" s="0" t="n">
        <f aca="false">IF(W148&lt;V148,1,0)</f>
        <v>0</v>
      </c>
      <c r="Y148" s="0" t="n">
        <f aca="false">(M148*(1-X148)+N148*X148)*D148+M148*E148</f>
        <v>1476.04055084069</v>
      </c>
      <c r="Z148" s="0" t="n">
        <f aca="false">((1-X148)*O148+X148*P148)*D148+E148*O148</f>
        <v>18.1978097711465</v>
      </c>
      <c r="AA148" s="0" t="n">
        <f aca="false">IF(D148*X148&gt;0,AA147,Q148)</f>
        <v>1</v>
      </c>
      <c r="AB148" s="0" t="n">
        <f aca="false">(X148*D148)</f>
        <v>0</v>
      </c>
      <c r="AC148" s="0" t="n">
        <f aca="false">SUM(AB$10:AB147)/K148</f>
        <v>0</v>
      </c>
      <c r="AD148" s="0" t="n">
        <f aca="false">R148*E148+D148*(X148*S148+(1-X148)*T148)</f>
        <v>-0.0480292270139043</v>
      </c>
      <c r="AE148" s="0" t="n">
        <f aca="false">Z148</f>
        <v>18.1978097711465</v>
      </c>
      <c r="AF148" s="0" t="n">
        <f aca="false">E148*O148</f>
        <v>18.1978097711465</v>
      </c>
      <c r="AG148" s="0" t="n">
        <f aca="false">((1-X148)*O148+X148*P148)*D148</f>
        <v>0</v>
      </c>
      <c r="AH148" s="0" t="n">
        <f aca="false">D148*(LN(EXP(S148)+EXP(T148)))</f>
        <v>-0</v>
      </c>
      <c r="AJ148" s="0" t="n">
        <f aca="false">$J$5</f>
        <v>10</v>
      </c>
      <c r="AK148" s="4" t="n">
        <f aca="false">AJ148+MAX(K148,AK$10:AK147)</f>
        <v>1476.04055084069</v>
      </c>
      <c r="AL148" s="5" t="n">
        <f aca="false">AK148-K148</f>
        <v>18.1978097711465</v>
      </c>
      <c r="AM148" s="0" t="n">
        <f aca="false">-G148*AL148/3600</f>
        <v>-0.0480292270139043</v>
      </c>
      <c r="AN148" s="0" t="n">
        <f aca="false">-H148*AL148/3600</f>
        <v>-0.0244468635426624</v>
      </c>
      <c r="AO148" s="0" t="n">
        <f aca="false">AM148*E148+AN148*D148</f>
        <v>-0.0480292270139043</v>
      </c>
      <c r="AP148" s="0" t="n">
        <f aca="false">AL148*D148</f>
        <v>0</v>
      </c>
      <c r="AR148" s="0" t="n">
        <f aca="false">AN148*D148</f>
        <v>-0</v>
      </c>
      <c r="AS148" s="0" t="n">
        <f aca="false">AH148-AR148</f>
        <v>0</v>
      </c>
    </row>
    <row r="149" customFormat="false" ht="12" hidden="false" customHeight="false" outlineLevel="0" collapsed="false">
      <c r="A149" s="3" t="n">
        <f aca="false">A148+1</f>
        <v>140</v>
      </c>
      <c r="B149" s="3" t="n">
        <f aca="false">IF(A149&lt;$N$4/3,0.1,(IF(A149&gt;2*$N$4/3,0.05,0.12)))</f>
        <v>0.1</v>
      </c>
      <c r="C149" s="4" t="n">
        <f aca="true">RAND()</f>
        <v>0.190304364632422</v>
      </c>
      <c r="D149" s="0" t="n">
        <f aca="false">IF((C149&gt;$M$2),1,0)</f>
        <v>0</v>
      </c>
      <c r="E149" s="0" t="n">
        <f aca="false">1-D149</f>
        <v>1</v>
      </c>
      <c r="F149" s="0" t="n">
        <f aca="true">RAND()</f>
        <v>0.316205717821296</v>
      </c>
      <c r="G149" s="0" t="n">
        <f aca="false">7.75+F149*10</f>
        <v>10.912057178213</v>
      </c>
      <c r="H149" s="0" t="n">
        <f aca="false">LOGINV(F149,2.64,1.139)</f>
        <v>8.12687011224753</v>
      </c>
      <c r="I149" s="0" t="n">
        <v>19.5</v>
      </c>
      <c r="J149" s="4" t="n">
        <f aca="true">-LN(RAND())/B149</f>
        <v>2.52174966718104</v>
      </c>
      <c r="K149" s="4" t="n">
        <f aca="false">K148+J149</f>
        <v>1460.36449073672</v>
      </c>
      <c r="L149" s="4" t="n">
        <f aca="false">(1/$J$4)*(1+AB148)</f>
        <v>10</v>
      </c>
      <c r="M149" s="4" t="n">
        <f aca="false">L149+MAX(K149,Y$10:Y148)</f>
        <v>1486.04055084069</v>
      </c>
      <c r="N149" s="4" t="n">
        <f aca="false">K149</f>
        <v>1460.36449073672</v>
      </c>
      <c r="O149" s="4" t="n">
        <f aca="false">M149-K149</f>
        <v>25.6760601039655</v>
      </c>
      <c r="P149" s="4" t="n">
        <f aca="false">N149-K149</f>
        <v>0</v>
      </c>
      <c r="Q149" s="4" t="n">
        <f aca="false">A149-MATCH(K149,$M$9:M148,1)</f>
        <v>2</v>
      </c>
      <c r="R149" s="0" t="n">
        <f aca="false">-G149*(O149/3600)</f>
        <v>-0.0778273988793622</v>
      </c>
      <c r="S149" s="0" t="n">
        <f aca="false">-1*I149-(H149*(P149/3600))</f>
        <v>-19.5</v>
      </c>
      <c r="T149" s="0" t="n">
        <f aca="false">-H149*(O149/3600)</f>
        <v>-0.057962779294219</v>
      </c>
      <c r="U149" s="0" t="n">
        <f aca="false">T149-S149</f>
        <v>19.4420372207058</v>
      </c>
      <c r="V149" s="0" t="n">
        <f aca="false">1/(1+EXP(U149))</f>
        <v>3.60106131825222E-009</v>
      </c>
      <c r="W149" s="0" t="n">
        <f aca="true">RAND()</f>
        <v>0.193874173609366</v>
      </c>
      <c r="X149" s="0" t="n">
        <f aca="false">IF(W149&lt;V149,1,0)</f>
        <v>0</v>
      </c>
      <c r="Y149" s="0" t="n">
        <f aca="false">(M149*(1-X149)+N149*X149)*D149+M149*E149</f>
        <v>1486.04055084069</v>
      </c>
      <c r="Z149" s="0" t="n">
        <f aca="false">((1-X149)*O149+X149*P149)*D149+E149*O149</f>
        <v>25.6760601039655</v>
      </c>
      <c r="AA149" s="0" t="n">
        <f aca="false">IF(D149*X149&gt;0,AA148,Q149)</f>
        <v>2</v>
      </c>
      <c r="AB149" s="0" t="n">
        <f aca="false">(X149*D149)</f>
        <v>0</v>
      </c>
      <c r="AC149" s="0" t="n">
        <f aca="false">SUM(AB$10:AB148)/K149</f>
        <v>0</v>
      </c>
      <c r="AD149" s="0" t="n">
        <f aca="false">R149*E149+D149*(X149*S149+(1-X149)*T149)</f>
        <v>-0.0778273988793622</v>
      </c>
      <c r="AE149" s="0" t="n">
        <f aca="false">Z149</f>
        <v>25.6760601039655</v>
      </c>
      <c r="AF149" s="0" t="n">
        <f aca="false">E149*O149</f>
        <v>25.6760601039655</v>
      </c>
      <c r="AG149" s="0" t="n">
        <f aca="false">((1-X149)*O149+X149*P149)*D149</f>
        <v>0</v>
      </c>
      <c r="AH149" s="0" t="n">
        <f aca="false">D149*(LN(EXP(S149)+EXP(T149)))</f>
        <v>-0</v>
      </c>
      <c r="AJ149" s="0" t="n">
        <f aca="false">$J$5</f>
        <v>10</v>
      </c>
      <c r="AK149" s="4" t="n">
        <f aca="false">AJ149+MAX(K149,AK$10:AK148)</f>
        <v>1486.04055084069</v>
      </c>
      <c r="AL149" s="5" t="n">
        <f aca="false">AK149-K149</f>
        <v>25.6760601039655</v>
      </c>
      <c r="AM149" s="0" t="n">
        <f aca="false">-G149*AL149/3600</f>
        <v>-0.0778273988793622</v>
      </c>
      <c r="AN149" s="0" t="n">
        <f aca="false">-H149*AL149/3600</f>
        <v>-0.057962779294219</v>
      </c>
      <c r="AO149" s="0" t="n">
        <f aca="false">AM149*E149+AN149*D149</f>
        <v>-0.0778273988793622</v>
      </c>
      <c r="AP149" s="0" t="n">
        <f aca="false">AL149*D149</f>
        <v>0</v>
      </c>
      <c r="AR149" s="0" t="n">
        <f aca="false">AN149*D149</f>
        <v>-0</v>
      </c>
      <c r="AS149" s="0" t="n">
        <f aca="false">AH149-AR149</f>
        <v>0</v>
      </c>
    </row>
    <row r="150" customFormat="false" ht="12" hidden="false" customHeight="false" outlineLevel="0" collapsed="false">
      <c r="A150" s="3" t="n">
        <f aca="false">A149+1</f>
        <v>141</v>
      </c>
      <c r="B150" s="3" t="n">
        <f aca="false">IF(A150&lt;$N$4/3,0.1,(IF(A150&gt;2*$N$4/3,0.05,0.12)))</f>
        <v>0.1</v>
      </c>
      <c r="C150" s="4" t="n">
        <f aca="true">RAND()</f>
        <v>0.83272048029595</v>
      </c>
      <c r="D150" s="0" t="n">
        <f aca="false">IF((C150&gt;$M$2),1,0)</f>
        <v>0</v>
      </c>
      <c r="E150" s="0" t="n">
        <f aca="false">1-D150</f>
        <v>1</v>
      </c>
      <c r="F150" s="0" t="n">
        <f aca="true">RAND()</f>
        <v>0.632423172760927</v>
      </c>
      <c r="G150" s="0" t="n">
        <f aca="false">7.75+F150*10</f>
        <v>14.0742317276093</v>
      </c>
      <c r="H150" s="0" t="n">
        <f aca="false">LOGINV(F150,2.64,1.139)</f>
        <v>20.6001573120956</v>
      </c>
      <c r="I150" s="0" t="n">
        <v>19.5</v>
      </c>
      <c r="J150" s="4" t="n">
        <f aca="true">-LN(RAND())/B150</f>
        <v>5.67348691200562</v>
      </c>
      <c r="K150" s="4" t="n">
        <f aca="false">K149+J150</f>
        <v>1466.03797764873</v>
      </c>
      <c r="L150" s="4" t="n">
        <f aca="false">(1/$J$4)*(1+AB149)</f>
        <v>10</v>
      </c>
      <c r="M150" s="4" t="n">
        <f aca="false">L150+MAX(K150,Y$10:Y149)</f>
        <v>1496.04055084069</v>
      </c>
      <c r="N150" s="4" t="n">
        <f aca="false">K150</f>
        <v>1466.03797764873</v>
      </c>
      <c r="O150" s="4" t="n">
        <f aca="false">M150-K150</f>
        <v>30.0025731919598</v>
      </c>
      <c r="P150" s="4" t="n">
        <f aca="false">N150-K150</f>
        <v>0</v>
      </c>
      <c r="Q150" s="4" t="n">
        <f aca="false">A150-MATCH(K150,$M$9:M149,1)</f>
        <v>3</v>
      </c>
      <c r="R150" s="0" t="n">
        <f aca="false">-G150*(O150/3600)</f>
        <v>-0.117295324313389</v>
      </c>
      <c r="S150" s="0" t="n">
        <f aca="false">-1*I150-(H150*(P150/3600))</f>
        <v>-19.5</v>
      </c>
      <c r="T150" s="0" t="n">
        <f aca="false">-H150*(O150/3600)</f>
        <v>-0.171682702089454</v>
      </c>
      <c r="U150" s="0" t="n">
        <f aca="false">T150-S150</f>
        <v>19.3283172979105</v>
      </c>
      <c r="V150" s="0" t="n">
        <f aca="false">1/(1+EXP(U150))</f>
        <v>4.03476691801376E-009</v>
      </c>
      <c r="W150" s="0" t="n">
        <f aca="true">RAND()</f>
        <v>0.288742857337812</v>
      </c>
      <c r="X150" s="0" t="n">
        <f aca="false">IF(W150&lt;V150,1,0)</f>
        <v>0</v>
      </c>
      <c r="Y150" s="0" t="n">
        <f aca="false">(M150*(1-X150)+N150*X150)*D150+M150*E150</f>
        <v>1496.04055084069</v>
      </c>
      <c r="Z150" s="0" t="n">
        <f aca="false">((1-X150)*O150+X150*P150)*D150+E150*O150</f>
        <v>30.0025731919598</v>
      </c>
      <c r="AA150" s="0" t="n">
        <f aca="false">IF(D150*X150&gt;0,AA149,Q150)</f>
        <v>3</v>
      </c>
      <c r="AB150" s="0" t="n">
        <f aca="false">(X150*D150)</f>
        <v>0</v>
      </c>
      <c r="AC150" s="0" t="n">
        <f aca="false">SUM(AB$10:AB149)/K150</f>
        <v>0</v>
      </c>
      <c r="AD150" s="0" t="n">
        <f aca="false">R150*E150+D150*(X150*S150+(1-X150)*T150)</f>
        <v>-0.117295324313389</v>
      </c>
      <c r="AE150" s="0" t="n">
        <f aca="false">Z150</f>
        <v>30.0025731919598</v>
      </c>
      <c r="AF150" s="0" t="n">
        <f aca="false">E150*O150</f>
        <v>30.0025731919598</v>
      </c>
      <c r="AG150" s="0" t="n">
        <f aca="false">((1-X150)*O150+X150*P150)*D150</f>
        <v>0</v>
      </c>
      <c r="AH150" s="0" t="n">
        <f aca="false">D150*(LN(EXP(S150)+EXP(T150)))</f>
        <v>-0</v>
      </c>
      <c r="AJ150" s="0" t="n">
        <f aca="false">$J$5</f>
        <v>10</v>
      </c>
      <c r="AK150" s="4" t="n">
        <f aca="false">AJ150+MAX(K150,AK$10:AK149)</f>
        <v>1496.04055084069</v>
      </c>
      <c r="AL150" s="5" t="n">
        <f aca="false">AK150-K150</f>
        <v>30.0025731919598</v>
      </c>
      <c r="AM150" s="0" t="n">
        <f aca="false">-G150*AL150/3600</f>
        <v>-0.117295324313389</v>
      </c>
      <c r="AN150" s="0" t="n">
        <f aca="false">-H150*AL150/3600</f>
        <v>-0.171682702089454</v>
      </c>
      <c r="AO150" s="0" t="n">
        <f aca="false">AM150*E150+AN150*D150</f>
        <v>-0.117295324313389</v>
      </c>
      <c r="AP150" s="0" t="n">
        <f aca="false">AL150*D150</f>
        <v>0</v>
      </c>
      <c r="AR150" s="0" t="n">
        <f aca="false">AN150*D150</f>
        <v>-0</v>
      </c>
      <c r="AS150" s="0" t="n">
        <f aca="false">AH150-AR150</f>
        <v>0</v>
      </c>
    </row>
    <row r="151" customFormat="false" ht="12" hidden="false" customHeight="false" outlineLevel="0" collapsed="false">
      <c r="A151" s="3" t="n">
        <f aca="false">A150+1</f>
        <v>142</v>
      </c>
      <c r="B151" s="3" t="n">
        <f aca="false">IF(A151&lt;$N$4/3,0.1,(IF(A151&gt;2*$N$4/3,0.05,0.12)))</f>
        <v>0.1</v>
      </c>
      <c r="C151" s="4" t="n">
        <f aca="true">RAND()</f>
        <v>0.017336267860754</v>
      </c>
      <c r="D151" s="0" t="n">
        <f aca="false">IF((C151&gt;$M$2),1,0)</f>
        <v>0</v>
      </c>
      <c r="E151" s="0" t="n">
        <f aca="false">1-D151</f>
        <v>1</v>
      </c>
      <c r="F151" s="0" t="n">
        <f aca="true">RAND()</f>
        <v>0.311551179398356</v>
      </c>
      <c r="G151" s="0" t="n">
        <f aca="false">7.75+F151*10</f>
        <v>10.8655117939836</v>
      </c>
      <c r="H151" s="0" t="n">
        <f aca="false">LOGINV(F151,2.64,1.139)</f>
        <v>8.00630237784596</v>
      </c>
      <c r="I151" s="0" t="n">
        <v>19.5</v>
      </c>
      <c r="J151" s="4" t="n">
        <f aca="true">-LN(RAND())/B151</f>
        <v>2.73326210504022</v>
      </c>
      <c r="K151" s="4" t="n">
        <f aca="false">K150+J151</f>
        <v>1468.77123975377</v>
      </c>
      <c r="L151" s="4" t="n">
        <f aca="false">(1/$J$4)*(1+AB150)</f>
        <v>10</v>
      </c>
      <c r="M151" s="4" t="n">
        <f aca="false">L151+MAX(K151,Y$10:Y150)</f>
        <v>1506.04055084069</v>
      </c>
      <c r="N151" s="4" t="n">
        <f aca="false">K151</f>
        <v>1468.77123975377</v>
      </c>
      <c r="O151" s="4" t="n">
        <f aca="false">M151-K151</f>
        <v>37.2693110869195</v>
      </c>
      <c r="P151" s="4" t="n">
        <f aca="false">N151-K151</f>
        <v>0</v>
      </c>
      <c r="Q151" s="4" t="n">
        <f aca="false">A151-MATCH(K151,$M$9:M150,1)</f>
        <v>3</v>
      </c>
      <c r="R151" s="0" t="n">
        <f aca="false">-G151*(O151/3600)</f>
        <v>-0.112486149769046</v>
      </c>
      <c r="S151" s="0" t="n">
        <f aca="false">-1*I151-(H151*(P151/3600))</f>
        <v>-19.5</v>
      </c>
      <c r="T151" s="0" t="n">
        <f aca="false">-H151*(O151/3600)</f>
        <v>-0.0828859372155235</v>
      </c>
      <c r="U151" s="0" t="n">
        <f aca="false">T151-S151</f>
        <v>19.4171140627845</v>
      </c>
      <c r="V151" s="0" t="n">
        <f aca="false">1/(1+EXP(U151))</f>
        <v>3.69193891204349E-009</v>
      </c>
      <c r="W151" s="0" t="n">
        <f aca="true">RAND()</f>
        <v>0.688086467080601</v>
      </c>
      <c r="X151" s="0" t="n">
        <f aca="false">IF(W151&lt;V151,1,0)</f>
        <v>0</v>
      </c>
      <c r="Y151" s="0" t="n">
        <f aca="false">(M151*(1-X151)+N151*X151)*D151+M151*E151</f>
        <v>1506.04055084069</v>
      </c>
      <c r="Z151" s="0" t="n">
        <f aca="false">((1-X151)*O151+X151*P151)*D151+E151*O151</f>
        <v>37.2693110869195</v>
      </c>
      <c r="AA151" s="0" t="n">
        <f aca="false">IF(D151*X151&gt;0,AA150,Q151)</f>
        <v>3</v>
      </c>
      <c r="AB151" s="0" t="n">
        <f aca="false">(X151*D151)</f>
        <v>0</v>
      </c>
      <c r="AC151" s="0" t="n">
        <f aca="false">SUM(AB$10:AB150)/K151</f>
        <v>0</v>
      </c>
      <c r="AD151" s="0" t="n">
        <f aca="false">R151*E151+D151*(X151*S151+(1-X151)*T151)</f>
        <v>-0.112486149769046</v>
      </c>
      <c r="AE151" s="0" t="n">
        <f aca="false">Z151</f>
        <v>37.2693110869195</v>
      </c>
      <c r="AF151" s="0" t="n">
        <f aca="false">E151*O151</f>
        <v>37.2693110869195</v>
      </c>
      <c r="AG151" s="0" t="n">
        <f aca="false">((1-X151)*O151+X151*P151)*D151</f>
        <v>0</v>
      </c>
      <c r="AH151" s="0" t="n">
        <f aca="false">D151*(LN(EXP(S151)+EXP(T151)))</f>
        <v>-0</v>
      </c>
      <c r="AJ151" s="0" t="n">
        <f aca="false">$J$5</f>
        <v>10</v>
      </c>
      <c r="AK151" s="4" t="n">
        <f aca="false">AJ151+MAX(K151,AK$10:AK150)</f>
        <v>1506.04055084069</v>
      </c>
      <c r="AL151" s="5" t="n">
        <f aca="false">AK151-K151</f>
        <v>37.2693110869195</v>
      </c>
      <c r="AM151" s="0" t="n">
        <f aca="false">-G151*AL151/3600</f>
        <v>-0.112486149769046</v>
      </c>
      <c r="AN151" s="0" t="n">
        <f aca="false">-H151*AL151/3600</f>
        <v>-0.0828859372155235</v>
      </c>
      <c r="AO151" s="0" t="n">
        <f aca="false">AM151*E151+AN151*D151</f>
        <v>-0.112486149769046</v>
      </c>
      <c r="AP151" s="0" t="n">
        <f aca="false">AL151*D151</f>
        <v>0</v>
      </c>
      <c r="AR151" s="0" t="n">
        <f aca="false">AN151*D151</f>
        <v>-0</v>
      </c>
      <c r="AS151" s="0" t="n">
        <f aca="false">AH151-AR151</f>
        <v>0</v>
      </c>
    </row>
    <row r="152" customFormat="false" ht="12" hidden="false" customHeight="false" outlineLevel="0" collapsed="false">
      <c r="A152" s="3" t="n">
        <f aca="false">A151+1</f>
        <v>143</v>
      </c>
      <c r="B152" s="3" t="n">
        <f aca="false">IF(A152&lt;$N$4/3,0.1,(IF(A152&gt;2*$N$4/3,0.05,0.12)))</f>
        <v>0.1</v>
      </c>
      <c r="C152" s="4" t="n">
        <f aca="true">RAND()</f>
        <v>0.720894461840411</v>
      </c>
      <c r="D152" s="0" t="n">
        <f aca="false">IF((C152&gt;$M$2),1,0)</f>
        <v>0</v>
      </c>
      <c r="E152" s="0" t="n">
        <f aca="false">1-D152</f>
        <v>1</v>
      </c>
      <c r="F152" s="0" t="n">
        <f aca="true">RAND()</f>
        <v>0.321651545195224</v>
      </c>
      <c r="G152" s="0" t="n">
        <f aca="false">7.75+F152*10</f>
        <v>10.9665154519522</v>
      </c>
      <c r="H152" s="0" t="n">
        <f aca="false">LOGINV(F152,2.64,1.139)</f>
        <v>8.26926498044237</v>
      </c>
      <c r="I152" s="0" t="n">
        <v>19.5</v>
      </c>
      <c r="J152" s="4" t="n">
        <f aca="true">-LN(RAND())/B152</f>
        <v>6.32604939516123</v>
      </c>
      <c r="K152" s="4" t="n">
        <f aca="false">K151+J152</f>
        <v>1475.09728914893</v>
      </c>
      <c r="L152" s="4" t="n">
        <f aca="false">(1/$J$4)*(1+AB151)</f>
        <v>10</v>
      </c>
      <c r="M152" s="4" t="n">
        <f aca="false">L152+MAX(K152,Y$10:Y151)</f>
        <v>1516.04055084069</v>
      </c>
      <c r="N152" s="4" t="n">
        <f aca="false">K152</f>
        <v>1475.09728914893</v>
      </c>
      <c r="O152" s="4" t="n">
        <f aca="false">M152-K152</f>
        <v>40.9432616917584</v>
      </c>
      <c r="P152" s="4" t="n">
        <f aca="false">N152-K152</f>
        <v>0</v>
      </c>
      <c r="Q152" s="4" t="n">
        <f aca="false">A152-MATCH(K152,$M$9:M151,1)</f>
        <v>4</v>
      </c>
      <c r="R152" s="0" t="n">
        <f aca="false">-G152*(O152/3600)</f>
        <v>-0.124723586665553</v>
      </c>
      <c r="S152" s="0" t="n">
        <f aca="false">-1*I152-(H152*(P152/3600))</f>
        <v>-19.5</v>
      </c>
      <c r="T152" s="0" t="n">
        <f aca="false">-H152*(O152/3600)</f>
        <v>-0.0940474111368736</v>
      </c>
      <c r="U152" s="0" t="n">
        <f aca="false">T152-S152</f>
        <v>19.4059525888631</v>
      </c>
      <c r="V152" s="0" t="n">
        <f aca="false">1/(1+EXP(U152))</f>
        <v>3.73337721786794E-009</v>
      </c>
      <c r="W152" s="0" t="n">
        <f aca="true">RAND()</f>
        <v>0.502528624013354</v>
      </c>
      <c r="X152" s="0" t="n">
        <f aca="false">IF(W152&lt;V152,1,0)</f>
        <v>0</v>
      </c>
      <c r="Y152" s="0" t="n">
        <f aca="false">(M152*(1-X152)+N152*X152)*D152+M152*E152</f>
        <v>1516.04055084069</v>
      </c>
      <c r="Z152" s="0" t="n">
        <f aca="false">((1-X152)*O152+X152*P152)*D152+E152*O152</f>
        <v>40.9432616917584</v>
      </c>
      <c r="AA152" s="0" t="n">
        <f aca="false">IF(D152*X152&gt;0,AA151,Q152)</f>
        <v>4</v>
      </c>
      <c r="AB152" s="0" t="n">
        <f aca="false">(X152*D152)</f>
        <v>0</v>
      </c>
      <c r="AC152" s="0" t="n">
        <f aca="false">SUM(AB$10:AB151)/K152</f>
        <v>0</v>
      </c>
      <c r="AD152" s="0" t="n">
        <f aca="false">R152*E152+D152*(X152*S152+(1-X152)*T152)</f>
        <v>-0.124723586665553</v>
      </c>
      <c r="AE152" s="0" t="n">
        <f aca="false">Z152</f>
        <v>40.9432616917584</v>
      </c>
      <c r="AF152" s="0" t="n">
        <f aca="false">E152*O152</f>
        <v>40.9432616917584</v>
      </c>
      <c r="AG152" s="0" t="n">
        <f aca="false">((1-X152)*O152+X152*P152)*D152</f>
        <v>0</v>
      </c>
      <c r="AH152" s="0" t="n">
        <f aca="false">D152*(LN(EXP(S152)+EXP(T152)))</f>
        <v>-0</v>
      </c>
      <c r="AJ152" s="0" t="n">
        <f aca="false">$J$5</f>
        <v>10</v>
      </c>
      <c r="AK152" s="4" t="n">
        <f aca="false">AJ152+MAX(K152,AK$10:AK151)</f>
        <v>1516.04055084069</v>
      </c>
      <c r="AL152" s="5" t="n">
        <f aca="false">AK152-K152</f>
        <v>40.9432616917584</v>
      </c>
      <c r="AM152" s="0" t="n">
        <f aca="false">-G152*AL152/3600</f>
        <v>-0.124723586665553</v>
      </c>
      <c r="AN152" s="0" t="n">
        <f aca="false">-H152*AL152/3600</f>
        <v>-0.0940474111368736</v>
      </c>
      <c r="AO152" s="0" t="n">
        <f aca="false">AM152*E152+AN152*D152</f>
        <v>-0.124723586665553</v>
      </c>
      <c r="AP152" s="0" t="n">
        <f aca="false">AL152*D152</f>
        <v>0</v>
      </c>
      <c r="AR152" s="0" t="n">
        <f aca="false">AN152*D152</f>
        <v>-0</v>
      </c>
      <c r="AS152" s="0" t="n">
        <f aca="false">AH152-AR152</f>
        <v>0</v>
      </c>
    </row>
    <row r="153" customFormat="false" ht="12" hidden="false" customHeight="false" outlineLevel="0" collapsed="false">
      <c r="A153" s="3" t="n">
        <f aca="false">A152+1</f>
        <v>144</v>
      </c>
      <c r="B153" s="3" t="n">
        <f aca="false">IF(A153&lt;$N$4/3,0.1,(IF(A153&gt;2*$N$4/3,0.05,0.12)))</f>
        <v>0.1</v>
      </c>
      <c r="C153" s="4" t="n">
        <f aca="true">RAND()</f>
        <v>0.0530016623974575</v>
      </c>
      <c r="D153" s="0" t="n">
        <f aca="false">IF((C153&gt;$M$2),1,0)</f>
        <v>0</v>
      </c>
      <c r="E153" s="0" t="n">
        <f aca="false">1-D153</f>
        <v>1</v>
      </c>
      <c r="F153" s="0" t="n">
        <f aca="true">RAND()</f>
        <v>0.819429082400796</v>
      </c>
      <c r="G153" s="0" t="n">
        <f aca="false">7.75+F153*10</f>
        <v>15.944290824008</v>
      </c>
      <c r="H153" s="0" t="n">
        <f aca="false">LOGINV(F153,2.64,1.139)</f>
        <v>39.651354744001</v>
      </c>
      <c r="I153" s="0" t="n">
        <v>19.5</v>
      </c>
      <c r="J153" s="4" t="n">
        <f aca="true">-LN(RAND())/B153</f>
        <v>0.944503569123559</v>
      </c>
      <c r="K153" s="4" t="n">
        <f aca="false">K152+J153</f>
        <v>1476.04179271805</v>
      </c>
      <c r="L153" s="4" t="n">
        <f aca="false">(1/$J$4)*(1+AB152)</f>
        <v>10</v>
      </c>
      <c r="M153" s="4" t="n">
        <f aca="false">L153+MAX(K153,Y$10:Y152)</f>
        <v>1526.04055084069</v>
      </c>
      <c r="N153" s="4" t="n">
        <f aca="false">K153</f>
        <v>1476.04179271805</v>
      </c>
      <c r="O153" s="4" t="n">
        <f aca="false">M153-K153</f>
        <v>49.9987581226349</v>
      </c>
      <c r="P153" s="4" t="n">
        <f aca="false">N153-K153</f>
        <v>0</v>
      </c>
      <c r="Q153" s="4" t="n">
        <f aca="false">A153-MATCH(K153,$M$9:M152,1)</f>
        <v>4</v>
      </c>
      <c r="R153" s="0" t="n">
        <f aca="false">-G153*(O153/3600)</f>
        <v>-0.221442983429589</v>
      </c>
      <c r="S153" s="0" t="n">
        <f aca="false">-1*I153-(H153*(P153/3600))</f>
        <v>-19.5</v>
      </c>
      <c r="T153" s="0" t="n">
        <f aca="false">-H153*(O153/3600)</f>
        <v>-0.550699581966693</v>
      </c>
      <c r="U153" s="0" t="n">
        <f aca="false">T153-S153</f>
        <v>18.9493004180333</v>
      </c>
      <c r="V153" s="0" t="n">
        <f aca="false">1/(1+EXP(U153))</f>
        <v>5.8941799389246E-009</v>
      </c>
      <c r="W153" s="0" t="n">
        <f aca="true">RAND()</f>
        <v>0.593617056235026</v>
      </c>
      <c r="X153" s="0" t="n">
        <f aca="false">IF(W153&lt;V153,1,0)</f>
        <v>0</v>
      </c>
      <c r="Y153" s="0" t="n">
        <f aca="false">(M153*(1-X153)+N153*X153)*D153+M153*E153</f>
        <v>1526.04055084069</v>
      </c>
      <c r="Z153" s="0" t="n">
        <f aca="false">((1-X153)*O153+X153*P153)*D153+E153*O153</f>
        <v>49.9987581226349</v>
      </c>
      <c r="AA153" s="0" t="n">
        <f aca="false">IF(D153*X153&gt;0,AA152,Q153)</f>
        <v>4</v>
      </c>
      <c r="AB153" s="0" t="n">
        <f aca="false">(X153*D153)</f>
        <v>0</v>
      </c>
      <c r="AC153" s="0" t="n">
        <f aca="false">SUM(AB$10:AB152)/K153</f>
        <v>0</v>
      </c>
      <c r="AD153" s="0" t="n">
        <f aca="false">R153*E153+D153*(X153*S153+(1-X153)*T153)</f>
        <v>-0.221442983429589</v>
      </c>
      <c r="AE153" s="0" t="n">
        <f aca="false">Z153</f>
        <v>49.9987581226349</v>
      </c>
      <c r="AF153" s="0" t="n">
        <f aca="false">E153*O153</f>
        <v>49.9987581226349</v>
      </c>
      <c r="AG153" s="0" t="n">
        <f aca="false">((1-X153)*O153+X153*P153)*D153</f>
        <v>0</v>
      </c>
      <c r="AH153" s="0" t="n">
        <f aca="false">D153*(LN(EXP(S153)+EXP(T153)))</f>
        <v>-0</v>
      </c>
      <c r="AJ153" s="0" t="n">
        <f aca="false">$J$5</f>
        <v>10</v>
      </c>
      <c r="AK153" s="4" t="n">
        <f aca="false">AJ153+MAX(K153,AK$10:AK152)</f>
        <v>1526.04055084069</v>
      </c>
      <c r="AL153" s="5" t="n">
        <f aca="false">AK153-K153</f>
        <v>49.9987581226349</v>
      </c>
      <c r="AM153" s="0" t="n">
        <f aca="false">-G153*AL153/3600</f>
        <v>-0.221442983429589</v>
      </c>
      <c r="AN153" s="0" t="n">
        <f aca="false">-H153*AL153/3600</f>
        <v>-0.550699581966693</v>
      </c>
      <c r="AO153" s="0" t="n">
        <f aca="false">AM153*E153+AN153*D153</f>
        <v>-0.221442983429589</v>
      </c>
      <c r="AP153" s="0" t="n">
        <f aca="false">AL153*D153</f>
        <v>0</v>
      </c>
      <c r="AR153" s="0" t="n">
        <f aca="false">AN153*D153</f>
        <v>-0</v>
      </c>
      <c r="AS153" s="0" t="n">
        <f aca="false">AH153-AR153</f>
        <v>0</v>
      </c>
    </row>
    <row r="154" customFormat="false" ht="12" hidden="false" customHeight="false" outlineLevel="0" collapsed="false">
      <c r="A154" s="3" t="n">
        <f aca="false">A153+1</f>
        <v>145</v>
      </c>
      <c r="B154" s="3" t="n">
        <f aca="false">IF(A154&lt;$N$4/3,0.1,(IF(A154&gt;2*$N$4/3,0.05,0.12)))</f>
        <v>0.1</v>
      </c>
      <c r="C154" s="4" t="n">
        <f aca="true">RAND()</f>
        <v>0.952875445740645</v>
      </c>
      <c r="D154" s="0" t="n">
        <f aca="false">IF((C154&gt;$M$2),1,0)</f>
        <v>1</v>
      </c>
      <c r="E154" s="0" t="n">
        <f aca="false">1-D154</f>
        <v>0</v>
      </c>
      <c r="F154" s="0" t="n">
        <f aca="true">RAND()</f>
        <v>0.411134750244175</v>
      </c>
      <c r="G154" s="0" t="n">
        <f aca="false">7.75+F154*10</f>
        <v>11.8613475024417</v>
      </c>
      <c r="H154" s="0" t="n">
        <f aca="false">LOGINV(F154,2.64,1.139)</f>
        <v>10.8498353880743</v>
      </c>
      <c r="I154" s="0" t="n">
        <v>19.5</v>
      </c>
      <c r="J154" s="4" t="n">
        <f aca="true">-LN(RAND())/B154</f>
        <v>7.60965081564694</v>
      </c>
      <c r="K154" s="4" t="n">
        <f aca="false">K153+J154</f>
        <v>1483.6514435337</v>
      </c>
      <c r="L154" s="4" t="n">
        <f aca="false">(1/$J$4)*(1+AB153)</f>
        <v>10</v>
      </c>
      <c r="M154" s="4" t="n">
        <f aca="false">L154+MAX(K154,Y$10:Y153)</f>
        <v>1536.04055084069</v>
      </c>
      <c r="N154" s="4" t="n">
        <f aca="false">K154</f>
        <v>1483.6514435337</v>
      </c>
      <c r="O154" s="4" t="n">
        <f aca="false">M154-K154</f>
        <v>52.3891073069879</v>
      </c>
      <c r="P154" s="4" t="n">
        <f aca="false">N154-K154</f>
        <v>0</v>
      </c>
      <c r="Q154" s="4" t="n">
        <f aca="false">A154-MATCH(K154,$M$9:M153,1)</f>
        <v>5</v>
      </c>
      <c r="R154" s="0" t="n">
        <f aca="false">-G154*(O154/3600)</f>
        <v>-0.172612613086359</v>
      </c>
      <c r="S154" s="0" t="n">
        <f aca="false">-1*I154-(H154*(P154/3600))</f>
        <v>-19.5</v>
      </c>
      <c r="T154" s="0" t="n">
        <f aca="false">-H154*(O154/3600)</f>
        <v>-0.157892552891383</v>
      </c>
      <c r="U154" s="0" t="n">
        <f aca="false">T154-S154</f>
        <v>19.3421074471086</v>
      </c>
      <c r="V154" s="0" t="n">
        <f aca="false">1/(1+EXP(U154))</f>
        <v>3.97950876523454E-009</v>
      </c>
      <c r="W154" s="0" t="n">
        <f aca="true">RAND()</f>
        <v>0.925242452742535</v>
      </c>
      <c r="X154" s="0" t="n">
        <f aca="false">IF(W154&lt;V154,1,0)</f>
        <v>0</v>
      </c>
      <c r="Y154" s="0" t="n">
        <f aca="false">(M154*(1-X154)+N154*X154)*D154+M154*E154</f>
        <v>1536.04055084069</v>
      </c>
      <c r="Z154" s="0" t="n">
        <f aca="false">((1-X154)*O154+X154*P154)*D154+E154*O154</f>
        <v>52.3891073069879</v>
      </c>
      <c r="AA154" s="0" t="n">
        <f aca="false">IF(D154*X154&gt;0,AA153,Q154)</f>
        <v>5</v>
      </c>
      <c r="AB154" s="0" t="n">
        <f aca="false">(X154*D154)</f>
        <v>0</v>
      </c>
      <c r="AC154" s="0" t="n">
        <f aca="false">SUM(AB$10:AB153)/K154</f>
        <v>0</v>
      </c>
      <c r="AD154" s="0" t="n">
        <f aca="false">R154*E154+D154*(X154*S154+(1-X154)*T154)</f>
        <v>-0.157892552891383</v>
      </c>
      <c r="AE154" s="0" t="n">
        <f aca="false">Z154</f>
        <v>52.3891073069879</v>
      </c>
      <c r="AF154" s="0" t="n">
        <f aca="false">E154*O154</f>
        <v>0</v>
      </c>
      <c r="AG154" s="0" t="n">
        <f aca="false">((1-X154)*O154+X154*P154)*D154</f>
        <v>52.3891073069879</v>
      </c>
      <c r="AH154" s="0" t="n">
        <f aca="false">D154*(LN(EXP(S154)+EXP(T154)))</f>
        <v>-0.157892548911874</v>
      </c>
      <c r="AJ154" s="0" t="n">
        <f aca="false">$J$5</f>
        <v>10</v>
      </c>
      <c r="AK154" s="4" t="n">
        <f aca="false">AJ154+MAX(K154,AK$10:AK153)</f>
        <v>1536.04055084069</v>
      </c>
      <c r="AL154" s="5" t="n">
        <f aca="false">AK154-K154</f>
        <v>52.3891073069879</v>
      </c>
      <c r="AM154" s="0" t="n">
        <f aca="false">-G154*AL154/3600</f>
        <v>-0.172612613086359</v>
      </c>
      <c r="AN154" s="0" t="n">
        <f aca="false">-H154*AL154/3600</f>
        <v>-0.157892552891383</v>
      </c>
      <c r="AO154" s="0" t="n">
        <f aca="false">AM154*E154+AN154*D154</f>
        <v>-0.157892552891383</v>
      </c>
      <c r="AP154" s="0" t="n">
        <f aca="false">AL154*D154</f>
        <v>52.3891073069879</v>
      </c>
      <c r="AR154" s="0" t="n">
        <f aca="false">AN154*D154</f>
        <v>-0.157892552891383</v>
      </c>
      <c r="AS154" s="0" t="n">
        <f aca="false">AH154-AR154</f>
        <v>3.97950875030695E-009</v>
      </c>
    </row>
    <row r="155" customFormat="false" ht="12" hidden="false" customHeight="false" outlineLevel="0" collapsed="false">
      <c r="A155" s="3" t="n">
        <f aca="false">A154+1</f>
        <v>146</v>
      </c>
      <c r="B155" s="3" t="n">
        <f aca="false">IF(A155&lt;$N$4/3,0.1,(IF(A155&gt;2*$N$4/3,0.05,0.12)))</f>
        <v>0.1</v>
      </c>
      <c r="C155" s="4" t="n">
        <f aca="true">RAND()</f>
        <v>0.0491769059997427</v>
      </c>
      <c r="D155" s="0" t="n">
        <f aca="false">IF((C155&gt;$M$2),1,0)</f>
        <v>0</v>
      </c>
      <c r="E155" s="0" t="n">
        <f aca="false">1-D155</f>
        <v>1</v>
      </c>
      <c r="F155" s="0" t="n">
        <f aca="true">RAND()</f>
        <v>0.958204461395103</v>
      </c>
      <c r="G155" s="0" t="n">
        <f aca="false">7.75+F155*10</f>
        <v>17.332044613951</v>
      </c>
      <c r="H155" s="0" t="n">
        <f aca="false">LOGINV(F155,2.64,1.139)</f>
        <v>100.55651791903</v>
      </c>
      <c r="I155" s="0" t="n">
        <v>19.5</v>
      </c>
      <c r="J155" s="4" t="n">
        <f aca="true">-LN(RAND())/B155</f>
        <v>0.892189423789727</v>
      </c>
      <c r="K155" s="4" t="n">
        <f aca="false">K154+J155</f>
        <v>1484.54363295749</v>
      </c>
      <c r="L155" s="4" t="n">
        <f aca="false">(1/$J$4)*(1+AB154)</f>
        <v>10</v>
      </c>
      <c r="M155" s="4" t="n">
        <f aca="false">L155+MAX(K155,Y$10:Y154)</f>
        <v>1546.04055084069</v>
      </c>
      <c r="N155" s="4" t="n">
        <f aca="false">K155</f>
        <v>1484.54363295749</v>
      </c>
      <c r="O155" s="4" t="n">
        <f aca="false">M155-K155</f>
        <v>61.4969178831982</v>
      </c>
      <c r="P155" s="4" t="n">
        <f aca="false">N155-K155</f>
        <v>0</v>
      </c>
      <c r="Q155" s="4" t="n">
        <f aca="false">A155-MATCH(K155,$M$9:M154,1)</f>
        <v>6</v>
      </c>
      <c r="R155" s="0" t="n">
        <f aca="false">-G155*(O155/3600)</f>
        <v>-0.296074256770021</v>
      </c>
      <c r="S155" s="0" t="n">
        <f aca="false">-1*I155-(H155*(P155/3600))</f>
        <v>-19.5</v>
      </c>
      <c r="T155" s="0" t="n">
        <f aca="false">-H155*(O155/3600)</f>
        <v>-1.71775442363526</v>
      </c>
      <c r="U155" s="0" t="n">
        <f aca="false">T155-S155</f>
        <v>17.7822455763647</v>
      </c>
      <c r="V155" s="0" t="n">
        <f aca="false">1/(1+EXP(U155))</f>
        <v>1.8935154894477E-008</v>
      </c>
      <c r="W155" s="0" t="n">
        <f aca="true">RAND()</f>
        <v>0.250407353403089</v>
      </c>
      <c r="X155" s="0" t="n">
        <f aca="false">IF(W155&lt;V155,1,0)</f>
        <v>0</v>
      </c>
      <c r="Y155" s="0" t="n">
        <f aca="false">(M155*(1-X155)+N155*X155)*D155+M155*E155</f>
        <v>1546.04055084069</v>
      </c>
      <c r="Z155" s="0" t="n">
        <f aca="false">((1-X155)*O155+X155*P155)*D155+E155*O155</f>
        <v>61.4969178831982</v>
      </c>
      <c r="AA155" s="0" t="n">
        <f aca="false">IF(D155*X155&gt;0,AA154,Q155)</f>
        <v>6</v>
      </c>
      <c r="AB155" s="0" t="n">
        <f aca="false">(X155*D155)</f>
        <v>0</v>
      </c>
      <c r="AC155" s="0" t="n">
        <f aca="false">SUM(AB$10:AB154)/K155</f>
        <v>0</v>
      </c>
      <c r="AD155" s="0" t="n">
        <f aca="false">R155*E155+D155*(X155*S155+(1-X155)*T155)</f>
        <v>-0.296074256770021</v>
      </c>
      <c r="AE155" s="0" t="n">
        <f aca="false">Z155</f>
        <v>61.4969178831982</v>
      </c>
      <c r="AF155" s="0" t="n">
        <f aca="false">E155*O155</f>
        <v>61.4969178831982</v>
      </c>
      <c r="AG155" s="0" t="n">
        <f aca="false">((1-X155)*O155+X155*P155)*D155</f>
        <v>0</v>
      </c>
      <c r="AH155" s="0" t="n">
        <f aca="false">D155*(LN(EXP(S155)+EXP(T155)))</f>
        <v>-0</v>
      </c>
      <c r="AJ155" s="0" t="n">
        <f aca="false">$J$5</f>
        <v>10</v>
      </c>
      <c r="AK155" s="4" t="n">
        <f aca="false">AJ155+MAX(K155,AK$10:AK154)</f>
        <v>1546.04055084069</v>
      </c>
      <c r="AL155" s="5" t="n">
        <f aca="false">AK155-K155</f>
        <v>61.4969178831982</v>
      </c>
      <c r="AM155" s="0" t="n">
        <f aca="false">-G155*AL155/3600</f>
        <v>-0.296074256770021</v>
      </c>
      <c r="AN155" s="0" t="n">
        <f aca="false">-H155*AL155/3600</f>
        <v>-1.71775442363526</v>
      </c>
      <c r="AO155" s="0" t="n">
        <f aca="false">AM155*E155+AN155*D155</f>
        <v>-0.296074256770021</v>
      </c>
      <c r="AP155" s="0" t="n">
        <f aca="false">AL155*D155</f>
        <v>0</v>
      </c>
      <c r="AR155" s="0" t="n">
        <f aca="false">AN155*D155</f>
        <v>-0</v>
      </c>
      <c r="AS155" s="0" t="n">
        <f aca="false">AH155-AR155</f>
        <v>0</v>
      </c>
    </row>
    <row r="156" customFormat="false" ht="12" hidden="false" customHeight="false" outlineLevel="0" collapsed="false">
      <c r="A156" s="3" t="n">
        <f aca="false">A155+1</f>
        <v>147</v>
      </c>
      <c r="B156" s="3" t="n">
        <f aca="false">IF(A156&lt;$N$4/3,0.1,(IF(A156&gt;2*$N$4/3,0.05,0.12)))</f>
        <v>0.1</v>
      </c>
      <c r="C156" s="4" t="n">
        <f aca="true">RAND()</f>
        <v>0.94868039267816</v>
      </c>
      <c r="D156" s="0" t="n">
        <f aca="false">IF((C156&gt;$M$2),1,0)</f>
        <v>1</v>
      </c>
      <c r="E156" s="0" t="n">
        <f aca="false">1-D156</f>
        <v>0</v>
      </c>
      <c r="F156" s="0" t="n">
        <f aca="true">RAND()</f>
        <v>0.705306758995054</v>
      </c>
      <c r="G156" s="0" t="n">
        <f aca="false">7.75+F156*10</f>
        <v>14.8030675899505</v>
      </c>
      <c r="H156" s="0" t="n">
        <f aca="false">LOGINV(F156,2.64,1.139)</f>
        <v>25.9130610451571</v>
      </c>
      <c r="I156" s="0" t="n">
        <v>19.5</v>
      </c>
      <c r="J156" s="4" t="n">
        <f aca="true">-LN(RAND())/B156</f>
        <v>1.03064149373431</v>
      </c>
      <c r="K156" s="4" t="n">
        <f aca="false">K155+J156</f>
        <v>1485.57427445122</v>
      </c>
      <c r="L156" s="4" t="n">
        <f aca="false">(1/$J$4)*(1+AB155)</f>
        <v>10</v>
      </c>
      <c r="M156" s="4" t="n">
        <f aca="false">L156+MAX(K156,Y$10:Y155)</f>
        <v>1556.04055084069</v>
      </c>
      <c r="N156" s="4" t="n">
        <f aca="false">K156</f>
        <v>1485.57427445122</v>
      </c>
      <c r="O156" s="4" t="n">
        <f aca="false">M156-K156</f>
        <v>70.4662763894639</v>
      </c>
      <c r="P156" s="4" t="n">
        <f aca="false">N156-K156</f>
        <v>0</v>
      </c>
      <c r="Q156" s="4" t="n">
        <f aca="false">A156-MATCH(K156,$M$9:M155,1)</f>
        <v>7</v>
      </c>
      <c r="R156" s="0" t="n">
        <f aca="false">-G156*(O156/3600)</f>
        <v>-0.289754736723714</v>
      </c>
      <c r="S156" s="0" t="n">
        <f aca="false">-1*I156-(H156*(P156/3600))</f>
        <v>-19.5</v>
      </c>
      <c r="T156" s="0" t="n">
        <f aca="false">-H156*(O156/3600)</f>
        <v>-0.507221367140303</v>
      </c>
      <c r="U156" s="0" t="n">
        <f aca="false">T156-S156</f>
        <v>18.9927786328597</v>
      </c>
      <c r="V156" s="0" t="n">
        <f aca="false">1/(1+EXP(U156))</f>
        <v>5.64340269577986E-009</v>
      </c>
      <c r="W156" s="0" t="n">
        <f aca="true">RAND()</f>
        <v>0.754317897491181</v>
      </c>
      <c r="X156" s="0" t="n">
        <f aca="false">IF(W156&lt;V156,1,0)</f>
        <v>0</v>
      </c>
      <c r="Y156" s="0" t="n">
        <f aca="false">(M156*(1-X156)+N156*X156)*D156+M156*E156</f>
        <v>1556.04055084069</v>
      </c>
      <c r="Z156" s="0" t="n">
        <f aca="false">((1-X156)*O156+X156*P156)*D156+E156*O156</f>
        <v>70.4662763894639</v>
      </c>
      <c r="AA156" s="0" t="n">
        <f aca="false">IF(D156*X156&gt;0,AA155,Q156)</f>
        <v>7</v>
      </c>
      <c r="AB156" s="0" t="n">
        <f aca="false">(X156*D156)</f>
        <v>0</v>
      </c>
      <c r="AC156" s="0" t="n">
        <f aca="false">SUM(AB$10:AB155)/K156</f>
        <v>0</v>
      </c>
      <c r="AD156" s="0" t="n">
        <f aca="false">R156*E156+D156*(X156*S156+(1-X156)*T156)</f>
        <v>-0.507221367140303</v>
      </c>
      <c r="AE156" s="0" t="n">
        <f aca="false">Z156</f>
        <v>70.4662763894639</v>
      </c>
      <c r="AF156" s="0" t="n">
        <f aca="false">E156*O156</f>
        <v>0</v>
      </c>
      <c r="AG156" s="0" t="n">
        <f aca="false">((1-X156)*O156+X156*P156)*D156</f>
        <v>70.4662763894639</v>
      </c>
      <c r="AH156" s="0" t="n">
        <f aca="false">D156*(LN(EXP(S156)+EXP(T156)))</f>
        <v>-0.5072213614969</v>
      </c>
      <c r="AJ156" s="0" t="n">
        <f aca="false">$J$5</f>
        <v>10</v>
      </c>
      <c r="AK156" s="4" t="n">
        <f aca="false">AJ156+MAX(K156,AK$10:AK155)</f>
        <v>1556.04055084069</v>
      </c>
      <c r="AL156" s="5" t="n">
        <f aca="false">AK156-K156</f>
        <v>70.4662763894639</v>
      </c>
      <c r="AM156" s="0" t="n">
        <f aca="false">-G156*AL156/3600</f>
        <v>-0.289754736723714</v>
      </c>
      <c r="AN156" s="0" t="n">
        <f aca="false">-H156*AL156/3600</f>
        <v>-0.507221367140303</v>
      </c>
      <c r="AO156" s="0" t="n">
        <f aca="false">AM156*E156+AN156*D156</f>
        <v>-0.507221367140303</v>
      </c>
      <c r="AP156" s="0" t="n">
        <f aca="false">AL156*D156</f>
        <v>70.4662763894639</v>
      </c>
      <c r="AR156" s="0" t="n">
        <f aca="false">AN156*D156</f>
        <v>-0.507221367140303</v>
      </c>
      <c r="AS156" s="0" t="n">
        <f aca="false">AH156-AR156</f>
        <v>5.64340274511466E-009</v>
      </c>
    </row>
    <row r="157" customFormat="false" ht="12" hidden="false" customHeight="false" outlineLevel="0" collapsed="false">
      <c r="A157" s="3" t="n">
        <f aca="false">A156+1</f>
        <v>148</v>
      </c>
      <c r="B157" s="3" t="n">
        <f aca="false">IF(A157&lt;$N$4/3,0.1,(IF(A157&gt;2*$N$4/3,0.05,0.12)))</f>
        <v>0.1</v>
      </c>
      <c r="C157" s="4" t="n">
        <f aca="true">RAND()</f>
        <v>0.981784889512928</v>
      </c>
      <c r="D157" s="0" t="n">
        <f aca="false">IF((C157&gt;$M$2),1,0)</f>
        <v>1</v>
      </c>
      <c r="E157" s="0" t="n">
        <f aca="false">1-D157</f>
        <v>0</v>
      </c>
      <c r="F157" s="0" t="n">
        <f aca="true">RAND()</f>
        <v>0.269748512071745</v>
      </c>
      <c r="G157" s="0" t="n">
        <f aca="false">7.75+F157*10</f>
        <v>10.4474851207174</v>
      </c>
      <c r="H157" s="0" t="n">
        <f aca="false">LOGINV(F157,2.64,1.139)</f>
        <v>6.96668485747362</v>
      </c>
      <c r="I157" s="0" t="n">
        <v>19.5</v>
      </c>
      <c r="J157" s="4" t="n">
        <f aca="true">-LN(RAND())/B157</f>
        <v>8.85577214537915</v>
      </c>
      <c r="K157" s="4" t="n">
        <f aca="false">K156+J157</f>
        <v>1494.4300465966</v>
      </c>
      <c r="L157" s="4" t="n">
        <f aca="false">(1/$J$4)*(1+AB156)</f>
        <v>10</v>
      </c>
      <c r="M157" s="4" t="n">
        <f aca="false">L157+MAX(K157,Y$10:Y156)</f>
        <v>1566.04055084069</v>
      </c>
      <c r="N157" s="4" t="n">
        <f aca="false">K157</f>
        <v>1494.4300465966</v>
      </c>
      <c r="O157" s="4" t="n">
        <f aca="false">M157-K157</f>
        <v>71.6105042440847</v>
      </c>
      <c r="P157" s="4" t="n">
        <f aca="false">N157-K157</f>
        <v>0</v>
      </c>
      <c r="Q157" s="4" t="n">
        <f aca="false">A157-MATCH(K157,$M$9:M156,1)</f>
        <v>7</v>
      </c>
      <c r="R157" s="0" t="n">
        <f aca="false">-G157*(O157/3600)</f>
        <v>-0.207819354882541</v>
      </c>
      <c r="S157" s="0" t="n">
        <f aca="false">-1*I157-(H157*(P157/3600))</f>
        <v>-19.5</v>
      </c>
      <c r="T157" s="0" t="n">
        <f aca="false">-H157*(O157/3600)</f>
        <v>-0.13857994876481</v>
      </c>
      <c r="U157" s="0" t="n">
        <f aca="false">T157-S157</f>
        <v>19.3614200512352</v>
      </c>
      <c r="V157" s="0" t="n">
        <f aca="false">1/(1+EXP(U157))</f>
        <v>3.90339146558772E-009</v>
      </c>
      <c r="W157" s="0" t="n">
        <f aca="true">RAND()</f>
        <v>0.139129766307951</v>
      </c>
      <c r="X157" s="0" t="n">
        <f aca="false">IF(W157&lt;V157,1,0)</f>
        <v>0</v>
      </c>
      <c r="Y157" s="0" t="n">
        <f aca="false">(M157*(1-X157)+N157*X157)*D157+M157*E157</f>
        <v>1566.04055084069</v>
      </c>
      <c r="Z157" s="0" t="n">
        <f aca="false">((1-X157)*O157+X157*P157)*D157+E157*O157</f>
        <v>71.6105042440847</v>
      </c>
      <c r="AA157" s="0" t="n">
        <f aca="false">IF(D157*X157&gt;0,AA156,Q157)</f>
        <v>7</v>
      </c>
      <c r="AB157" s="0" t="n">
        <f aca="false">(X157*D157)</f>
        <v>0</v>
      </c>
      <c r="AC157" s="0" t="n">
        <f aca="false">SUM(AB$10:AB156)/K157</f>
        <v>0</v>
      </c>
      <c r="AD157" s="0" t="n">
        <f aca="false">R157*E157+D157*(X157*S157+(1-X157)*T157)</f>
        <v>-0.13857994876481</v>
      </c>
      <c r="AE157" s="0" t="n">
        <f aca="false">Z157</f>
        <v>71.6105042440847</v>
      </c>
      <c r="AF157" s="0" t="n">
        <f aca="false">E157*O157</f>
        <v>0</v>
      </c>
      <c r="AG157" s="0" t="n">
        <f aca="false">((1-X157)*O157+X157*P157)*D157</f>
        <v>71.6105042440847</v>
      </c>
      <c r="AH157" s="0" t="n">
        <f aca="false">D157*(LN(EXP(S157)+EXP(T157)))</f>
        <v>-0.138579944861418</v>
      </c>
      <c r="AJ157" s="0" t="n">
        <f aca="false">$J$5</f>
        <v>10</v>
      </c>
      <c r="AK157" s="4" t="n">
        <f aca="false">AJ157+MAX(K157,AK$10:AK156)</f>
        <v>1566.04055084069</v>
      </c>
      <c r="AL157" s="5" t="n">
        <f aca="false">AK157-K157</f>
        <v>71.6105042440847</v>
      </c>
      <c r="AM157" s="0" t="n">
        <f aca="false">-G157*AL157/3600</f>
        <v>-0.207819354882541</v>
      </c>
      <c r="AN157" s="0" t="n">
        <f aca="false">-H157*AL157/3600</f>
        <v>-0.13857994876481</v>
      </c>
      <c r="AO157" s="0" t="n">
        <f aca="false">AM157*E157+AN157*D157</f>
        <v>-0.13857994876481</v>
      </c>
      <c r="AP157" s="0" t="n">
        <f aca="false">AL157*D157</f>
        <v>71.6105042440847</v>
      </c>
      <c r="AR157" s="0" t="n">
        <f aca="false">AN157*D157</f>
        <v>-0.13857994876481</v>
      </c>
      <c r="AS157" s="0" t="n">
        <f aca="false">AH157-AR157</f>
        <v>3.90339147116059E-009</v>
      </c>
    </row>
    <row r="158" customFormat="false" ht="12" hidden="false" customHeight="false" outlineLevel="0" collapsed="false">
      <c r="A158" s="3" t="n">
        <f aca="false">A157+1</f>
        <v>149</v>
      </c>
      <c r="B158" s="3" t="n">
        <f aca="false">IF(A158&lt;$N$4/3,0.1,(IF(A158&gt;2*$N$4/3,0.05,0.12)))</f>
        <v>0.1</v>
      </c>
      <c r="C158" s="4" t="n">
        <f aca="true">RAND()</f>
        <v>0.992818065355227</v>
      </c>
      <c r="D158" s="0" t="n">
        <f aca="false">IF((C158&gt;$M$2),1,0)</f>
        <v>1</v>
      </c>
      <c r="E158" s="0" t="n">
        <f aca="false">1-D158</f>
        <v>0</v>
      </c>
      <c r="F158" s="0" t="n">
        <f aca="true">RAND()</f>
        <v>0.817897949666015</v>
      </c>
      <c r="G158" s="0" t="n">
        <f aca="false">7.75+F158*10</f>
        <v>15.9289794966601</v>
      </c>
      <c r="H158" s="0" t="n">
        <f aca="false">LOGINV(F158,2.64,1.139)</f>
        <v>39.389908659269</v>
      </c>
      <c r="I158" s="0" t="n">
        <v>19.5</v>
      </c>
      <c r="J158" s="4" t="n">
        <f aca="true">-LN(RAND())/B158</f>
        <v>1.25385155539025</v>
      </c>
      <c r="K158" s="4" t="n">
        <f aca="false">K157+J158</f>
        <v>1495.68389815199</v>
      </c>
      <c r="L158" s="4" t="n">
        <f aca="false">(1/$J$4)*(1+AB157)</f>
        <v>10</v>
      </c>
      <c r="M158" s="4" t="n">
        <f aca="false">L158+MAX(K158,Y$10:Y157)</f>
        <v>1576.04055084069</v>
      </c>
      <c r="N158" s="4" t="n">
        <f aca="false">K158</f>
        <v>1495.68389815199</v>
      </c>
      <c r="O158" s="4" t="n">
        <f aca="false">M158-K158</f>
        <v>80.3566526886946</v>
      </c>
      <c r="P158" s="4" t="n">
        <f aca="false">N158-K158</f>
        <v>0</v>
      </c>
      <c r="Q158" s="4" t="n">
        <f aca="false">A158-MATCH(K158,$M$9:M157,1)</f>
        <v>8</v>
      </c>
      <c r="R158" s="0" t="n">
        <f aca="false">-G158*(O158/3600)</f>
        <v>-0.355555409194016</v>
      </c>
      <c r="S158" s="0" t="n">
        <f aca="false">-1*I158-(H158*(P158/3600))</f>
        <v>-19.5</v>
      </c>
      <c r="T158" s="0" t="n">
        <f aca="false">-H158*(O158/3600)</f>
        <v>-0.879233669325635</v>
      </c>
      <c r="U158" s="0" t="n">
        <f aca="false">T158-S158</f>
        <v>18.6207663306744</v>
      </c>
      <c r="V158" s="0" t="n">
        <f aca="false">1/(1+EXP(U158))</f>
        <v>8.18660676893125E-009</v>
      </c>
      <c r="W158" s="0" t="n">
        <f aca="true">RAND()</f>
        <v>0.376786824079541</v>
      </c>
      <c r="X158" s="0" t="n">
        <f aca="false">IF(W158&lt;V158,1,0)</f>
        <v>0</v>
      </c>
      <c r="Y158" s="0" t="n">
        <f aca="false">(M158*(1-X158)+N158*X158)*D158+M158*E158</f>
        <v>1576.04055084069</v>
      </c>
      <c r="Z158" s="0" t="n">
        <f aca="false">((1-X158)*O158+X158*P158)*D158+E158*O158</f>
        <v>80.3566526886946</v>
      </c>
      <c r="AA158" s="0" t="n">
        <f aca="false">IF(D158*X158&gt;0,AA157,Q158)</f>
        <v>8</v>
      </c>
      <c r="AB158" s="0" t="n">
        <f aca="false">(X158*D158)</f>
        <v>0</v>
      </c>
      <c r="AC158" s="0" t="n">
        <f aca="false">SUM(AB$10:AB157)/K158</f>
        <v>0</v>
      </c>
      <c r="AD158" s="0" t="n">
        <f aca="false">R158*E158+D158*(X158*S158+(1-X158)*T158)</f>
        <v>-0.879233669325635</v>
      </c>
      <c r="AE158" s="0" t="n">
        <f aca="false">Z158</f>
        <v>80.3566526886946</v>
      </c>
      <c r="AF158" s="0" t="n">
        <f aca="false">E158*O158</f>
        <v>0</v>
      </c>
      <c r="AG158" s="0" t="n">
        <f aca="false">((1-X158)*O158+X158*P158)*D158</f>
        <v>80.3566526886946</v>
      </c>
      <c r="AH158" s="0" t="n">
        <f aca="false">D158*(LN(EXP(S158)+EXP(T158)))</f>
        <v>-0.879233661139028</v>
      </c>
      <c r="AJ158" s="0" t="n">
        <f aca="false">$J$5</f>
        <v>10</v>
      </c>
      <c r="AK158" s="4" t="n">
        <f aca="false">AJ158+MAX(K158,AK$10:AK157)</f>
        <v>1576.04055084069</v>
      </c>
      <c r="AL158" s="5" t="n">
        <f aca="false">AK158-K158</f>
        <v>80.3566526886946</v>
      </c>
      <c r="AM158" s="0" t="n">
        <f aca="false">-G158*AL158/3600</f>
        <v>-0.355555409194016</v>
      </c>
      <c r="AN158" s="0" t="n">
        <f aca="false">-H158*AL158/3600</f>
        <v>-0.879233669325635</v>
      </c>
      <c r="AO158" s="0" t="n">
        <f aca="false">AM158*E158+AN158*D158</f>
        <v>-0.879233669325635</v>
      </c>
      <c r="AP158" s="0" t="n">
        <f aca="false">AL158*D158</f>
        <v>80.3566526886946</v>
      </c>
      <c r="AR158" s="0" t="n">
        <f aca="false">AN158*D158</f>
        <v>-0.879233669325635</v>
      </c>
      <c r="AS158" s="0" t="n">
        <f aca="false">AH158-AR158</f>
        <v>8.18660683687966E-009</v>
      </c>
    </row>
    <row r="159" customFormat="false" ht="12" hidden="false" customHeight="false" outlineLevel="0" collapsed="false">
      <c r="A159" s="3" t="n">
        <f aca="false">A158+1</f>
        <v>150</v>
      </c>
      <c r="B159" s="3" t="n">
        <f aca="false">IF(A159&lt;$N$4/3,0.1,(IF(A159&gt;2*$N$4/3,0.05,0.12)))</f>
        <v>0.1</v>
      </c>
      <c r="C159" s="4" t="n">
        <f aca="true">RAND()</f>
        <v>0.896068351278225</v>
      </c>
      <c r="D159" s="0" t="n">
        <f aca="false">IF((C159&gt;$M$2),1,0)</f>
        <v>0</v>
      </c>
      <c r="E159" s="0" t="n">
        <f aca="false">1-D159</f>
        <v>1</v>
      </c>
      <c r="F159" s="0" t="n">
        <f aca="true">RAND()</f>
        <v>0.995966215215395</v>
      </c>
      <c r="G159" s="0" t="n">
        <f aca="false">7.75+F159*10</f>
        <v>17.709662152154</v>
      </c>
      <c r="H159" s="0" t="n">
        <f aca="false">LOGINV(F159,2.64,1.139)</f>
        <v>286.423530450943</v>
      </c>
      <c r="I159" s="0" t="n">
        <v>19.5</v>
      </c>
      <c r="J159" s="4" t="n">
        <f aca="true">-LN(RAND())/B159</f>
        <v>29.0202472683195</v>
      </c>
      <c r="K159" s="4" t="n">
        <f aca="false">K158+J159</f>
        <v>1524.70414542031</v>
      </c>
      <c r="L159" s="4" t="n">
        <f aca="false">(1/$J$4)*(1+AB158)</f>
        <v>10</v>
      </c>
      <c r="M159" s="4" t="n">
        <f aca="false">L159+MAX(K159,Y$10:Y158)</f>
        <v>1586.04055084069</v>
      </c>
      <c r="N159" s="4" t="n">
        <f aca="false">K159</f>
        <v>1524.70414542031</v>
      </c>
      <c r="O159" s="4" t="n">
        <f aca="false">M159-K159</f>
        <v>61.3364054203751</v>
      </c>
      <c r="P159" s="4" t="n">
        <f aca="false">N159-K159</f>
        <v>0</v>
      </c>
      <c r="Q159" s="4" t="n">
        <f aca="false">A159-MATCH(K159,$M$9:M158,1)</f>
        <v>6</v>
      </c>
      <c r="R159" s="0" t="n">
        <f aca="false">-G159*(O159/3600)</f>
        <v>-0.301735282672885</v>
      </c>
      <c r="S159" s="0" t="n">
        <f aca="false">-1*I159-(H159*(P159/3600))</f>
        <v>-19.5</v>
      </c>
      <c r="T159" s="0" t="n">
        <f aca="false">-H159*(O159/3600)</f>
        <v>-4.88005271824283</v>
      </c>
      <c r="U159" s="0" t="n">
        <f aca="false">T159-S159</f>
        <v>14.6199472817572</v>
      </c>
      <c r="V159" s="0" t="n">
        <f aca="false">1/(1+EXP(U159))</f>
        <v>4.47339631377402E-007</v>
      </c>
      <c r="W159" s="0" t="n">
        <f aca="true">RAND()</f>
        <v>0.377107906606272</v>
      </c>
      <c r="X159" s="0" t="n">
        <f aca="false">IF(W159&lt;V159,1,0)</f>
        <v>0</v>
      </c>
      <c r="Y159" s="0" t="n">
        <f aca="false">(M159*(1-X159)+N159*X159)*D159+M159*E159</f>
        <v>1586.04055084069</v>
      </c>
      <c r="Z159" s="0" t="n">
        <f aca="false">((1-X159)*O159+X159*P159)*D159+E159*O159</f>
        <v>61.3364054203751</v>
      </c>
      <c r="AA159" s="0" t="n">
        <f aca="false">IF(D159*X159&gt;0,AA158,Q159)</f>
        <v>6</v>
      </c>
      <c r="AB159" s="0" t="n">
        <f aca="false">(X159*D159)</f>
        <v>0</v>
      </c>
      <c r="AC159" s="0" t="n">
        <f aca="false">SUM(AB$10:AB158)/K159</f>
        <v>0</v>
      </c>
      <c r="AD159" s="0" t="n">
        <f aca="false">R159*E159+D159*(X159*S159+(1-X159)*T159)</f>
        <v>-0.301735282672885</v>
      </c>
      <c r="AE159" s="0" t="n">
        <f aca="false">Z159</f>
        <v>61.3364054203751</v>
      </c>
      <c r="AF159" s="0" t="n">
        <f aca="false">E159*O159</f>
        <v>61.3364054203751</v>
      </c>
      <c r="AG159" s="0" t="n">
        <f aca="false">((1-X159)*O159+X159*P159)*D159</f>
        <v>0</v>
      </c>
      <c r="AH159" s="0" t="n">
        <f aca="false">D159*(LN(EXP(S159)+EXP(T159)))</f>
        <v>-0</v>
      </c>
      <c r="AJ159" s="0" t="n">
        <f aca="false">$J$5</f>
        <v>10</v>
      </c>
      <c r="AK159" s="4" t="n">
        <f aca="false">AJ159+MAX(K159,AK$10:AK158)</f>
        <v>1586.04055084069</v>
      </c>
      <c r="AL159" s="5" t="n">
        <f aca="false">AK159-K159</f>
        <v>61.3364054203751</v>
      </c>
      <c r="AM159" s="0" t="n">
        <f aca="false">-G159*AL159/3600</f>
        <v>-0.301735282672885</v>
      </c>
      <c r="AN159" s="0" t="n">
        <f aca="false">-H159*AL159/3600</f>
        <v>-4.88005271824283</v>
      </c>
      <c r="AO159" s="0" t="n">
        <f aca="false">AM159*E159+AN159*D159</f>
        <v>-0.301735282672885</v>
      </c>
      <c r="AP159" s="0" t="n">
        <f aca="false">AL159*D159</f>
        <v>0</v>
      </c>
      <c r="AR159" s="0" t="n">
        <f aca="false">AN159*D159</f>
        <v>-0</v>
      </c>
      <c r="AS159" s="0" t="n">
        <f aca="false">AH159-AR159</f>
        <v>0</v>
      </c>
    </row>
    <row r="160" customFormat="false" ht="12" hidden="false" customHeight="false" outlineLevel="0" collapsed="false">
      <c r="A160" s="3" t="n">
        <f aca="false">A159+1</f>
        <v>151</v>
      </c>
      <c r="B160" s="3" t="n">
        <f aca="false">IF(A160&lt;$N$4/3,0.1,(IF(A160&gt;2*$N$4/3,0.05,0.12)))</f>
        <v>0.1</v>
      </c>
      <c r="C160" s="4" t="n">
        <f aca="true">RAND()</f>
        <v>0.392927898769734</v>
      </c>
      <c r="D160" s="0" t="n">
        <f aca="false">IF((C160&gt;$M$2),1,0)</f>
        <v>0</v>
      </c>
      <c r="E160" s="0" t="n">
        <f aca="false">1-D160</f>
        <v>1</v>
      </c>
      <c r="F160" s="0" t="n">
        <f aca="true">RAND()</f>
        <v>0.372517285885321</v>
      </c>
      <c r="G160" s="0" t="n">
        <f aca="false">7.75+F160*10</f>
        <v>11.4751728588532</v>
      </c>
      <c r="H160" s="0" t="n">
        <f aca="false">LOGINV(F160,2.64,1.139)</f>
        <v>9.67557355314309</v>
      </c>
      <c r="I160" s="0" t="n">
        <v>19.5</v>
      </c>
      <c r="J160" s="4" t="n">
        <f aca="true">-LN(RAND())/B160</f>
        <v>3.10187465910562</v>
      </c>
      <c r="K160" s="4" t="n">
        <f aca="false">K159+J160</f>
        <v>1527.80602007942</v>
      </c>
      <c r="L160" s="4" t="n">
        <f aca="false">(1/$J$4)*(1+AB159)</f>
        <v>10</v>
      </c>
      <c r="M160" s="4" t="n">
        <f aca="false">L160+MAX(K160,Y$10:Y159)</f>
        <v>1596.04055084069</v>
      </c>
      <c r="N160" s="4" t="n">
        <f aca="false">K160</f>
        <v>1527.80602007942</v>
      </c>
      <c r="O160" s="4" t="n">
        <f aca="false">M160-K160</f>
        <v>68.2345307612695</v>
      </c>
      <c r="P160" s="4" t="n">
        <f aca="false">N160-K160</f>
        <v>0</v>
      </c>
      <c r="Q160" s="4" t="n">
        <f aca="false">A160-MATCH(K160,$M$9:M159,1)</f>
        <v>6</v>
      </c>
      <c r="R160" s="0" t="n">
        <f aca="false">-G160*(O160/3600)</f>
        <v>-0.217500843174529</v>
      </c>
      <c r="S160" s="0" t="n">
        <f aca="false">-1*I160-(H160*(P160/3600))</f>
        <v>-19.5</v>
      </c>
      <c r="T160" s="0" t="n">
        <f aca="false">-H160*(O160/3600)</f>
        <v>-0.183391172568019</v>
      </c>
      <c r="U160" s="0" t="n">
        <f aca="false">T160-S160</f>
        <v>19.316608827432</v>
      </c>
      <c r="V160" s="0" t="n">
        <f aca="false">1/(1+EXP(U160))</f>
        <v>4.08228550932791E-009</v>
      </c>
      <c r="W160" s="0" t="n">
        <f aca="true">RAND()</f>
        <v>0.87410983459652</v>
      </c>
      <c r="X160" s="0" t="n">
        <f aca="false">IF(W160&lt;V160,1,0)</f>
        <v>0</v>
      </c>
      <c r="Y160" s="0" t="n">
        <f aca="false">(M160*(1-X160)+N160*X160)*D160+M160*E160</f>
        <v>1596.04055084069</v>
      </c>
      <c r="Z160" s="0" t="n">
        <f aca="false">((1-X160)*O160+X160*P160)*D160+E160*O160</f>
        <v>68.2345307612695</v>
      </c>
      <c r="AA160" s="0" t="n">
        <f aca="false">IF(D160*X160&gt;0,AA159,Q160)</f>
        <v>6</v>
      </c>
      <c r="AB160" s="0" t="n">
        <f aca="false">(X160*D160)</f>
        <v>0</v>
      </c>
      <c r="AC160" s="0" t="n">
        <f aca="false">SUM(AB$10:AB159)/K160</f>
        <v>0</v>
      </c>
      <c r="AD160" s="0" t="n">
        <f aca="false">R160*E160+D160*(X160*S160+(1-X160)*T160)</f>
        <v>-0.217500843174529</v>
      </c>
      <c r="AE160" s="0" t="n">
        <f aca="false">Z160</f>
        <v>68.2345307612695</v>
      </c>
      <c r="AF160" s="0" t="n">
        <f aca="false">E160*O160</f>
        <v>68.2345307612695</v>
      </c>
      <c r="AG160" s="0" t="n">
        <f aca="false">((1-X160)*O160+X160*P160)*D160</f>
        <v>0</v>
      </c>
      <c r="AH160" s="0" t="n">
        <f aca="false">D160*(LN(EXP(S160)+EXP(T160)))</f>
        <v>-0</v>
      </c>
      <c r="AJ160" s="0" t="n">
        <f aca="false">$J$5</f>
        <v>10</v>
      </c>
      <c r="AK160" s="4" t="n">
        <f aca="false">AJ160+MAX(K160,AK$10:AK159)</f>
        <v>1596.04055084069</v>
      </c>
      <c r="AL160" s="5" t="n">
        <f aca="false">AK160-K160</f>
        <v>68.2345307612695</v>
      </c>
      <c r="AM160" s="0" t="n">
        <f aca="false">-G160*AL160/3600</f>
        <v>-0.217500843174529</v>
      </c>
      <c r="AN160" s="0" t="n">
        <f aca="false">-H160*AL160/3600</f>
        <v>-0.183391172568019</v>
      </c>
      <c r="AO160" s="0" t="n">
        <f aca="false">AM160*E160+AN160*D160</f>
        <v>-0.217500843174529</v>
      </c>
      <c r="AP160" s="0" t="n">
        <f aca="false">AL160*D160</f>
        <v>0</v>
      </c>
      <c r="AR160" s="0" t="n">
        <f aca="false">AN160*D160</f>
        <v>-0</v>
      </c>
      <c r="AS160" s="0" t="n">
        <f aca="false">AH160-AR160</f>
        <v>0</v>
      </c>
    </row>
    <row r="161" customFormat="false" ht="12" hidden="false" customHeight="false" outlineLevel="0" collapsed="false">
      <c r="A161" s="3" t="n">
        <f aca="false">A160+1</f>
        <v>152</v>
      </c>
      <c r="B161" s="3" t="n">
        <f aca="false">IF(A161&lt;$N$4/3,0.1,(IF(A161&gt;2*$N$4/3,0.05,0.12)))</f>
        <v>0.1</v>
      </c>
      <c r="C161" s="4" t="n">
        <f aca="true">RAND()</f>
        <v>0.512605033944966</v>
      </c>
      <c r="D161" s="0" t="n">
        <f aca="false">IF((C161&gt;$M$2),1,0)</f>
        <v>0</v>
      </c>
      <c r="E161" s="0" t="n">
        <f aca="false">1-D161</f>
        <v>1</v>
      </c>
      <c r="F161" s="0" t="n">
        <f aca="true">RAND()</f>
        <v>0.179274661469631</v>
      </c>
      <c r="G161" s="0" t="n">
        <f aca="false">7.75+F161*10</f>
        <v>9.54274661469631</v>
      </c>
      <c r="H161" s="0" t="n">
        <f aca="false">LOGINV(F161,2.64,1.139)</f>
        <v>4.92461792662716</v>
      </c>
      <c r="I161" s="0" t="n">
        <v>19.5</v>
      </c>
      <c r="J161" s="4" t="n">
        <f aca="true">-LN(RAND())/B161</f>
        <v>36.9004450999023</v>
      </c>
      <c r="K161" s="4" t="n">
        <f aca="false">K160+J161</f>
        <v>1564.70646517932</v>
      </c>
      <c r="L161" s="4" t="n">
        <f aca="false">(1/$J$4)*(1+AB160)</f>
        <v>10</v>
      </c>
      <c r="M161" s="4" t="n">
        <f aca="false">L161+MAX(K161,Y$10:Y160)</f>
        <v>1606.04055084069</v>
      </c>
      <c r="N161" s="4" t="n">
        <f aca="false">K161</f>
        <v>1564.70646517932</v>
      </c>
      <c r="O161" s="4" t="n">
        <f aca="false">M161-K161</f>
        <v>41.3340856613672</v>
      </c>
      <c r="P161" s="4" t="n">
        <f aca="false">N161-K161</f>
        <v>0</v>
      </c>
      <c r="Q161" s="4" t="n">
        <f aca="false">A161-MATCH(K161,$M$9:M160,1)</f>
        <v>4</v>
      </c>
      <c r="R161" s="0" t="n">
        <f aca="false">-G161*(O161/3600)</f>
        <v>-0.109566862782383</v>
      </c>
      <c r="S161" s="0" t="n">
        <f aca="false">-1*I161-(H161*(P161/3600))</f>
        <v>-19.5</v>
      </c>
      <c r="T161" s="0" t="n">
        <f aca="false">-H161*(O161/3600)</f>
        <v>-0.0565429386746421</v>
      </c>
      <c r="U161" s="0" t="n">
        <f aca="false">T161-S161</f>
        <v>19.4434570613254</v>
      </c>
      <c r="V161" s="0" t="n">
        <f aca="false">1/(1+EXP(U161))</f>
        <v>3.59595201319514E-009</v>
      </c>
      <c r="W161" s="0" t="n">
        <f aca="true">RAND()</f>
        <v>0.669691246645313</v>
      </c>
      <c r="X161" s="0" t="n">
        <f aca="false">IF(W161&lt;V161,1,0)</f>
        <v>0</v>
      </c>
      <c r="Y161" s="0" t="n">
        <f aca="false">(M161*(1-X161)+N161*X161)*D161+M161*E161</f>
        <v>1606.04055084069</v>
      </c>
      <c r="Z161" s="0" t="n">
        <f aca="false">((1-X161)*O161+X161*P161)*D161+E161*O161</f>
        <v>41.3340856613672</v>
      </c>
      <c r="AA161" s="0" t="n">
        <f aca="false">IF(D161*X161&gt;0,AA160,Q161)</f>
        <v>4</v>
      </c>
      <c r="AB161" s="0" t="n">
        <f aca="false">(X161*D161)</f>
        <v>0</v>
      </c>
      <c r="AC161" s="0" t="n">
        <f aca="false">SUM(AB$10:AB160)/K161</f>
        <v>0</v>
      </c>
      <c r="AD161" s="0" t="n">
        <f aca="false">R161*E161+D161*(X161*S161+(1-X161)*T161)</f>
        <v>-0.109566862782383</v>
      </c>
      <c r="AE161" s="0" t="n">
        <f aca="false">Z161</f>
        <v>41.3340856613672</v>
      </c>
      <c r="AF161" s="0" t="n">
        <f aca="false">E161*O161</f>
        <v>41.3340856613672</v>
      </c>
      <c r="AG161" s="0" t="n">
        <f aca="false">((1-X161)*O161+X161*P161)*D161</f>
        <v>0</v>
      </c>
      <c r="AH161" s="0" t="n">
        <f aca="false">D161*(LN(EXP(S161)+EXP(T161)))</f>
        <v>-0</v>
      </c>
      <c r="AJ161" s="0" t="n">
        <f aca="false">$J$5</f>
        <v>10</v>
      </c>
      <c r="AK161" s="4" t="n">
        <f aca="false">AJ161+MAX(K161,AK$10:AK160)</f>
        <v>1606.04055084069</v>
      </c>
      <c r="AL161" s="5" t="n">
        <f aca="false">AK161-K161</f>
        <v>41.3340856613672</v>
      </c>
      <c r="AM161" s="0" t="n">
        <f aca="false">-G161*AL161/3600</f>
        <v>-0.109566862782383</v>
      </c>
      <c r="AN161" s="0" t="n">
        <f aca="false">-H161*AL161/3600</f>
        <v>-0.0565429386746421</v>
      </c>
      <c r="AO161" s="0" t="n">
        <f aca="false">AM161*E161+AN161*D161</f>
        <v>-0.109566862782383</v>
      </c>
      <c r="AP161" s="0" t="n">
        <f aca="false">AL161*D161</f>
        <v>0</v>
      </c>
      <c r="AR161" s="0" t="n">
        <f aca="false">AN161*D161</f>
        <v>-0</v>
      </c>
      <c r="AS161" s="0" t="n">
        <f aca="false">AH161-AR161</f>
        <v>0</v>
      </c>
    </row>
    <row r="162" customFormat="false" ht="12" hidden="false" customHeight="false" outlineLevel="0" collapsed="false">
      <c r="A162" s="3" t="n">
        <f aca="false">A161+1</f>
        <v>153</v>
      </c>
      <c r="B162" s="3" t="n">
        <f aca="false">IF(A162&lt;$N$4/3,0.1,(IF(A162&gt;2*$N$4/3,0.05,0.12)))</f>
        <v>0.1</v>
      </c>
      <c r="C162" s="4" t="n">
        <f aca="true">RAND()</f>
        <v>0.0625329007509488</v>
      </c>
      <c r="D162" s="0" t="n">
        <f aca="false">IF((C162&gt;$M$2),1,0)</f>
        <v>0</v>
      </c>
      <c r="E162" s="0" t="n">
        <f aca="false">1-D162</f>
        <v>1</v>
      </c>
      <c r="F162" s="0" t="n">
        <f aca="true">RAND()</f>
        <v>0.802288921941537</v>
      </c>
      <c r="G162" s="0" t="n">
        <f aca="false">7.75+F162*10</f>
        <v>15.7728892194154</v>
      </c>
      <c r="H162" s="0" t="n">
        <f aca="false">LOGINV(F162,2.64,1.139)</f>
        <v>36.8903924661646</v>
      </c>
      <c r="I162" s="0" t="n">
        <v>19.5</v>
      </c>
      <c r="J162" s="4" t="n">
        <f aca="true">-LN(RAND())/B162</f>
        <v>2.10748481102826</v>
      </c>
      <c r="K162" s="4" t="n">
        <f aca="false">K161+J162</f>
        <v>1566.81394999035</v>
      </c>
      <c r="L162" s="4" t="n">
        <f aca="false">(1/$J$4)*(1+AB161)</f>
        <v>10</v>
      </c>
      <c r="M162" s="4" t="n">
        <f aca="false">L162+MAX(K162,Y$10:Y161)</f>
        <v>1616.04055084069</v>
      </c>
      <c r="N162" s="4" t="n">
        <f aca="false">K162</f>
        <v>1566.81394999035</v>
      </c>
      <c r="O162" s="4" t="n">
        <f aca="false">M162-K162</f>
        <v>49.2266008503389</v>
      </c>
      <c r="P162" s="4" t="n">
        <f aca="false">N162-K162</f>
        <v>0</v>
      </c>
      <c r="Q162" s="4" t="n">
        <f aca="false">A162-MATCH(K162,$M$9:M161,1)</f>
        <v>4</v>
      </c>
      <c r="R162" s="0" t="n">
        <f aca="false">-G162*(O162/3600)</f>
        <v>-0.215679367183548</v>
      </c>
      <c r="S162" s="0" t="n">
        <f aca="false">-1*I162-(H162*(P162/3600))</f>
        <v>-19.5</v>
      </c>
      <c r="T162" s="0" t="n">
        <f aca="false">-H162*(O162/3600)</f>
        <v>-0.504441284762287</v>
      </c>
      <c r="U162" s="0" t="n">
        <f aca="false">T162-S162</f>
        <v>18.9955587152377</v>
      </c>
      <c r="V162" s="0" t="n">
        <f aca="false">1/(1+EXP(U162))</f>
        <v>5.62773535981476E-009</v>
      </c>
      <c r="W162" s="0" t="n">
        <f aca="true">RAND()</f>
        <v>0.440502163105425</v>
      </c>
      <c r="X162" s="0" t="n">
        <f aca="false">IF(W162&lt;V162,1,0)</f>
        <v>0</v>
      </c>
      <c r="Y162" s="0" t="n">
        <f aca="false">(M162*(1-X162)+N162*X162)*D162+M162*E162</f>
        <v>1616.04055084069</v>
      </c>
      <c r="Z162" s="0" t="n">
        <f aca="false">((1-X162)*O162+X162*P162)*D162+E162*O162</f>
        <v>49.2266008503389</v>
      </c>
      <c r="AA162" s="0" t="n">
        <f aca="false">IF(D162*X162&gt;0,AA161,Q162)</f>
        <v>4</v>
      </c>
      <c r="AB162" s="0" t="n">
        <f aca="false">(X162*D162)</f>
        <v>0</v>
      </c>
      <c r="AC162" s="0" t="n">
        <f aca="false">SUM(AB$10:AB161)/K162</f>
        <v>0</v>
      </c>
      <c r="AD162" s="0" t="n">
        <f aca="false">R162*E162+D162*(X162*S162+(1-X162)*T162)</f>
        <v>-0.215679367183548</v>
      </c>
      <c r="AE162" s="0" t="n">
        <f aca="false">Z162</f>
        <v>49.2266008503389</v>
      </c>
      <c r="AF162" s="0" t="n">
        <f aca="false">E162*O162</f>
        <v>49.2266008503389</v>
      </c>
      <c r="AG162" s="0" t="n">
        <f aca="false">((1-X162)*O162+X162*P162)*D162</f>
        <v>0</v>
      </c>
      <c r="AH162" s="0" t="n">
        <f aca="false">D162*(LN(EXP(S162)+EXP(T162)))</f>
        <v>-0</v>
      </c>
      <c r="AJ162" s="0" t="n">
        <f aca="false">$J$5</f>
        <v>10</v>
      </c>
      <c r="AK162" s="4" t="n">
        <f aca="false">AJ162+MAX(K162,AK$10:AK161)</f>
        <v>1616.04055084069</v>
      </c>
      <c r="AL162" s="5" t="n">
        <f aca="false">AK162-K162</f>
        <v>49.2266008503389</v>
      </c>
      <c r="AM162" s="0" t="n">
        <f aca="false">-G162*AL162/3600</f>
        <v>-0.215679367183548</v>
      </c>
      <c r="AN162" s="0" t="n">
        <f aca="false">-H162*AL162/3600</f>
        <v>-0.504441284762287</v>
      </c>
      <c r="AO162" s="0" t="n">
        <f aca="false">AM162*E162+AN162*D162</f>
        <v>-0.215679367183548</v>
      </c>
      <c r="AP162" s="0" t="n">
        <f aca="false">AL162*D162</f>
        <v>0</v>
      </c>
      <c r="AR162" s="0" t="n">
        <f aca="false">AN162*D162</f>
        <v>-0</v>
      </c>
      <c r="AS162" s="0" t="n">
        <f aca="false">AH162-AR162</f>
        <v>0</v>
      </c>
    </row>
    <row r="163" customFormat="false" ht="12" hidden="false" customHeight="false" outlineLevel="0" collapsed="false">
      <c r="A163" s="3" t="n">
        <f aca="false">A162+1</f>
        <v>154</v>
      </c>
      <c r="B163" s="3" t="n">
        <f aca="false">IF(A163&lt;$N$4/3,0.1,(IF(A163&gt;2*$N$4/3,0.05,0.12)))</f>
        <v>0.1</v>
      </c>
      <c r="C163" s="4" t="n">
        <f aca="true">RAND()</f>
        <v>0.0715331787038201</v>
      </c>
      <c r="D163" s="0" t="n">
        <f aca="false">IF((C163&gt;$M$2),1,0)</f>
        <v>0</v>
      </c>
      <c r="E163" s="0" t="n">
        <f aca="false">1-D163</f>
        <v>1</v>
      </c>
      <c r="F163" s="0" t="n">
        <f aca="true">RAND()</f>
        <v>0.75113092669227</v>
      </c>
      <c r="G163" s="0" t="n">
        <f aca="false">7.75+F163*10</f>
        <v>15.2613092669227</v>
      </c>
      <c r="H163" s="0" t="n">
        <f aca="false">LOGINV(F163,2.64,1.139)</f>
        <v>30.3350031172973</v>
      </c>
      <c r="I163" s="0" t="n">
        <v>19.5</v>
      </c>
      <c r="J163" s="4" t="n">
        <f aca="true">-LN(RAND())/B163</f>
        <v>23.705643473317</v>
      </c>
      <c r="K163" s="4" t="n">
        <f aca="false">K162+J163</f>
        <v>1590.51959346366</v>
      </c>
      <c r="L163" s="4" t="n">
        <f aca="false">(1/$J$4)*(1+AB162)</f>
        <v>10</v>
      </c>
      <c r="M163" s="4" t="n">
        <f aca="false">L163+MAX(K163,Y$10:Y162)</f>
        <v>1626.04055084069</v>
      </c>
      <c r="N163" s="4" t="n">
        <f aca="false">K163</f>
        <v>1590.51959346366</v>
      </c>
      <c r="O163" s="4" t="n">
        <f aca="false">M163-K163</f>
        <v>35.5209573770219</v>
      </c>
      <c r="P163" s="4" t="n">
        <f aca="false">N163-K163</f>
        <v>0</v>
      </c>
      <c r="Q163" s="4" t="n">
        <f aca="false">A163-MATCH(K163,$M$9:M162,1)</f>
        <v>3</v>
      </c>
      <c r="R163" s="0" t="n">
        <f aca="false">-G163*(O163/3600)</f>
        <v>-0.150582309996642</v>
      </c>
      <c r="S163" s="0" t="n">
        <f aca="false">-1*I163-(H163*(P163/3600))</f>
        <v>-19.5</v>
      </c>
      <c r="T163" s="0" t="n">
        <f aca="false">-H163*(O163/3600)</f>
        <v>-0.299313431322595</v>
      </c>
      <c r="U163" s="0" t="n">
        <f aca="false">T163-S163</f>
        <v>19.2006865686774</v>
      </c>
      <c r="V163" s="0" t="n">
        <f aca="false">1/(1+EXP(U163))</f>
        <v>4.58403339122691E-009</v>
      </c>
      <c r="W163" s="0" t="n">
        <f aca="true">RAND()</f>
        <v>0.591178992392358</v>
      </c>
      <c r="X163" s="0" t="n">
        <f aca="false">IF(W163&lt;V163,1,0)</f>
        <v>0</v>
      </c>
      <c r="Y163" s="0" t="n">
        <f aca="false">(M163*(1-X163)+N163*X163)*D163+M163*E163</f>
        <v>1626.04055084069</v>
      </c>
      <c r="Z163" s="0" t="n">
        <f aca="false">((1-X163)*O163+X163*P163)*D163+E163*O163</f>
        <v>35.5209573770219</v>
      </c>
      <c r="AA163" s="0" t="n">
        <f aca="false">IF(D163*X163&gt;0,AA162,Q163)</f>
        <v>3</v>
      </c>
      <c r="AB163" s="0" t="n">
        <f aca="false">(X163*D163)</f>
        <v>0</v>
      </c>
      <c r="AC163" s="0" t="n">
        <f aca="false">SUM(AB$10:AB162)/K163</f>
        <v>0</v>
      </c>
      <c r="AD163" s="0" t="n">
        <f aca="false">R163*E163+D163*(X163*S163+(1-X163)*T163)</f>
        <v>-0.150582309996642</v>
      </c>
      <c r="AE163" s="0" t="n">
        <f aca="false">Z163</f>
        <v>35.5209573770219</v>
      </c>
      <c r="AF163" s="0" t="n">
        <f aca="false">E163*O163</f>
        <v>35.5209573770219</v>
      </c>
      <c r="AG163" s="0" t="n">
        <f aca="false">((1-X163)*O163+X163*P163)*D163</f>
        <v>0</v>
      </c>
      <c r="AH163" s="0" t="n">
        <f aca="false">D163*(LN(EXP(S163)+EXP(T163)))</f>
        <v>-0</v>
      </c>
      <c r="AJ163" s="0" t="n">
        <f aca="false">$J$5</f>
        <v>10</v>
      </c>
      <c r="AK163" s="4" t="n">
        <f aca="false">AJ163+MAX(K163,AK$10:AK162)</f>
        <v>1626.04055084069</v>
      </c>
      <c r="AL163" s="5" t="n">
        <f aca="false">AK163-K163</f>
        <v>35.5209573770219</v>
      </c>
      <c r="AM163" s="0" t="n">
        <f aca="false">-G163*AL163/3600</f>
        <v>-0.150582309996642</v>
      </c>
      <c r="AN163" s="0" t="n">
        <f aca="false">-H163*AL163/3600</f>
        <v>-0.299313431322595</v>
      </c>
      <c r="AO163" s="0" t="n">
        <f aca="false">AM163*E163+AN163*D163</f>
        <v>-0.150582309996642</v>
      </c>
      <c r="AP163" s="0" t="n">
        <f aca="false">AL163*D163</f>
        <v>0</v>
      </c>
      <c r="AR163" s="0" t="n">
        <f aca="false">AN163*D163</f>
        <v>-0</v>
      </c>
      <c r="AS163" s="0" t="n">
        <f aca="false">AH163-AR163</f>
        <v>0</v>
      </c>
    </row>
    <row r="164" customFormat="false" ht="12" hidden="false" customHeight="false" outlineLevel="0" collapsed="false">
      <c r="A164" s="3" t="n">
        <f aca="false">A163+1</f>
        <v>155</v>
      </c>
      <c r="B164" s="3" t="n">
        <f aca="false">IF(A164&lt;$N$4/3,0.1,(IF(A164&gt;2*$N$4/3,0.05,0.12)))</f>
        <v>0.1</v>
      </c>
      <c r="C164" s="4" t="n">
        <f aca="true">RAND()</f>
        <v>0.395780055335576</v>
      </c>
      <c r="D164" s="0" t="n">
        <f aca="false">IF((C164&gt;$M$2),1,0)</f>
        <v>0</v>
      </c>
      <c r="E164" s="0" t="n">
        <f aca="false">1-D164</f>
        <v>1</v>
      </c>
      <c r="F164" s="0" t="n">
        <f aca="true">RAND()</f>
        <v>0.726827717070525</v>
      </c>
      <c r="G164" s="0" t="n">
        <f aca="false">7.75+F164*10</f>
        <v>15.0182771707053</v>
      </c>
      <c r="H164" s="0" t="n">
        <f aca="false">LOGINV(F164,2.64,1.139)</f>
        <v>27.8573828266804</v>
      </c>
      <c r="I164" s="0" t="n">
        <v>19.5</v>
      </c>
      <c r="J164" s="4" t="n">
        <f aca="true">-LN(RAND())/B164</f>
        <v>17.3381997153785</v>
      </c>
      <c r="K164" s="4" t="n">
        <f aca="false">K163+J164</f>
        <v>1607.85779317904</v>
      </c>
      <c r="L164" s="4" t="n">
        <f aca="false">(1/$J$4)*(1+AB163)</f>
        <v>10</v>
      </c>
      <c r="M164" s="4" t="n">
        <f aca="false">L164+MAX(K164,Y$10:Y163)</f>
        <v>1636.04055084069</v>
      </c>
      <c r="N164" s="4" t="n">
        <f aca="false">K164</f>
        <v>1607.85779317904</v>
      </c>
      <c r="O164" s="4" t="n">
        <f aca="false">M164-K164</f>
        <v>28.1827576616433</v>
      </c>
      <c r="P164" s="4" t="n">
        <f aca="false">N164-K164</f>
        <v>0</v>
      </c>
      <c r="Q164" s="4" t="n">
        <f aca="false">A164-MATCH(K164,$M$9:M163,1)</f>
        <v>2</v>
      </c>
      <c r="R164" s="0" t="n">
        <f aca="false">-G164*(O164/3600)</f>
        <v>-0.117571240554827</v>
      </c>
      <c r="S164" s="0" t="n">
        <f aca="false">-1*I164-(H164*(P164/3600))</f>
        <v>-19.5</v>
      </c>
      <c r="T164" s="0" t="n">
        <f aca="false">-H164*(O164/3600)</f>
        <v>-0.218082741469989</v>
      </c>
      <c r="U164" s="0" t="n">
        <f aca="false">T164-S164</f>
        <v>19.28191725853</v>
      </c>
      <c r="V164" s="0" t="n">
        <f aca="false">1/(1+EXP(U164))</f>
        <v>4.22639157815426E-009</v>
      </c>
      <c r="W164" s="0" t="n">
        <f aca="true">RAND()</f>
        <v>0.288938600490804</v>
      </c>
      <c r="X164" s="0" t="n">
        <f aca="false">IF(W164&lt;V164,1,0)</f>
        <v>0</v>
      </c>
      <c r="Y164" s="0" t="n">
        <f aca="false">(M164*(1-X164)+N164*X164)*D164+M164*E164</f>
        <v>1636.04055084069</v>
      </c>
      <c r="Z164" s="0" t="n">
        <f aca="false">((1-X164)*O164+X164*P164)*D164+E164*O164</f>
        <v>28.1827576616433</v>
      </c>
      <c r="AA164" s="0" t="n">
        <f aca="false">IF(D164*X164&gt;0,AA163,Q164)</f>
        <v>2</v>
      </c>
      <c r="AB164" s="0" t="n">
        <f aca="false">(X164*D164)</f>
        <v>0</v>
      </c>
      <c r="AC164" s="0" t="n">
        <f aca="false">SUM(AB$10:AB163)/K164</f>
        <v>0</v>
      </c>
      <c r="AD164" s="0" t="n">
        <f aca="false">R164*E164+D164*(X164*S164+(1-X164)*T164)</f>
        <v>-0.117571240554827</v>
      </c>
      <c r="AE164" s="0" t="n">
        <f aca="false">Z164</f>
        <v>28.1827576616433</v>
      </c>
      <c r="AF164" s="0" t="n">
        <f aca="false">E164*O164</f>
        <v>28.1827576616433</v>
      </c>
      <c r="AG164" s="0" t="n">
        <f aca="false">((1-X164)*O164+X164*P164)*D164</f>
        <v>0</v>
      </c>
      <c r="AH164" s="0" t="n">
        <f aca="false">D164*(LN(EXP(S164)+EXP(T164)))</f>
        <v>-0</v>
      </c>
      <c r="AJ164" s="0" t="n">
        <f aca="false">$J$5</f>
        <v>10</v>
      </c>
      <c r="AK164" s="4" t="n">
        <f aca="false">AJ164+MAX(K164,AK$10:AK163)</f>
        <v>1636.04055084069</v>
      </c>
      <c r="AL164" s="5" t="n">
        <f aca="false">AK164-K164</f>
        <v>28.1827576616433</v>
      </c>
      <c r="AM164" s="0" t="n">
        <f aca="false">-G164*AL164/3600</f>
        <v>-0.117571240554827</v>
      </c>
      <c r="AN164" s="0" t="n">
        <f aca="false">-H164*AL164/3600</f>
        <v>-0.218082741469989</v>
      </c>
      <c r="AO164" s="0" t="n">
        <f aca="false">AM164*E164+AN164*D164</f>
        <v>-0.117571240554827</v>
      </c>
      <c r="AP164" s="0" t="n">
        <f aca="false">AL164*D164</f>
        <v>0</v>
      </c>
      <c r="AR164" s="0" t="n">
        <f aca="false">AN164*D164</f>
        <v>-0</v>
      </c>
      <c r="AS164" s="0" t="n">
        <f aca="false">AH164-AR164</f>
        <v>0</v>
      </c>
    </row>
    <row r="165" customFormat="false" ht="12" hidden="false" customHeight="false" outlineLevel="0" collapsed="false">
      <c r="A165" s="3" t="n">
        <f aca="false">A164+1</f>
        <v>156</v>
      </c>
      <c r="B165" s="3" t="n">
        <f aca="false">IF(A165&lt;$N$4/3,0.1,(IF(A165&gt;2*$N$4/3,0.05,0.12)))</f>
        <v>0.1</v>
      </c>
      <c r="C165" s="4" t="n">
        <f aca="true">RAND()</f>
        <v>0.186234945477296</v>
      </c>
      <c r="D165" s="0" t="n">
        <f aca="false">IF((C165&gt;$M$2),1,0)</f>
        <v>0</v>
      </c>
      <c r="E165" s="0" t="n">
        <f aca="false">1-D165</f>
        <v>1</v>
      </c>
      <c r="F165" s="0" t="n">
        <f aca="true">RAND()</f>
        <v>0.0957690752693359</v>
      </c>
      <c r="G165" s="0" t="n">
        <f aca="false">7.75+F165*10</f>
        <v>8.70769075269336</v>
      </c>
      <c r="H165" s="0" t="n">
        <f aca="false">LOGINV(F165,2.64,1.139)</f>
        <v>3.16583785211838</v>
      </c>
      <c r="I165" s="0" t="n">
        <v>19.5</v>
      </c>
      <c r="J165" s="4" t="n">
        <f aca="true">-LN(RAND())/B165</f>
        <v>2.65479107895978</v>
      </c>
      <c r="K165" s="4" t="n">
        <f aca="false">K164+J165</f>
        <v>1610.512584258</v>
      </c>
      <c r="L165" s="4" t="n">
        <f aca="false">(1/$J$4)*(1+AB164)</f>
        <v>10</v>
      </c>
      <c r="M165" s="4" t="n">
        <f aca="false">L165+MAX(K165,Y$10:Y164)</f>
        <v>1646.04055084069</v>
      </c>
      <c r="N165" s="4" t="n">
        <f aca="false">K165</f>
        <v>1610.512584258</v>
      </c>
      <c r="O165" s="4" t="n">
        <f aca="false">M165-K165</f>
        <v>35.5279665826836</v>
      </c>
      <c r="P165" s="4" t="n">
        <f aca="false">N165-K165</f>
        <v>0</v>
      </c>
      <c r="Q165" s="4" t="n">
        <f aca="false">A165-MATCH(K165,$M$9:M164,1)</f>
        <v>3</v>
      </c>
      <c r="R165" s="0" t="n">
        <f aca="false">-G165*(O165/3600)</f>
        <v>-0.0859351516872312</v>
      </c>
      <c r="S165" s="0" t="n">
        <f aca="false">-1*I165-(H165*(P165/3600))</f>
        <v>-19.5</v>
      </c>
      <c r="T165" s="0" t="n">
        <f aca="false">-H165*(O165/3600)</f>
        <v>-0.0312432726156268</v>
      </c>
      <c r="U165" s="0" t="n">
        <f aca="false">T165-S165</f>
        <v>19.4687567273844</v>
      </c>
      <c r="V165" s="0" t="n">
        <f aca="false">1/(1+EXP(U165))</f>
        <v>3.5061168203126E-009</v>
      </c>
      <c r="W165" s="0" t="n">
        <f aca="true">RAND()</f>
        <v>0.815813578389368</v>
      </c>
      <c r="X165" s="0" t="n">
        <f aca="false">IF(W165&lt;V165,1,0)</f>
        <v>0</v>
      </c>
      <c r="Y165" s="0" t="n">
        <f aca="false">(M165*(1-X165)+N165*X165)*D165+M165*E165</f>
        <v>1646.04055084069</v>
      </c>
      <c r="Z165" s="0" t="n">
        <f aca="false">((1-X165)*O165+X165*P165)*D165+E165*O165</f>
        <v>35.5279665826836</v>
      </c>
      <c r="AA165" s="0" t="n">
        <f aca="false">IF(D165*X165&gt;0,AA164,Q165)</f>
        <v>3</v>
      </c>
      <c r="AB165" s="0" t="n">
        <f aca="false">(X165*D165)</f>
        <v>0</v>
      </c>
      <c r="AC165" s="0" t="n">
        <f aca="false">SUM(AB$10:AB164)/K165</f>
        <v>0</v>
      </c>
      <c r="AD165" s="0" t="n">
        <f aca="false">R165*E165+D165*(X165*S165+(1-X165)*T165)</f>
        <v>-0.0859351516872312</v>
      </c>
      <c r="AE165" s="0" t="n">
        <f aca="false">Z165</f>
        <v>35.5279665826836</v>
      </c>
      <c r="AF165" s="0" t="n">
        <f aca="false">E165*O165</f>
        <v>35.5279665826836</v>
      </c>
      <c r="AG165" s="0" t="n">
        <f aca="false">((1-X165)*O165+X165*P165)*D165</f>
        <v>0</v>
      </c>
      <c r="AH165" s="0" t="n">
        <f aca="false">D165*(LN(EXP(S165)+EXP(T165)))</f>
        <v>-0</v>
      </c>
      <c r="AJ165" s="0" t="n">
        <f aca="false">$J$5</f>
        <v>10</v>
      </c>
      <c r="AK165" s="4" t="n">
        <f aca="false">AJ165+MAX(K165,AK$10:AK164)</f>
        <v>1646.04055084069</v>
      </c>
      <c r="AL165" s="5" t="n">
        <f aca="false">AK165-K165</f>
        <v>35.5279665826836</v>
      </c>
      <c r="AM165" s="0" t="n">
        <f aca="false">-G165*AL165/3600</f>
        <v>-0.0859351516872312</v>
      </c>
      <c r="AN165" s="0" t="n">
        <f aca="false">-H165*AL165/3600</f>
        <v>-0.0312432726156268</v>
      </c>
      <c r="AO165" s="0" t="n">
        <f aca="false">AM165*E165+AN165*D165</f>
        <v>-0.0859351516872312</v>
      </c>
      <c r="AP165" s="0" t="n">
        <f aca="false">AL165*D165</f>
        <v>0</v>
      </c>
      <c r="AR165" s="0" t="n">
        <f aca="false">AN165*D165</f>
        <v>-0</v>
      </c>
      <c r="AS165" s="0" t="n">
        <f aca="false">AH165-AR165</f>
        <v>0</v>
      </c>
    </row>
    <row r="166" customFormat="false" ht="12" hidden="false" customHeight="false" outlineLevel="0" collapsed="false">
      <c r="A166" s="3" t="n">
        <f aca="false">A165+1</f>
        <v>157</v>
      </c>
      <c r="B166" s="3" t="n">
        <f aca="false">IF(A166&lt;$N$4/3,0.1,(IF(A166&gt;2*$N$4/3,0.05,0.12)))</f>
        <v>0.1</v>
      </c>
      <c r="C166" s="4" t="n">
        <f aca="true">RAND()</f>
        <v>0.896419206023003</v>
      </c>
      <c r="D166" s="0" t="n">
        <f aca="false">IF((C166&gt;$M$2),1,0)</f>
        <v>0</v>
      </c>
      <c r="E166" s="0" t="n">
        <f aca="false">1-D166</f>
        <v>1</v>
      </c>
      <c r="F166" s="0" t="n">
        <f aca="true">RAND()</f>
        <v>0.0631973533611872</v>
      </c>
      <c r="G166" s="0" t="n">
        <f aca="false">7.75+F166*10</f>
        <v>8.38197353361187</v>
      </c>
      <c r="H166" s="0" t="n">
        <f aca="false">LOGINV(F166,2.64,1.139)</f>
        <v>2.4573099951674</v>
      </c>
      <c r="I166" s="0" t="n">
        <v>19.5</v>
      </c>
      <c r="J166" s="4" t="n">
        <f aca="true">-LN(RAND())/B166</f>
        <v>20.7749685359547</v>
      </c>
      <c r="K166" s="4" t="n">
        <f aca="false">K165+J166</f>
        <v>1631.28755279396</v>
      </c>
      <c r="L166" s="4" t="n">
        <f aca="false">(1/$J$4)*(1+AB165)</f>
        <v>10</v>
      </c>
      <c r="M166" s="4" t="n">
        <f aca="false">L166+MAX(K166,Y$10:Y165)</f>
        <v>1656.04055084069</v>
      </c>
      <c r="N166" s="4" t="n">
        <f aca="false">K166</f>
        <v>1631.28755279396</v>
      </c>
      <c r="O166" s="4" t="n">
        <f aca="false">M166-K166</f>
        <v>24.7529980467289</v>
      </c>
      <c r="P166" s="4" t="n">
        <f aca="false">N166-K166</f>
        <v>0</v>
      </c>
      <c r="Q166" s="4" t="n">
        <f aca="false">A166-MATCH(K166,$M$9:M165,1)</f>
        <v>2</v>
      </c>
      <c r="R166" s="0" t="n">
        <f aca="false">-G166*(O166/3600)</f>
        <v>-0.0576330484736744</v>
      </c>
      <c r="S166" s="0" t="n">
        <f aca="false">-1*I166-(H166*(P166/3600))</f>
        <v>-19.5</v>
      </c>
      <c r="T166" s="0" t="n">
        <f aca="false">-H166*(O166/3600)</f>
        <v>-0.0168960526418294</v>
      </c>
      <c r="U166" s="0" t="n">
        <f aca="false">T166-S166</f>
        <v>19.4831039473582</v>
      </c>
      <c r="V166" s="0" t="n">
        <f aca="false">1/(1+EXP(U166))</f>
        <v>3.45617292594369E-009</v>
      </c>
      <c r="W166" s="0" t="n">
        <f aca="true">RAND()</f>
        <v>0.585796729704655</v>
      </c>
      <c r="X166" s="0" t="n">
        <f aca="false">IF(W166&lt;V166,1,0)</f>
        <v>0</v>
      </c>
      <c r="Y166" s="0" t="n">
        <f aca="false">(M166*(1-X166)+N166*X166)*D166+M166*E166</f>
        <v>1656.04055084069</v>
      </c>
      <c r="Z166" s="0" t="n">
        <f aca="false">((1-X166)*O166+X166*P166)*D166+E166*O166</f>
        <v>24.7529980467289</v>
      </c>
      <c r="AA166" s="0" t="n">
        <f aca="false">IF(D166*X166&gt;0,AA165,Q166)</f>
        <v>2</v>
      </c>
      <c r="AB166" s="0" t="n">
        <f aca="false">(X166*D166)</f>
        <v>0</v>
      </c>
      <c r="AC166" s="0" t="n">
        <f aca="false">SUM(AB$10:AB165)/K166</f>
        <v>0</v>
      </c>
      <c r="AD166" s="0" t="n">
        <f aca="false">R166*E166+D166*(X166*S166+(1-X166)*T166)</f>
        <v>-0.0576330484736744</v>
      </c>
      <c r="AE166" s="0" t="n">
        <f aca="false">Z166</f>
        <v>24.7529980467289</v>
      </c>
      <c r="AF166" s="0" t="n">
        <f aca="false">E166*O166</f>
        <v>24.7529980467289</v>
      </c>
      <c r="AG166" s="0" t="n">
        <f aca="false">((1-X166)*O166+X166*P166)*D166</f>
        <v>0</v>
      </c>
      <c r="AH166" s="0" t="n">
        <f aca="false">D166*(LN(EXP(S166)+EXP(T166)))</f>
        <v>-0</v>
      </c>
      <c r="AJ166" s="0" t="n">
        <f aca="false">$J$5</f>
        <v>10</v>
      </c>
      <c r="AK166" s="4" t="n">
        <f aca="false">AJ166+MAX(K166,AK$10:AK165)</f>
        <v>1656.04055084069</v>
      </c>
      <c r="AL166" s="5" t="n">
        <f aca="false">AK166-K166</f>
        <v>24.7529980467289</v>
      </c>
      <c r="AM166" s="0" t="n">
        <f aca="false">-G166*AL166/3600</f>
        <v>-0.0576330484736744</v>
      </c>
      <c r="AN166" s="0" t="n">
        <f aca="false">-H166*AL166/3600</f>
        <v>-0.0168960526418294</v>
      </c>
      <c r="AO166" s="0" t="n">
        <f aca="false">AM166*E166+AN166*D166</f>
        <v>-0.0576330484736744</v>
      </c>
      <c r="AP166" s="0" t="n">
        <f aca="false">AL166*D166</f>
        <v>0</v>
      </c>
      <c r="AR166" s="0" t="n">
        <f aca="false">AN166*D166</f>
        <v>-0</v>
      </c>
      <c r="AS166" s="0" t="n">
        <f aca="false">AH166-AR166</f>
        <v>0</v>
      </c>
    </row>
    <row r="167" customFormat="false" ht="12" hidden="false" customHeight="false" outlineLevel="0" collapsed="false">
      <c r="A167" s="3" t="n">
        <f aca="false">A166+1</f>
        <v>158</v>
      </c>
      <c r="B167" s="3" t="n">
        <f aca="false">IF(A167&lt;$N$4/3,0.1,(IF(A167&gt;2*$N$4/3,0.05,0.12)))</f>
        <v>0.1</v>
      </c>
      <c r="C167" s="4" t="n">
        <f aca="true">RAND()</f>
        <v>0.464639453725788</v>
      </c>
      <c r="D167" s="0" t="n">
        <f aca="false">IF((C167&gt;$M$2),1,0)</f>
        <v>0</v>
      </c>
      <c r="E167" s="0" t="n">
        <f aca="false">1-D167</f>
        <v>1</v>
      </c>
      <c r="F167" s="0" t="n">
        <f aca="true">RAND()</f>
        <v>0.314633441423027</v>
      </c>
      <c r="G167" s="0" t="n">
        <f aca="false">7.75+F167*10</f>
        <v>10.8963344142303</v>
      </c>
      <c r="H167" s="0" t="n">
        <f aca="false">LOGINV(F167,2.64,1.139)</f>
        <v>8.08602713348642</v>
      </c>
      <c r="I167" s="0" t="n">
        <v>19.5</v>
      </c>
      <c r="J167" s="4" t="n">
        <f aca="true">-LN(RAND())/B167</f>
        <v>1.90485991663268</v>
      </c>
      <c r="K167" s="4" t="n">
        <f aca="false">K166+J167</f>
        <v>1633.19241271059</v>
      </c>
      <c r="L167" s="4" t="n">
        <f aca="false">(1/$J$4)*(1+AB166)</f>
        <v>10</v>
      </c>
      <c r="M167" s="4" t="n">
        <f aca="false">L167+MAX(K167,Y$10:Y166)</f>
        <v>1666.04055084069</v>
      </c>
      <c r="N167" s="4" t="n">
        <f aca="false">K167</f>
        <v>1633.19241271059</v>
      </c>
      <c r="O167" s="4" t="n">
        <f aca="false">M167-K167</f>
        <v>32.8481381300962</v>
      </c>
      <c r="P167" s="4" t="n">
        <f aca="false">N167-K167</f>
        <v>0</v>
      </c>
      <c r="Q167" s="4" t="n">
        <f aca="false">A167-MATCH(K167,$M$9:M166,1)</f>
        <v>3</v>
      </c>
      <c r="R167" s="0" t="n">
        <f aca="false">-G167*(O167/3600)</f>
        <v>-0.0994234160973215</v>
      </c>
      <c r="S167" s="0" t="n">
        <f aca="false">-1*I167-(H167*(P167/3600))</f>
        <v>-19.5</v>
      </c>
      <c r="T167" s="0" t="n">
        <f aca="false">-H167*(O167/3600)</f>
        <v>-0.0737808156123522</v>
      </c>
      <c r="U167" s="0" t="n">
        <f aca="false">T167-S167</f>
        <v>19.4262191843876</v>
      </c>
      <c r="V167" s="0" t="n">
        <f aca="false">1/(1+EXP(U167))</f>
        <v>3.65847593285035E-009</v>
      </c>
      <c r="W167" s="0" t="n">
        <f aca="true">RAND()</f>
        <v>0.167075581720898</v>
      </c>
      <c r="X167" s="0" t="n">
        <f aca="false">IF(W167&lt;V167,1,0)</f>
        <v>0</v>
      </c>
      <c r="Y167" s="0" t="n">
        <f aca="false">(M167*(1-X167)+N167*X167)*D167+M167*E167</f>
        <v>1666.04055084069</v>
      </c>
      <c r="Z167" s="0" t="n">
        <f aca="false">((1-X167)*O167+X167*P167)*D167+E167*O167</f>
        <v>32.8481381300962</v>
      </c>
      <c r="AA167" s="0" t="n">
        <f aca="false">IF(D167*X167&gt;0,AA166,Q167)</f>
        <v>3</v>
      </c>
      <c r="AB167" s="0" t="n">
        <f aca="false">(X167*D167)</f>
        <v>0</v>
      </c>
      <c r="AC167" s="0" t="n">
        <f aca="false">SUM(AB$10:AB166)/K167</f>
        <v>0</v>
      </c>
      <c r="AD167" s="0" t="n">
        <f aca="false">R167*E167+D167*(X167*S167+(1-X167)*T167)</f>
        <v>-0.0994234160973215</v>
      </c>
      <c r="AE167" s="0" t="n">
        <f aca="false">Z167</f>
        <v>32.8481381300962</v>
      </c>
      <c r="AF167" s="0" t="n">
        <f aca="false">E167*O167</f>
        <v>32.8481381300962</v>
      </c>
      <c r="AG167" s="0" t="n">
        <f aca="false">((1-X167)*O167+X167*P167)*D167</f>
        <v>0</v>
      </c>
      <c r="AH167" s="0" t="n">
        <f aca="false">D167*(LN(EXP(S167)+EXP(T167)))</f>
        <v>-0</v>
      </c>
      <c r="AJ167" s="0" t="n">
        <f aca="false">$J$5</f>
        <v>10</v>
      </c>
      <c r="AK167" s="4" t="n">
        <f aca="false">AJ167+MAX(K167,AK$10:AK166)</f>
        <v>1666.04055084069</v>
      </c>
      <c r="AL167" s="5" t="n">
        <f aca="false">AK167-K167</f>
        <v>32.8481381300962</v>
      </c>
      <c r="AM167" s="0" t="n">
        <f aca="false">-G167*AL167/3600</f>
        <v>-0.0994234160973214</v>
      </c>
      <c r="AN167" s="0" t="n">
        <f aca="false">-H167*AL167/3600</f>
        <v>-0.0737808156123522</v>
      </c>
      <c r="AO167" s="0" t="n">
        <f aca="false">AM167*E167+AN167*D167</f>
        <v>-0.0994234160973214</v>
      </c>
      <c r="AP167" s="0" t="n">
        <f aca="false">AL167*D167</f>
        <v>0</v>
      </c>
      <c r="AR167" s="0" t="n">
        <f aca="false">AN167*D167</f>
        <v>-0</v>
      </c>
      <c r="AS167" s="0" t="n">
        <f aca="false">AH167-AR167</f>
        <v>0</v>
      </c>
    </row>
    <row r="168" customFormat="false" ht="12" hidden="false" customHeight="false" outlineLevel="0" collapsed="false">
      <c r="A168" s="3" t="n">
        <f aca="false">A167+1</f>
        <v>159</v>
      </c>
      <c r="B168" s="3" t="n">
        <f aca="false">IF(A168&lt;$N$4/3,0.1,(IF(A168&gt;2*$N$4/3,0.05,0.12)))</f>
        <v>0.1</v>
      </c>
      <c r="C168" s="4" t="n">
        <f aca="true">RAND()</f>
        <v>0.553790988754739</v>
      </c>
      <c r="D168" s="0" t="n">
        <f aca="false">IF((C168&gt;$M$2),1,0)</f>
        <v>0</v>
      </c>
      <c r="E168" s="0" t="n">
        <f aca="false">1-D168</f>
        <v>1</v>
      </c>
      <c r="F168" s="0" t="n">
        <f aca="true">RAND()</f>
        <v>0.731480009340413</v>
      </c>
      <c r="G168" s="0" t="n">
        <f aca="false">7.75+F168*10</f>
        <v>15.0648000934041</v>
      </c>
      <c r="H168" s="0" t="n">
        <f aca="false">LOGINV(F168,2.64,1.139)</f>
        <v>28.306722506524</v>
      </c>
      <c r="I168" s="0" t="n">
        <v>19.5</v>
      </c>
      <c r="J168" s="4" t="n">
        <f aca="true">-LN(RAND())/B168</f>
        <v>13.1835193092852</v>
      </c>
      <c r="K168" s="4" t="n">
        <f aca="false">K167+J168</f>
        <v>1646.37593201988</v>
      </c>
      <c r="L168" s="4" t="n">
        <f aca="false">(1/$J$4)*(1+AB167)</f>
        <v>10</v>
      </c>
      <c r="M168" s="4" t="n">
        <f aca="false">L168+MAX(K168,Y$10:Y167)</f>
        <v>1676.04055084069</v>
      </c>
      <c r="N168" s="4" t="n">
        <f aca="false">K168</f>
        <v>1646.37593201988</v>
      </c>
      <c r="O168" s="4" t="n">
        <f aca="false">M168-K168</f>
        <v>29.664618820811</v>
      </c>
      <c r="P168" s="4" t="n">
        <f aca="false">N168-K168</f>
        <v>0</v>
      </c>
      <c r="Q168" s="4" t="n">
        <f aca="false">A168-MATCH(K168,$M$9:M167,1)</f>
        <v>2</v>
      </c>
      <c r="R168" s="0" t="n">
        <f aca="false">-G168*(O168/3600)</f>
        <v>-0.124136542328487</v>
      </c>
      <c r="S168" s="0" t="n">
        <f aca="false">-1*I168-(H168*(P168/3600))</f>
        <v>-19.5</v>
      </c>
      <c r="T168" s="0" t="n">
        <f aca="false">-H168*(O168/3600)</f>
        <v>-0.233252259228474</v>
      </c>
      <c r="U168" s="0" t="n">
        <f aca="false">T168-S168</f>
        <v>19.2667477407715</v>
      </c>
      <c r="V168" s="0" t="n">
        <f aca="false">1/(1+EXP(U168))</f>
        <v>4.29099264469381E-009</v>
      </c>
      <c r="W168" s="0" t="n">
        <f aca="true">RAND()</f>
        <v>0.198553275702907</v>
      </c>
      <c r="X168" s="0" t="n">
        <f aca="false">IF(W168&lt;V168,1,0)</f>
        <v>0</v>
      </c>
      <c r="Y168" s="0" t="n">
        <f aca="false">(M168*(1-X168)+N168*X168)*D168+M168*E168</f>
        <v>1676.04055084069</v>
      </c>
      <c r="Z168" s="0" t="n">
        <f aca="false">((1-X168)*O168+X168*P168)*D168+E168*O168</f>
        <v>29.664618820811</v>
      </c>
      <c r="AA168" s="0" t="n">
        <f aca="false">IF(D168*X168&gt;0,AA167,Q168)</f>
        <v>2</v>
      </c>
      <c r="AB168" s="0" t="n">
        <f aca="false">(X168*D168)</f>
        <v>0</v>
      </c>
      <c r="AC168" s="0" t="n">
        <f aca="false">SUM(AB$10:AB167)/K168</f>
        <v>0</v>
      </c>
      <c r="AD168" s="0" t="n">
        <f aca="false">R168*E168+D168*(X168*S168+(1-X168)*T168)</f>
        <v>-0.124136542328487</v>
      </c>
      <c r="AE168" s="0" t="n">
        <f aca="false">Z168</f>
        <v>29.664618820811</v>
      </c>
      <c r="AF168" s="0" t="n">
        <f aca="false">E168*O168</f>
        <v>29.664618820811</v>
      </c>
      <c r="AG168" s="0" t="n">
        <f aca="false">((1-X168)*O168+X168*P168)*D168</f>
        <v>0</v>
      </c>
      <c r="AH168" s="0" t="n">
        <f aca="false">D168*(LN(EXP(S168)+EXP(T168)))</f>
        <v>-0</v>
      </c>
      <c r="AJ168" s="0" t="n">
        <f aca="false">$J$5</f>
        <v>10</v>
      </c>
      <c r="AK168" s="4" t="n">
        <f aca="false">AJ168+MAX(K168,AK$10:AK167)</f>
        <v>1676.04055084069</v>
      </c>
      <c r="AL168" s="5" t="n">
        <f aca="false">AK168-K168</f>
        <v>29.664618820811</v>
      </c>
      <c r="AM168" s="0" t="n">
        <f aca="false">-G168*AL168/3600</f>
        <v>-0.124136542328487</v>
      </c>
      <c r="AN168" s="0" t="n">
        <f aca="false">-H168*AL168/3600</f>
        <v>-0.233252259228474</v>
      </c>
      <c r="AO168" s="0" t="n">
        <f aca="false">AM168*E168+AN168*D168</f>
        <v>-0.124136542328487</v>
      </c>
      <c r="AP168" s="0" t="n">
        <f aca="false">AL168*D168</f>
        <v>0</v>
      </c>
      <c r="AR168" s="0" t="n">
        <f aca="false">AN168*D168</f>
        <v>-0</v>
      </c>
      <c r="AS168" s="0" t="n">
        <f aca="false">AH168-AR168</f>
        <v>0</v>
      </c>
    </row>
    <row r="169" customFormat="false" ht="12" hidden="false" customHeight="false" outlineLevel="0" collapsed="false">
      <c r="A169" s="3" t="n">
        <f aca="false">A168+1</f>
        <v>160</v>
      </c>
      <c r="B169" s="3" t="n">
        <f aca="false">IF(A169&lt;$N$4/3,0.1,(IF(A169&gt;2*$N$4/3,0.05,0.12)))</f>
        <v>0.1</v>
      </c>
      <c r="C169" s="4" t="n">
        <f aca="true">RAND()</f>
        <v>0.169427537314009</v>
      </c>
      <c r="D169" s="0" t="n">
        <f aca="false">IF((C169&gt;$M$2),1,0)</f>
        <v>0</v>
      </c>
      <c r="E169" s="0" t="n">
        <f aca="false">1-D169</f>
        <v>1</v>
      </c>
      <c r="F169" s="0" t="n">
        <f aca="true">RAND()</f>
        <v>0.733654951991747</v>
      </c>
      <c r="G169" s="0" t="n">
        <f aca="false">7.75+F169*10</f>
        <v>15.0865495199175</v>
      </c>
      <c r="H169" s="0" t="n">
        <f aca="false">LOGINV(F169,2.64,1.139)</f>
        <v>28.5206272215757</v>
      </c>
      <c r="I169" s="0" t="n">
        <v>19.5</v>
      </c>
      <c r="J169" s="4" t="n">
        <f aca="true">-LN(RAND())/B169</f>
        <v>2.44713335970656</v>
      </c>
      <c r="K169" s="4" t="n">
        <f aca="false">K168+J169</f>
        <v>1648.82306537958</v>
      </c>
      <c r="L169" s="4" t="n">
        <f aca="false">(1/$J$4)*(1+AB168)</f>
        <v>10</v>
      </c>
      <c r="M169" s="4" t="n">
        <f aca="false">L169+MAX(K169,Y$10:Y168)</f>
        <v>1686.04055084069</v>
      </c>
      <c r="N169" s="4" t="n">
        <f aca="false">K169</f>
        <v>1648.82306537958</v>
      </c>
      <c r="O169" s="4" t="n">
        <f aca="false">M169-K169</f>
        <v>37.2174854611044</v>
      </c>
      <c r="P169" s="4" t="n">
        <f aca="false">N169-K169</f>
        <v>0</v>
      </c>
      <c r="Q169" s="4" t="n">
        <f aca="false">A169-MATCH(K169,$M$9:M168,1)</f>
        <v>3</v>
      </c>
      <c r="R169" s="0" t="n">
        <f aca="false">-G169*(O169/3600)</f>
        <v>-0.155967621504378</v>
      </c>
      <c r="S169" s="0" t="n">
        <f aca="false">-1*I169-(H169*(P169/3600))</f>
        <v>-19.5</v>
      </c>
      <c r="T169" s="0" t="n">
        <f aca="false">-H169*(O169/3600)</f>
        <v>-0.29485167471127</v>
      </c>
      <c r="U169" s="0" t="n">
        <f aca="false">T169-S169</f>
        <v>19.2051483252887</v>
      </c>
      <c r="V169" s="0" t="n">
        <f aca="false">1/(1+EXP(U169))</f>
        <v>4.56362611004571E-009</v>
      </c>
      <c r="W169" s="0" t="n">
        <f aca="true">RAND()</f>
        <v>0.727920191104198</v>
      </c>
      <c r="X169" s="0" t="n">
        <f aca="false">IF(W169&lt;V169,1,0)</f>
        <v>0</v>
      </c>
      <c r="Y169" s="0" t="n">
        <f aca="false">(M169*(1-X169)+N169*X169)*D169+M169*E169</f>
        <v>1686.04055084069</v>
      </c>
      <c r="Z169" s="0" t="n">
        <f aca="false">((1-X169)*O169+X169*P169)*D169+E169*O169</f>
        <v>37.2174854611044</v>
      </c>
      <c r="AA169" s="0" t="n">
        <f aca="false">IF(D169*X169&gt;0,AA168,Q169)</f>
        <v>3</v>
      </c>
      <c r="AB169" s="0" t="n">
        <f aca="false">(X169*D169)</f>
        <v>0</v>
      </c>
      <c r="AC169" s="0" t="n">
        <f aca="false">SUM(AB$10:AB168)/K169</f>
        <v>0</v>
      </c>
      <c r="AD169" s="0" t="n">
        <f aca="false">R169*E169+D169*(X169*S169+(1-X169)*T169)</f>
        <v>-0.155967621504378</v>
      </c>
      <c r="AE169" s="0" t="n">
        <f aca="false">Z169</f>
        <v>37.2174854611044</v>
      </c>
      <c r="AF169" s="0" t="n">
        <f aca="false">E169*O169</f>
        <v>37.2174854611044</v>
      </c>
      <c r="AG169" s="0" t="n">
        <f aca="false">((1-X169)*O169+X169*P169)*D169</f>
        <v>0</v>
      </c>
      <c r="AH169" s="0" t="n">
        <f aca="false">D169*(LN(EXP(S169)+EXP(T169)))</f>
        <v>-0</v>
      </c>
      <c r="AJ169" s="0" t="n">
        <f aca="false">$J$5</f>
        <v>10</v>
      </c>
      <c r="AK169" s="4" t="n">
        <f aca="false">AJ169+MAX(K169,AK$10:AK168)</f>
        <v>1686.04055084069</v>
      </c>
      <c r="AL169" s="5" t="n">
        <f aca="false">AK169-K169</f>
        <v>37.2174854611044</v>
      </c>
      <c r="AM169" s="0" t="n">
        <f aca="false">-G169*AL169/3600</f>
        <v>-0.155967621504378</v>
      </c>
      <c r="AN169" s="0" t="n">
        <f aca="false">-H169*AL169/3600</f>
        <v>-0.29485167471127</v>
      </c>
      <c r="AO169" s="0" t="n">
        <f aca="false">AM169*E169+AN169*D169</f>
        <v>-0.155967621504378</v>
      </c>
      <c r="AP169" s="0" t="n">
        <f aca="false">AL169*D169</f>
        <v>0</v>
      </c>
      <c r="AR169" s="0" t="n">
        <f aca="false">AN169*D169</f>
        <v>-0</v>
      </c>
      <c r="AS169" s="0" t="n">
        <f aca="false">AH169-AR169</f>
        <v>0</v>
      </c>
    </row>
    <row r="170" customFormat="false" ht="12" hidden="false" customHeight="false" outlineLevel="0" collapsed="false">
      <c r="A170" s="3" t="n">
        <f aca="false">A169+1</f>
        <v>161</v>
      </c>
      <c r="B170" s="3" t="n">
        <f aca="false">IF(A170&lt;$N$4/3,0.1,(IF(A170&gt;2*$N$4/3,0.05,0.12)))</f>
        <v>0.1</v>
      </c>
      <c r="C170" s="4" t="n">
        <f aca="true">RAND()</f>
        <v>0.225245243803408</v>
      </c>
      <c r="D170" s="0" t="n">
        <f aca="false">IF((C170&gt;$M$2),1,0)</f>
        <v>0</v>
      </c>
      <c r="E170" s="0" t="n">
        <f aca="false">1-D170</f>
        <v>1</v>
      </c>
      <c r="F170" s="0" t="n">
        <f aca="true">RAND()</f>
        <v>0.742454721507428</v>
      </c>
      <c r="G170" s="0" t="n">
        <f aca="false">7.75+F170*10</f>
        <v>15.1745472150743</v>
      </c>
      <c r="H170" s="0" t="n">
        <f aca="false">LOGINV(F170,2.64,1.139)</f>
        <v>29.4122496393945</v>
      </c>
      <c r="I170" s="0" t="n">
        <v>19.5</v>
      </c>
      <c r="J170" s="4" t="n">
        <f aca="true">-LN(RAND())/B170</f>
        <v>5.50698348384824</v>
      </c>
      <c r="K170" s="4" t="n">
        <f aca="false">K169+J170</f>
        <v>1654.33004886343</v>
      </c>
      <c r="L170" s="4" t="n">
        <f aca="false">(1/$J$4)*(1+AB169)</f>
        <v>10</v>
      </c>
      <c r="M170" s="4" t="n">
        <f aca="false">L170+MAX(K170,Y$10:Y169)</f>
        <v>1696.04055084069</v>
      </c>
      <c r="N170" s="4" t="n">
        <f aca="false">K170</f>
        <v>1654.33004886343</v>
      </c>
      <c r="O170" s="4" t="n">
        <f aca="false">M170-K170</f>
        <v>41.7105019772562</v>
      </c>
      <c r="P170" s="4" t="n">
        <f aca="false">N170-K170</f>
        <v>0</v>
      </c>
      <c r="Q170" s="4" t="n">
        <f aca="false">A170-MATCH(K170,$M$9:M169,1)</f>
        <v>4</v>
      </c>
      <c r="R170" s="0" t="n">
        <f aca="false">-G170*(O170/3600)</f>
        <v>-0.17581610600509</v>
      </c>
      <c r="S170" s="0" t="n">
        <f aca="false">-1*I170-(H170*(P170/3600))</f>
        <v>-19.5</v>
      </c>
      <c r="T170" s="0" t="n">
        <f aca="false">-H170*(O170/3600)</f>
        <v>-0.340777693538755</v>
      </c>
      <c r="U170" s="0" t="n">
        <f aca="false">T170-S170</f>
        <v>19.1592223064612</v>
      </c>
      <c r="V170" s="0" t="n">
        <f aca="false">1/(1+EXP(U170))</f>
        <v>4.7781026172688E-009</v>
      </c>
      <c r="W170" s="0" t="n">
        <f aca="true">RAND()</f>
        <v>0.970634489735686</v>
      </c>
      <c r="X170" s="0" t="n">
        <f aca="false">IF(W170&lt;V170,1,0)</f>
        <v>0</v>
      </c>
      <c r="Y170" s="0" t="n">
        <f aca="false">(M170*(1-X170)+N170*X170)*D170+M170*E170</f>
        <v>1696.04055084069</v>
      </c>
      <c r="Z170" s="0" t="n">
        <f aca="false">((1-X170)*O170+X170*P170)*D170+E170*O170</f>
        <v>41.7105019772562</v>
      </c>
      <c r="AA170" s="0" t="n">
        <f aca="false">IF(D170*X170&gt;0,AA169,Q170)</f>
        <v>4</v>
      </c>
      <c r="AB170" s="0" t="n">
        <f aca="false">(X170*D170)</f>
        <v>0</v>
      </c>
      <c r="AC170" s="0" t="n">
        <f aca="false">SUM(AB$10:AB169)/K170</f>
        <v>0</v>
      </c>
      <c r="AD170" s="0" t="n">
        <f aca="false">R170*E170+D170*(X170*S170+(1-X170)*T170)</f>
        <v>-0.17581610600509</v>
      </c>
      <c r="AE170" s="0" t="n">
        <f aca="false">Z170</f>
        <v>41.7105019772562</v>
      </c>
      <c r="AF170" s="0" t="n">
        <f aca="false">E170*O170</f>
        <v>41.7105019772562</v>
      </c>
      <c r="AG170" s="0" t="n">
        <f aca="false">((1-X170)*O170+X170*P170)*D170</f>
        <v>0</v>
      </c>
      <c r="AH170" s="0" t="n">
        <f aca="false">D170*(LN(EXP(S170)+EXP(T170)))</f>
        <v>-0</v>
      </c>
      <c r="AJ170" s="0" t="n">
        <f aca="false">$J$5</f>
        <v>10</v>
      </c>
      <c r="AK170" s="4" t="n">
        <f aca="false">AJ170+MAX(K170,AK$10:AK169)</f>
        <v>1696.04055084069</v>
      </c>
      <c r="AL170" s="5" t="n">
        <f aca="false">AK170-K170</f>
        <v>41.7105019772562</v>
      </c>
      <c r="AM170" s="0" t="n">
        <f aca="false">-G170*AL170/3600</f>
        <v>-0.17581610600509</v>
      </c>
      <c r="AN170" s="0" t="n">
        <f aca="false">-H170*AL170/3600</f>
        <v>-0.340777693538755</v>
      </c>
      <c r="AO170" s="0" t="n">
        <f aca="false">AM170*E170+AN170*D170</f>
        <v>-0.17581610600509</v>
      </c>
      <c r="AP170" s="0" t="n">
        <f aca="false">AL170*D170</f>
        <v>0</v>
      </c>
      <c r="AR170" s="0" t="n">
        <f aca="false">AN170*D170</f>
        <v>-0</v>
      </c>
      <c r="AS170" s="0" t="n">
        <f aca="false">AH170-AR170</f>
        <v>0</v>
      </c>
    </row>
    <row r="171" customFormat="false" ht="12" hidden="false" customHeight="false" outlineLevel="0" collapsed="false">
      <c r="A171" s="3" t="n">
        <f aca="false">A170+1</f>
        <v>162</v>
      </c>
      <c r="B171" s="3" t="n">
        <f aca="false">IF(A171&lt;$N$4/3,0.1,(IF(A171&gt;2*$N$4/3,0.05,0.12)))</f>
        <v>0.1</v>
      </c>
      <c r="C171" s="4" t="n">
        <f aca="true">RAND()</f>
        <v>0.358450033626735</v>
      </c>
      <c r="D171" s="0" t="n">
        <f aca="false">IF((C171&gt;$M$2),1,0)</f>
        <v>0</v>
      </c>
      <c r="E171" s="0" t="n">
        <f aca="false">1-D171</f>
        <v>1</v>
      </c>
      <c r="F171" s="0" t="n">
        <f aca="true">RAND()</f>
        <v>0.203248214921416</v>
      </c>
      <c r="G171" s="0" t="n">
        <f aca="false">7.75+F171*10</f>
        <v>9.78248214921416</v>
      </c>
      <c r="H171" s="0" t="n">
        <f aca="false">LOGINV(F171,2.64,1.139)</f>
        <v>5.44416652910866</v>
      </c>
      <c r="I171" s="0" t="n">
        <v>19.5</v>
      </c>
      <c r="J171" s="4" t="n">
        <f aca="true">-LN(RAND())/B171</f>
        <v>24.714496852265</v>
      </c>
      <c r="K171" s="4" t="n">
        <f aca="false">K170+J171</f>
        <v>1679.0445457157</v>
      </c>
      <c r="L171" s="4" t="n">
        <f aca="false">(1/$J$4)*(1+AB170)</f>
        <v>10</v>
      </c>
      <c r="M171" s="4" t="n">
        <f aca="false">L171+MAX(K171,Y$10:Y170)</f>
        <v>1706.04055084069</v>
      </c>
      <c r="N171" s="4" t="n">
        <f aca="false">K171</f>
        <v>1679.0445457157</v>
      </c>
      <c r="O171" s="4" t="n">
        <f aca="false">M171-K171</f>
        <v>26.9960051249911</v>
      </c>
      <c r="P171" s="4" t="n">
        <f aca="false">N171-K171</f>
        <v>0</v>
      </c>
      <c r="Q171" s="4" t="n">
        <f aca="false">A171-MATCH(K171,$M$9:M170,1)</f>
        <v>2</v>
      </c>
      <c r="R171" s="0" t="n">
        <f aca="false">-G171*(O171/3600)</f>
        <v>-0.0733577606209222</v>
      </c>
      <c r="S171" s="0" t="n">
        <f aca="false">-1*I171-(H171*(P171/3600))</f>
        <v>-19.5</v>
      </c>
      <c r="T171" s="0" t="n">
        <f aca="false">-H171*(O171/3600)</f>
        <v>-0.0408252076447563</v>
      </c>
      <c r="U171" s="0" t="n">
        <f aca="false">T171-S171</f>
        <v>19.4591747923552</v>
      </c>
      <c r="V171" s="0" t="n">
        <f aca="false">1/(1+EXP(U171))</f>
        <v>3.53987367347992E-009</v>
      </c>
      <c r="W171" s="0" t="n">
        <f aca="true">RAND()</f>
        <v>0.425304857528458</v>
      </c>
      <c r="X171" s="0" t="n">
        <f aca="false">IF(W171&lt;V171,1,0)</f>
        <v>0</v>
      </c>
      <c r="Y171" s="0" t="n">
        <f aca="false">(M171*(1-X171)+N171*X171)*D171+M171*E171</f>
        <v>1706.04055084069</v>
      </c>
      <c r="Z171" s="0" t="n">
        <f aca="false">((1-X171)*O171+X171*P171)*D171+E171*O171</f>
        <v>26.9960051249911</v>
      </c>
      <c r="AA171" s="0" t="n">
        <f aca="false">IF(D171*X171&gt;0,AA170,Q171)</f>
        <v>2</v>
      </c>
      <c r="AB171" s="0" t="n">
        <f aca="false">(X171*D171)</f>
        <v>0</v>
      </c>
      <c r="AC171" s="0" t="n">
        <f aca="false">SUM(AB$10:AB170)/K171</f>
        <v>0</v>
      </c>
      <c r="AD171" s="0" t="n">
        <f aca="false">R171*E171+D171*(X171*S171+(1-X171)*T171)</f>
        <v>-0.0733577606209222</v>
      </c>
      <c r="AE171" s="0" t="n">
        <f aca="false">Z171</f>
        <v>26.9960051249911</v>
      </c>
      <c r="AF171" s="0" t="n">
        <f aca="false">E171*O171</f>
        <v>26.9960051249911</v>
      </c>
      <c r="AG171" s="0" t="n">
        <f aca="false">((1-X171)*O171+X171*P171)*D171</f>
        <v>0</v>
      </c>
      <c r="AH171" s="0" t="n">
        <f aca="false">D171*(LN(EXP(S171)+EXP(T171)))</f>
        <v>-0</v>
      </c>
      <c r="AJ171" s="0" t="n">
        <f aca="false">$J$5</f>
        <v>10</v>
      </c>
      <c r="AK171" s="4" t="n">
        <f aca="false">AJ171+MAX(K171,AK$10:AK170)</f>
        <v>1706.04055084069</v>
      </c>
      <c r="AL171" s="5" t="n">
        <f aca="false">AK171-K171</f>
        <v>26.9960051249911</v>
      </c>
      <c r="AM171" s="0" t="n">
        <f aca="false">-G171*AL171/3600</f>
        <v>-0.0733577606209222</v>
      </c>
      <c r="AN171" s="0" t="n">
        <f aca="false">-H171*AL171/3600</f>
        <v>-0.0408252076447563</v>
      </c>
      <c r="AO171" s="0" t="n">
        <f aca="false">AM171*E171+AN171*D171</f>
        <v>-0.0733577606209222</v>
      </c>
      <c r="AP171" s="0" t="n">
        <f aca="false">AL171*D171</f>
        <v>0</v>
      </c>
      <c r="AR171" s="0" t="n">
        <f aca="false">AN171*D171</f>
        <v>-0</v>
      </c>
      <c r="AS171" s="0" t="n">
        <f aca="false">AH171-AR171</f>
        <v>0</v>
      </c>
    </row>
    <row r="172" customFormat="false" ht="12" hidden="false" customHeight="false" outlineLevel="0" collapsed="false">
      <c r="A172" s="3" t="n">
        <f aca="false">A171+1</f>
        <v>163</v>
      </c>
      <c r="B172" s="3" t="n">
        <f aca="false">IF(A172&lt;$N$4/3,0.1,(IF(A172&gt;2*$N$4/3,0.05,0.12)))</f>
        <v>0.1</v>
      </c>
      <c r="C172" s="4" t="n">
        <f aca="true">RAND()</f>
        <v>0.140912263343549</v>
      </c>
      <c r="D172" s="0" t="n">
        <f aca="false">IF((C172&gt;$M$2),1,0)</f>
        <v>0</v>
      </c>
      <c r="E172" s="0" t="n">
        <f aca="false">1-D172</f>
        <v>1</v>
      </c>
      <c r="F172" s="0" t="n">
        <f aca="true">RAND()</f>
        <v>0.599567994472956</v>
      </c>
      <c r="G172" s="0" t="n">
        <f aca="false">7.75+F172*10</f>
        <v>13.7456799447296</v>
      </c>
      <c r="H172" s="0" t="n">
        <f aca="false">LOGINV(F172,2.64,1.139)</f>
        <v>18.6769269429232</v>
      </c>
      <c r="I172" s="0" t="n">
        <v>19.5</v>
      </c>
      <c r="J172" s="4" t="n">
        <f aca="true">-LN(RAND())/B172</f>
        <v>16.6454723355036</v>
      </c>
      <c r="K172" s="4" t="n">
        <f aca="false">K171+J172</f>
        <v>1695.6900180512</v>
      </c>
      <c r="L172" s="4" t="n">
        <f aca="false">(1/$J$4)*(1+AB171)</f>
        <v>10</v>
      </c>
      <c r="M172" s="4" t="n">
        <f aca="false">L172+MAX(K172,Y$10:Y171)</f>
        <v>1716.04055084069</v>
      </c>
      <c r="N172" s="4" t="n">
        <f aca="false">K172</f>
        <v>1695.6900180512</v>
      </c>
      <c r="O172" s="4" t="n">
        <f aca="false">M172-K172</f>
        <v>20.3505327894875</v>
      </c>
      <c r="P172" s="4" t="n">
        <f aca="false">N172-K172</f>
        <v>0</v>
      </c>
      <c r="Q172" s="4" t="n">
        <f aca="false">A172-MATCH(K172,$M$9:M171,1)</f>
        <v>2</v>
      </c>
      <c r="R172" s="0" t="n">
        <f aca="false">-G172*(O172/3600)</f>
        <v>-0.0777033084525054</v>
      </c>
      <c r="S172" s="0" t="n">
        <f aca="false">-1*I172-(H172*(P172/3600))</f>
        <v>-19.5</v>
      </c>
      <c r="T172" s="0" t="n">
        <f aca="false">-H172*(O172/3600)</f>
        <v>-0.105579281710783</v>
      </c>
      <c r="U172" s="0" t="n">
        <f aca="false">T172-S172</f>
        <v>19.3944207182892</v>
      </c>
      <c r="V172" s="0" t="n">
        <f aca="false">1/(1+EXP(U172))</f>
        <v>3.77667923735549E-009</v>
      </c>
      <c r="W172" s="0" t="n">
        <f aca="true">RAND()</f>
        <v>0.626589318698764</v>
      </c>
      <c r="X172" s="0" t="n">
        <f aca="false">IF(W172&lt;V172,1,0)</f>
        <v>0</v>
      </c>
      <c r="Y172" s="0" t="n">
        <f aca="false">(M172*(1-X172)+N172*X172)*D172+M172*E172</f>
        <v>1716.04055084069</v>
      </c>
      <c r="Z172" s="0" t="n">
        <f aca="false">((1-X172)*O172+X172*P172)*D172+E172*O172</f>
        <v>20.3505327894875</v>
      </c>
      <c r="AA172" s="0" t="n">
        <f aca="false">IF(D172*X172&gt;0,AA171,Q172)</f>
        <v>2</v>
      </c>
      <c r="AB172" s="0" t="n">
        <f aca="false">(X172*D172)</f>
        <v>0</v>
      </c>
      <c r="AC172" s="0" t="n">
        <f aca="false">SUM(AB$10:AB171)/K172</f>
        <v>0</v>
      </c>
      <c r="AD172" s="0" t="n">
        <f aca="false">R172*E172+D172*(X172*S172+(1-X172)*T172)</f>
        <v>-0.0777033084525054</v>
      </c>
      <c r="AE172" s="0" t="n">
        <f aca="false">Z172</f>
        <v>20.3505327894875</v>
      </c>
      <c r="AF172" s="0" t="n">
        <f aca="false">E172*O172</f>
        <v>20.3505327894875</v>
      </c>
      <c r="AG172" s="0" t="n">
        <f aca="false">((1-X172)*O172+X172*P172)*D172</f>
        <v>0</v>
      </c>
      <c r="AH172" s="0" t="n">
        <f aca="false">D172*(LN(EXP(S172)+EXP(T172)))</f>
        <v>-0</v>
      </c>
      <c r="AJ172" s="0" t="n">
        <f aca="false">$J$5</f>
        <v>10</v>
      </c>
      <c r="AK172" s="4" t="n">
        <f aca="false">AJ172+MAX(K172,AK$10:AK171)</f>
        <v>1716.04055084069</v>
      </c>
      <c r="AL172" s="5" t="n">
        <f aca="false">AK172-K172</f>
        <v>20.3505327894875</v>
      </c>
      <c r="AM172" s="0" t="n">
        <f aca="false">-G172*AL172/3600</f>
        <v>-0.0777033084525054</v>
      </c>
      <c r="AN172" s="0" t="n">
        <f aca="false">-H172*AL172/3600</f>
        <v>-0.105579281710783</v>
      </c>
      <c r="AO172" s="0" t="n">
        <f aca="false">AM172*E172+AN172*D172</f>
        <v>-0.0777033084525054</v>
      </c>
      <c r="AP172" s="0" t="n">
        <f aca="false">AL172*D172</f>
        <v>0</v>
      </c>
      <c r="AR172" s="0" t="n">
        <f aca="false">AN172*D172</f>
        <v>-0</v>
      </c>
      <c r="AS172" s="0" t="n">
        <f aca="false">AH172-AR172</f>
        <v>0</v>
      </c>
    </row>
    <row r="173" customFormat="false" ht="12" hidden="false" customHeight="false" outlineLevel="0" collapsed="false">
      <c r="A173" s="3" t="n">
        <f aca="false">A172+1</f>
        <v>164</v>
      </c>
      <c r="B173" s="3" t="n">
        <f aca="false">IF(A173&lt;$N$4/3,0.1,(IF(A173&gt;2*$N$4/3,0.05,0.12)))</f>
        <v>0.1</v>
      </c>
      <c r="C173" s="4" t="n">
        <f aca="true">RAND()</f>
        <v>0.634401234508608</v>
      </c>
      <c r="D173" s="0" t="n">
        <f aca="false">IF((C173&gt;$M$2),1,0)</f>
        <v>0</v>
      </c>
      <c r="E173" s="0" t="n">
        <f aca="false">1-D173</f>
        <v>1</v>
      </c>
      <c r="F173" s="0" t="n">
        <f aca="true">RAND()</f>
        <v>0.552583601659336</v>
      </c>
      <c r="G173" s="0" t="n">
        <f aca="false">7.75+F173*10</f>
        <v>13.2758360165934</v>
      </c>
      <c r="H173" s="0" t="n">
        <f aca="false">LOGINV(F173,2.64,1.139)</f>
        <v>16.2902400418473</v>
      </c>
      <c r="I173" s="0" t="n">
        <v>19.5</v>
      </c>
      <c r="J173" s="4" t="n">
        <f aca="true">-LN(RAND())/B173</f>
        <v>1.82544215453459</v>
      </c>
      <c r="K173" s="4" t="n">
        <f aca="false">K172+J173</f>
        <v>1697.51546020573</v>
      </c>
      <c r="L173" s="4" t="n">
        <f aca="false">(1/$J$4)*(1+AB172)</f>
        <v>10</v>
      </c>
      <c r="M173" s="4" t="n">
        <f aca="false">L173+MAX(K173,Y$10:Y172)</f>
        <v>1726.04055084069</v>
      </c>
      <c r="N173" s="4" t="n">
        <f aca="false">K173</f>
        <v>1697.51546020573</v>
      </c>
      <c r="O173" s="4" t="n">
        <f aca="false">M173-K173</f>
        <v>28.5250906349529</v>
      </c>
      <c r="P173" s="4" t="n">
        <f aca="false">N173-K173</f>
        <v>0</v>
      </c>
      <c r="Q173" s="4" t="n">
        <f aca="false">A173-MATCH(K173,$M$9:M172,1)</f>
        <v>2</v>
      </c>
      <c r="R173" s="0" t="n">
        <f aca="false">-G173*(O173/3600)</f>
        <v>-0.105192896007805</v>
      </c>
      <c r="S173" s="0" t="n">
        <f aca="false">-1*I173-(H173*(P173/3600))</f>
        <v>-19.5</v>
      </c>
      <c r="T173" s="0" t="n">
        <f aca="false">-H173*(O173/3600)</f>
        <v>-0.129077937127454</v>
      </c>
      <c r="U173" s="0" t="n">
        <f aca="false">T173-S173</f>
        <v>19.3709220628725</v>
      </c>
      <c r="V173" s="0" t="n">
        <f aca="false">1/(1+EXP(U173))</f>
        <v>3.86647705293359E-009</v>
      </c>
      <c r="W173" s="0" t="n">
        <f aca="true">RAND()</f>
        <v>0.920744407178639</v>
      </c>
      <c r="X173" s="0" t="n">
        <f aca="false">IF(W173&lt;V173,1,0)</f>
        <v>0</v>
      </c>
      <c r="Y173" s="0" t="n">
        <f aca="false">(M173*(1-X173)+N173*X173)*D173+M173*E173</f>
        <v>1726.04055084069</v>
      </c>
      <c r="Z173" s="0" t="n">
        <f aca="false">((1-X173)*O173+X173*P173)*D173+E173*O173</f>
        <v>28.5250906349529</v>
      </c>
      <c r="AA173" s="0" t="n">
        <f aca="false">IF(D173*X173&gt;0,AA172,Q173)</f>
        <v>2</v>
      </c>
      <c r="AB173" s="0" t="n">
        <f aca="false">(X173*D173)</f>
        <v>0</v>
      </c>
      <c r="AC173" s="0" t="n">
        <f aca="false">SUM(AB$10:AB172)/K173</f>
        <v>0</v>
      </c>
      <c r="AD173" s="0" t="n">
        <f aca="false">R173*E173+D173*(X173*S173+(1-X173)*T173)</f>
        <v>-0.105192896007805</v>
      </c>
      <c r="AE173" s="0" t="n">
        <f aca="false">Z173</f>
        <v>28.5250906349529</v>
      </c>
      <c r="AF173" s="0" t="n">
        <f aca="false">E173*O173</f>
        <v>28.5250906349529</v>
      </c>
      <c r="AG173" s="0" t="n">
        <f aca="false">((1-X173)*O173+X173*P173)*D173</f>
        <v>0</v>
      </c>
      <c r="AH173" s="0" t="n">
        <f aca="false">D173*(LN(EXP(S173)+EXP(T173)))</f>
        <v>-0</v>
      </c>
      <c r="AJ173" s="0" t="n">
        <f aca="false">$J$5</f>
        <v>10</v>
      </c>
      <c r="AK173" s="4" t="n">
        <f aca="false">AJ173+MAX(K173,AK$10:AK172)</f>
        <v>1726.04055084069</v>
      </c>
      <c r="AL173" s="5" t="n">
        <f aca="false">AK173-K173</f>
        <v>28.5250906349529</v>
      </c>
      <c r="AM173" s="0" t="n">
        <f aca="false">-G173*AL173/3600</f>
        <v>-0.105192896007805</v>
      </c>
      <c r="AN173" s="0" t="n">
        <f aca="false">-H173*AL173/3600</f>
        <v>-0.129077937127454</v>
      </c>
      <c r="AO173" s="0" t="n">
        <f aca="false">AM173*E173+AN173*D173</f>
        <v>-0.105192896007805</v>
      </c>
      <c r="AP173" s="0" t="n">
        <f aca="false">AL173*D173</f>
        <v>0</v>
      </c>
      <c r="AR173" s="0" t="n">
        <f aca="false">AN173*D173</f>
        <v>-0</v>
      </c>
      <c r="AS173" s="0" t="n">
        <f aca="false">AH173-AR173</f>
        <v>0</v>
      </c>
    </row>
    <row r="174" customFormat="false" ht="12" hidden="false" customHeight="false" outlineLevel="0" collapsed="false">
      <c r="A174" s="3" t="n">
        <f aca="false">A173+1</f>
        <v>165</v>
      </c>
      <c r="B174" s="3" t="n">
        <f aca="false">IF(A174&lt;$N$4/3,0.1,(IF(A174&gt;2*$N$4/3,0.05,0.12)))</f>
        <v>0.1</v>
      </c>
      <c r="C174" s="4" t="n">
        <f aca="true">RAND()</f>
        <v>0.587408160990838</v>
      </c>
      <c r="D174" s="0" t="n">
        <f aca="false">IF((C174&gt;$M$2),1,0)</f>
        <v>0</v>
      </c>
      <c r="E174" s="0" t="n">
        <f aca="false">1-D174</f>
        <v>1</v>
      </c>
      <c r="F174" s="0" t="n">
        <f aca="true">RAND()</f>
        <v>0.425249396483603</v>
      </c>
      <c r="G174" s="0" t="n">
        <f aca="false">7.75+F174*10</f>
        <v>12.002493964836</v>
      </c>
      <c r="H174" s="0" t="n">
        <f aca="false">LOGINV(F174,2.64,1.139)</f>
        <v>11.3058349091819</v>
      </c>
      <c r="I174" s="0" t="n">
        <v>19.5</v>
      </c>
      <c r="J174" s="4" t="n">
        <f aca="true">-LN(RAND())/B174</f>
        <v>6.6991829810439</v>
      </c>
      <c r="K174" s="4" t="n">
        <f aca="false">K173+J174</f>
        <v>1704.21464318678</v>
      </c>
      <c r="L174" s="4" t="n">
        <f aca="false">(1/$J$4)*(1+AB173)</f>
        <v>10</v>
      </c>
      <c r="M174" s="4" t="n">
        <f aca="false">L174+MAX(K174,Y$10:Y173)</f>
        <v>1736.04055084069</v>
      </c>
      <c r="N174" s="4" t="n">
        <f aca="false">K174</f>
        <v>1704.21464318678</v>
      </c>
      <c r="O174" s="4" t="n">
        <f aca="false">M174-K174</f>
        <v>31.8259076539091</v>
      </c>
      <c r="P174" s="4" t="n">
        <f aca="false">N174-K174</f>
        <v>0</v>
      </c>
      <c r="Q174" s="4" t="n">
        <f aca="false">A174-MATCH(K174,$M$9:M173,1)</f>
        <v>3</v>
      </c>
      <c r="R174" s="0" t="n">
        <f aca="false">-G174*(O174/3600)</f>
        <v>-0.106108406817076</v>
      </c>
      <c r="S174" s="0" t="n">
        <f aca="false">-1*I174-(H174*(P174/3600))</f>
        <v>-19.5</v>
      </c>
      <c r="T174" s="0" t="n">
        <f aca="false">-H174*(O174/3600)</f>
        <v>-0.0999495716027676</v>
      </c>
      <c r="U174" s="0" t="n">
        <f aca="false">T174-S174</f>
        <v>19.4000504283972</v>
      </c>
      <c r="V174" s="0" t="n">
        <f aca="false">1/(1+EXP(U174))</f>
        <v>3.75547736435443E-009</v>
      </c>
      <c r="W174" s="0" t="n">
        <f aca="true">RAND()</f>
        <v>0.377554967549941</v>
      </c>
      <c r="X174" s="0" t="n">
        <f aca="false">IF(W174&lt;V174,1,0)</f>
        <v>0</v>
      </c>
      <c r="Y174" s="0" t="n">
        <f aca="false">(M174*(1-X174)+N174*X174)*D174+M174*E174</f>
        <v>1736.04055084069</v>
      </c>
      <c r="Z174" s="0" t="n">
        <f aca="false">((1-X174)*O174+X174*P174)*D174+E174*O174</f>
        <v>31.8259076539091</v>
      </c>
      <c r="AA174" s="0" t="n">
        <f aca="false">IF(D174*X174&gt;0,AA173,Q174)</f>
        <v>3</v>
      </c>
      <c r="AB174" s="0" t="n">
        <f aca="false">(X174*D174)</f>
        <v>0</v>
      </c>
      <c r="AC174" s="0" t="n">
        <f aca="false">SUM(AB$10:AB173)/K174</f>
        <v>0</v>
      </c>
      <c r="AD174" s="0" t="n">
        <f aca="false">R174*E174+D174*(X174*S174+(1-X174)*T174)</f>
        <v>-0.106108406817076</v>
      </c>
      <c r="AE174" s="0" t="n">
        <f aca="false">Z174</f>
        <v>31.8259076539091</v>
      </c>
      <c r="AF174" s="0" t="n">
        <f aca="false">E174*O174</f>
        <v>31.8259076539091</v>
      </c>
      <c r="AG174" s="0" t="n">
        <f aca="false">((1-X174)*O174+X174*P174)*D174</f>
        <v>0</v>
      </c>
      <c r="AH174" s="0" t="n">
        <f aca="false">D174*(LN(EXP(S174)+EXP(T174)))</f>
        <v>-0</v>
      </c>
      <c r="AJ174" s="0" t="n">
        <f aca="false">$J$5</f>
        <v>10</v>
      </c>
      <c r="AK174" s="4" t="n">
        <f aca="false">AJ174+MAX(K174,AK$10:AK173)</f>
        <v>1736.04055084069</v>
      </c>
      <c r="AL174" s="5" t="n">
        <f aca="false">AK174-K174</f>
        <v>31.8259076539091</v>
      </c>
      <c r="AM174" s="0" t="n">
        <f aca="false">-G174*AL174/3600</f>
        <v>-0.106108406817076</v>
      </c>
      <c r="AN174" s="0" t="n">
        <f aca="false">-H174*AL174/3600</f>
        <v>-0.0999495716027676</v>
      </c>
      <c r="AO174" s="0" t="n">
        <f aca="false">AM174*E174+AN174*D174</f>
        <v>-0.106108406817076</v>
      </c>
      <c r="AP174" s="0" t="n">
        <f aca="false">AL174*D174</f>
        <v>0</v>
      </c>
      <c r="AR174" s="0" t="n">
        <f aca="false">AN174*D174</f>
        <v>-0</v>
      </c>
      <c r="AS174" s="0" t="n">
        <f aca="false">AH174-AR174</f>
        <v>0</v>
      </c>
    </row>
    <row r="175" customFormat="false" ht="12" hidden="false" customHeight="false" outlineLevel="0" collapsed="false">
      <c r="A175" s="3" t="n">
        <f aca="false">A174+1</f>
        <v>166</v>
      </c>
      <c r="B175" s="3" t="n">
        <f aca="false">IF(A175&lt;$N$4/3,0.1,(IF(A175&gt;2*$N$4/3,0.05,0.12)))</f>
        <v>0.1</v>
      </c>
      <c r="C175" s="4" t="n">
        <f aca="true">RAND()</f>
        <v>0.207984383021017</v>
      </c>
      <c r="D175" s="0" t="n">
        <f aca="false">IF((C175&gt;$M$2),1,0)</f>
        <v>0</v>
      </c>
      <c r="E175" s="0" t="n">
        <f aca="false">1-D175</f>
        <v>1</v>
      </c>
      <c r="F175" s="0" t="n">
        <f aca="true">RAND()</f>
        <v>0.767628109283073</v>
      </c>
      <c r="G175" s="0" t="n">
        <f aca="false">7.75+F175*10</f>
        <v>15.4262810928307</v>
      </c>
      <c r="H175" s="0" t="n">
        <f aca="false">LOGINV(F175,2.64,1.139)</f>
        <v>32.2228220273542</v>
      </c>
      <c r="I175" s="0" t="n">
        <v>19.5</v>
      </c>
      <c r="J175" s="4" t="n">
        <f aca="true">-LN(RAND())/B175</f>
        <v>1.45861103243782</v>
      </c>
      <c r="K175" s="4" t="n">
        <f aca="false">K174+J175</f>
        <v>1705.67325421922</v>
      </c>
      <c r="L175" s="4" t="n">
        <f aca="false">(1/$J$4)*(1+AB174)</f>
        <v>10</v>
      </c>
      <c r="M175" s="4" t="n">
        <f aca="false">L175+MAX(K175,Y$10:Y174)</f>
        <v>1746.04055084069</v>
      </c>
      <c r="N175" s="4" t="n">
        <f aca="false">K175</f>
        <v>1705.67325421922</v>
      </c>
      <c r="O175" s="4" t="n">
        <f aca="false">M175-K175</f>
        <v>40.3672966214713</v>
      </c>
      <c r="P175" s="4" t="n">
        <f aca="false">N175-K175</f>
        <v>0</v>
      </c>
      <c r="Q175" s="4" t="n">
        <f aca="false">A175-MATCH(K175,$M$9:M174,1)</f>
        <v>4</v>
      </c>
      <c r="R175" s="0" t="n">
        <f aca="false">-G175*(O175/3600)</f>
        <v>-0.172977017955692</v>
      </c>
      <c r="S175" s="0" t="n">
        <f aca="false">-1*I175-(H175*(P175/3600))</f>
        <v>-19.5</v>
      </c>
      <c r="T175" s="0" t="n">
        <f aca="false">-H175*(O175/3600)</f>
        <v>-0.361318948544191</v>
      </c>
      <c r="U175" s="0" t="n">
        <f aca="false">T175-S175</f>
        <v>19.1386810514558</v>
      </c>
      <c r="V175" s="0" t="n">
        <f aca="false">1/(1+EXP(U175))</f>
        <v>4.87726582269332E-009</v>
      </c>
      <c r="W175" s="0" t="n">
        <f aca="true">RAND()</f>
        <v>0.117429572848486</v>
      </c>
      <c r="X175" s="0" t="n">
        <f aca="false">IF(W175&lt;V175,1,0)</f>
        <v>0</v>
      </c>
      <c r="Y175" s="0" t="n">
        <f aca="false">(M175*(1-X175)+N175*X175)*D175+M175*E175</f>
        <v>1746.04055084069</v>
      </c>
      <c r="Z175" s="0" t="n">
        <f aca="false">((1-X175)*O175+X175*P175)*D175+E175*O175</f>
        <v>40.3672966214713</v>
      </c>
      <c r="AA175" s="0" t="n">
        <f aca="false">IF(D175*X175&gt;0,AA174,Q175)</f>
        <v>4</v>
      </c>
      <c r="AB175" s="0" t="n">
        <f aca="false">(X175*D175)</f>
        <v>0</v>
      </c>
      <c r="AC175" s="0" t="n">
        <f aca="false">SUM(AB$10:AB174)/K175</f>
        <v>0</v>
      </c>
      <c r="AD175" s="0" t="n">
        <f aca="false">R175*E175+D175*(X175*S175+(1-X175)*T175)</f>
        <v>-0.172977017955692</v>
      </c>
      <c r="AE175" s="0" t="n">
        <f aca="false">Z175</f>
        <v>40.3672966214713</v>
      </c>
      <c r="AF175" s="0" t="n">
        <f aca="false">E175*O175</f>
        <v>40.3672966214713</v>
      </c>
      <c r="AG175" s="0" t="n">
        <f aca="false">((1-X175)*O175+X175*P175)*D175</f>
        <v>0</v>
      </c>
      <c r="AH175" s="0" t="n">
        <f aca="false">D175*(LN(EXP(S175)+EXP(T175)))</f>
        <v>-0</v>
      </c>
      <c r="AJ175" s="0" t="n">
        <f aca="false">$J$5</f>
        <v>10</v>
      </c>
      <c r="AK175" s="4" t="n">
        <f aca="false">AJ175+MAX(K175,AK$10:AK174)</f>
        <v>1746.04055084069</v>
      </c>
      <c r="AL175" s="5" t="n">
        <f aca="false">AK175-K175</f>
        <v>40.3672966214713</v>
      </c>
      <c r="AM175" s="0" t="n">
        <f aca="false">-G175*AL175/3600</f>
        <v>-0.172977017955692</v>
      </c>
      <c r="AN175" s="0" t="n">
        <f aca="false">-H175*AL175/3600</f>
        <v>-0.361318948544191</v>
      </c>
      <c r="AO175" s="0" t="n">
        <f aca="false">AM175*E175+AN175*D175</f>
        <v>-0.172977017955692</v>
      </c>
      <c r="AP175" s="0" t="n">
        <f aca="false">AL175*D175</f>
        <v>0</v>
      </c>
      <c r="AR175" s="0" t="n">
        <f aca="false">AN175*D175</f>
        <v>-0</v>
      </c>
      <c r="AS175" s="0" t="n">
        <f aca="false">AH175-AR175</f>
        <v>0</v>
      </c>
    </row>
    <row r="176" customFormat="false" ht="12" hidden="false" customHeight="false" outlineLevel="0" collapsed="false">
      <c r="A176" s="3" t="n">
        <f aca="false">A175+1</f>
        <v>167</v>
      </c>
      <c r="B176" s="3" t="n">
        <f aca="false">IF(A176&lt;$N$4/3,0.1,(IF(A176&gt;2*$N$4/3,0.05,0.12)))</f>
        <v>0.1</v>
      </c>
      <c r="C176" s="4" t="n">
        <f aca="true">RAND()</f>
        <v>0.548886078219468</v>
      </c>
      <c r="D176" s="0" t="n">
        <f aca="false">IF((C176&gt;$M$2),1,0)</f>
        <v>0</v>
      </c>
      <c r="E176" s="0" t="n">
        <f aca="false">1-D176</f>
        <v>1</v>
      </c>
      <c r="F176" s="0" t="n">
        <f aca="true">RAND()</f>
        <v>0.229370660436093</v>
      </c>
      <c r="G176" s="0" t="n">
        <f aca="false">7.75+F176*10</f>
        <v>10.0437066043609</v>
      </c>
      <c r="H176" s="0" t="n">
        <f aca="false">LOGINV(F176,2.64,1.139)</f>
        <v>6.02604520174216</v>
      </c>
      <c r="I176" s="0" t="n">
        <v>19.5</v>
      </c>
      <c r="J176" s="4" t="n">
        <f aca="true">-LN(RAND())/B176</f>
        <v>19.9192239887324</v>
      </c>
      <c r="K176" s="4" t="n">
        <f aca="false">K175+J176</f>
        <v>1725.59247820795</v>
      </c>
      <c r="L176" s="4" t="n">
        <f aca="false">(1/$J$4)*(1+AB175)</f>
        <v>10</v>
      </c>
      <c r="M176" s="4" t="n">
        <f aca="false">L176+MAX(K176,Y$10:Y175)</f>
        <v>1756.04055084069</v>
      </c>
      <c r="N176" s="4" t="n">
        <f aca="false">K176</f>
        <v>1725.59247820795</v>
      </c>
      <c r="O176" s="4" t="n">
        <f aca="false">M176-K176</f>
        <v>30.448072632739</v>
      </c>
      <c r="P176" s="4" t="n">
        <f aca="false">N176-K176</f>
        <v>0</v>
      </c>
      <c r="Q176" s="4" t="n">
        <f aca="false">A176-MATCH(K176,$M$9:M175,1)</f>
        <v>3</v>
      </c>
      <c r="R176" s="0" t="n">
        <f aca="false">-G176*(O176/3600)</f>
        <v>-0.0849476411643061</v>
      </c>
      <c r="S176" s="0" t="n">
        <f aca="false">-1*I176-(H176*(P176/3600))</f>
        <v>-19.5</v>
      </c>
      <c r="T176" s="0" t="n">
        <f aca="false">-H176*(O176/3600)</f>
        <v>-0.0509670727752261</v>
      </c>
      <c r="U176" s="0" t="n">
        <f aca="false">T176-S176</f>
        <v>19.4490329272248</v>
      </c>
      <c r="V176" s="0" t="n">
        <f aca="false">1/(1+EXP(U176))</f>
        <v>3.57595726288724E-009</v>
      </c>
      <c r="W176" s="0" t="n">
        <f aca="true">RAND()</f>
        <v>0.212282963125239</v>
      </c>
      <c r="X176" s="0" t="n">
        <f aca="false">IF(W176&lt;V176,1,0)</f>
        <v>0</v>
      </c>
      <c r="Y176" s="0" t="n">
        <f aca="false">(M176*(1-X176)+N176*X176)*D176+M176*E176</f>
        <v>1756.04055084069</v>
      </c>
      <c r="Z176" s="0" t="n">
        <f aca="false">((1-X176)*O176+X176*P176)*D176+E176*O176</f>
        <v>30.448072632739</v>
      </c>
      <c r="AA176" s="0" t="n">
        <f aca="false">IF(D176*X176&gt;0,AA175,Q176)</f>
        <v>3</v>
      </c>
      <c r="AB176" s="0" t="n">
        <f aca="false">(X176*D176)</f>
        <v>0</v>
      </c>
      <c r="AC176" s="0" t="n">
        <f aca="false">SUM(AB$10:AB175)/K176</f>
        <v>0</v>
      </c>
      <c r="AD176" s="0" t="n">
        <f aca="false">R176*E176+D176*(X176*S176+(1-X176)*T176)</f>
        <v>-0.0849476411643061</v>
      </c>
      <c r="AE176" s="0" t="n">
        <f aca="false">Z176</f>
        <v>30.448072632739</v>
      </c>
      <c r="AF176" s="0" t="n">
        <f aca="false">E176*O176</f>
        <v>30.448072632739</v>
      </c>
      <c r="AG176" s="0" t="n">
        <f aca="false">((1-X176)*O176+X176*P176)*D176</f>
        <v>0</v>
      </c>
      <c r="AH176" s="0" t="n">
        <f aca="false">D176*(LN(EXP(S176)+EXP(T176)))</f>
        <v>-0</v>
      </c>
      <c r="AJ176" s="0" t="n">
        <f aca="false">$J$5</f>
        <v>10</v>
      </c>
      <c r="AK176" s="4" t="n">
        <f aca="false">AJ176+MAX(K176,AK$10:AK175)</f>
        <v>1756.04055084069</v>
      </c>
      <c r="AL176" s="5" t="n">
        <f aca="false">AK176-K176</f>
        <v>30.448072632739</v>
      </c>
      <c r="AM176" s="0" t="n">
        <f aca="false">-G176*AL176/3600</f>
        <v>-0.0849476411643061</v>
      </c>
      <c r="AN176" s="0" t="n">
        <f aca="false">-H176*AL176/3600</f>
        <v>-0.0509670727752261</v>
      </c>
      <c r="AO176" s="0" t="n">
        <f aca="false">AM176*E176+AN176*D176</f>
        <v>-0.0849476411643061</v>
      </c>
      <c r="AP176" s="0" t="n">
        <f aca="false">AL176*D176</f>
        <v>0</v>
      </c>
      <c r="AR176" s="0" t="n">
        <f aca="false">AN176*D176</f>
        <v>-0</v>
      </c>
      <c r="AS176" s="0" t="n">
        <f aca="false">AH176-AR176</f>
        <v>0</v>
      </c>
    </row>
    <row r="177" customFormat="false" ht="12" hidden="false" customHeight="false" outlineLevel="0" collapsed="false">
      <c r="A177" s="3" t="n">
        <f aca="false">A176+1</f>
        <v>168</v>
      </c>
      <c r="B177" s="3" t="n">
        <f aca="false">IF(A177&lt;$N$4/3,0.1,(IF(A177&gt;2*$N$4/3,0.05,0.12)))</f>
        <v>0.1</v>
      </c>
      <c r="C177" s="4" t="n">
        <f aca="true">RAND()</f>
        <v>0.14521754453131</v>
      </c>
      <c r="D177" s="0" t="n">
        <f aca="false">IF((C177&gt;$M$2),1,0)</f>
        <v>0</v>
      </c>
      <c r="E177" s="0" t="n">
        <f aca="false">1-D177</f>
        <v>1</v>
      </c>
      <c r="F177" s="0" t="n">
        <f aca="true">RAND()</f>
        <v>0.972301428787833</v>
      </c>
      <c r="G177" s="0" t="n">
        <f aca="false">7.75+F177*10</f>
        <v>17.4730142878783</v>
      </c>
      <c r="H177" s="0" t="n">
        <f aca="false">LOGINV(F177,2.64,1.139)</f>
        <v>124.217902732274</v>
      </c>
      <c r="I177" s="0" t="n">
        <v>19.5</v>
      </c>
      <c r="J177" s="4" t="n">
        <f aca="true">-LN(RAND())/B177</f>
        <v>0.452745567312063</v>
      </c>
      <c r="K177" s="4" t="n">
        <f aca="false">K176+J177</f>
        <v>1726.04522377526</v>
      </c>
      <c r="L177" s="4" t="n">
        <f aca="false">(1/$J$4)*(1+AB176)</f>
        <v>10</v>
      </c>
      <c r="M177" s="4" t="n">
        <f aca="false">L177+MAX(K177,Y$10:Y176)</f>
        <v>1766.04055084069</v>
      </c>
      <c r="N177" s="4" t="n">
        <f aca="false">K177</f>
        <v>1726.04522377526</v>
      </c>
      <c r="O177" s="4" t="n">
        <f aca="false">M177-K177</f>
        <v>39.9953270654269</v>
      </c>
      <c r="P177" s="4" t="n">
        <f aca="false">N177-K177</f>
        <v>0</v>
      </c>
      <c r="Q177" s="4" t="n">
        <f aca="false">A177-MATCH(K177,$M$9:M176,1)</f>
        <v>3</v>
      </c>
      <c r="R177" s="0" t="n">
        <f aca="false">-G177*(O177/3600)</f>
        <v>-0.194121922572936</v>
      </c>
      <c r="S177" s="0" t="n">
        <f aca="false">-1*I177-(H177*(P177/3600))</f>
        <v>-19.5</v>
      </c>
      <c r="T177" s="0" t="n">
        <f aca="false">-H177*(O177/3600)</f>
        <v>-1.3800376797663</v>
      </c>
      <c r="U177" s="0" t="n">
        <f aca="false">T177-S177</f>
        <v>18.1199623202337</v>
      </c>
      <c r="V177" s="0" t="n">
        <f aca="false">1/(1+EXP(U177))</f>
        <v>1.35082890834936E-008</v>
      </c>
      <c r="W177" s="0" t="n">
        <f aca="true">RAND()</f>
        <v>0.2668754726869</v>
      </c>
      <c r="X177" s="0" t="n">
        <f aca="false">IF(W177&lt;V177,1,0)</f>
        <v>0</v>
      </c>
      <c r="Y177" s="0" t="n">
        <f aca="false">(M177*(1-X177)+N177*X177)*D177+M177*E177</f>
        <v>1766.04055084069</v>
      </c>
      <c r="Z177" s="0" t="n">
        <f aca="false">((1-X177)*O177+X177*P177)*D177+E177*O177</f>
        <v>39.9953270654269</v>
      </c>
      <c r="AA177" s="0" t="n">
        <f aca="false">IF(D177*X177&gt;0,AA176,Q177)</f>
        <v>3</v>
      </c>
      <c r="AB177" s="0" t="n">
        <f aca="false">(X177*D177)</f>
        <v>0</v>
      </c>
      <c r="AC177" s="0" t="n">
        <f aca="false">SUM(AB$10:AB176)/K177</f>
        <v>0</v>
      </c>
      <c r="AD177" s="0" t="n">
        <f aca="false">R177*E177+D177*(X177*S177+(1-X177)*T177)</f>
        <v>-0.194121922572936</v>
      </c>
      <c r="AE177" s="0" t="n">
        <f aca="false">Z177</f>
        <v>39.9953270654269</v>
      </c>
      <c r="AF177" s="0" t="n">
        <f aca="false">E177*O177</f>
        <v>39.9953270654269</v>
      </c>
      <c r="AG177" s="0" t="n">
        <f aca="false">((1-X177)*O177+X177*P177)*D177</f>
        <v>0</v>
      </c>
      <c r="AH177" s="0" t="n">
        <f aca="false">D177*(LN(EXP(S177)+EXP(T177)))</f>
        <v>-0</v>
      </c>
      <c r="AJ177" s="0" t="n">
        <f aca="false">$J$5</f>
        <v>10</v>
      </c>
      <c r="AK177" s="4" t="n">
        <f aca="false">AJ177+MAX(K177,AK$10:AK176)</f>
        <v>1766.04055084069</v>
      </c>
      <c r="AL177" s="5" t="n">
        <f aca="false">AK177-K177</f>
        <v>39.9953270654269</v>
      </c>
      <c r="AM177" s="0" t="n">
        <f aca="false">-G177*AL177/3600</f>
        <v>-0.194121922572936</v>
      </c>
      <c r="AN177" s="0" t="n">
        <f aca="false">-H177*AL177/3600</f>
        <v>-1.3800376797663</v>
      </c>
      <c r="AO177" s="0" t="n">
        <f aca="false">AM177*E177+AN177*D177</f>
        <v>-0.194121922572936</v>
      </c>
      <c r="AP177" s="0" t="n">
        <f aca="false">AL177*D177</f>
        <v>0</v>
      </c>
      <c r="AR177" s="0" t="n">
        <f aca="false">AN177*D177</f>
        <v>-0</v>
      </c>
      <c r="AS177" s="0" t="n">
        <f aca="false">AH177-AR177</f>
        <v>0</v>
      </c>
    </row>
    <row r="178" customFormat="false" ht="12" hidden="false" customHeight="false" outlineLevel="0" collapsed="false">
      <c r="A178" s="3" t="n">
        <f aca="false">A177+1</f>
        <v>169</v>
      </c>
      <c r="B178" s="3" t="n">
        <f aca="false">IF(A178&lt;$N$4/3,0.1,(IF(A178&gt;2*$N$4/3,0.05,0.12)))</f>
        <v>0.1</v>
      </c>
      <c r="C178" s="4" t="n">
        <f aca="true">RAND()</f>
        <v>0.435605336877016</v>
      </c>
      <c r="D178" s="0" t="n">
        <f aca="false">IF((C178&gt;$M$2),1,0)</f>
        <v>0</v>
      </c>
      <c r="E178" s="0" t="n">
        <f aca="false">1-D178</f>
        <v>1</v>
      </c>
      <c r="F178" s="0" t="n">
        <f aca="true">RAND()</f>
        <v>0.97608271932937</v>
      </c>
      <c r="G178" s="0" t="n">
        <f aca="false">7.75+F178*10</f>
        <v>17.5108271932937</v>
      </c>
      <c r="H178" s="0" t="n">
        <f aca="false">LOGINV(F178,2.64,1.139)</f>
        <v>133.472213706247</v>
      </c>
      <c r="I178" s="0" t="n">
        <v>19.5</v>
      </c>
      <c r="J178" s="4" t="n">
        <f aca="true">-LN(RAND())/B178</f>
        <v>0.96501713477686</v>
      </c>
      <c r="K178" s="4" t="n">
        <f aca="false">K177+J178</f>
        <v>1727.01024091004</v>
      </c>
      <c r="L178" s="4" t="n">
        <f aca="false">(1/$J$4)*(1+AB177)</f>
        <v>10</v>
      </c>
      <c r="M178" s="4" t="n">
        <f aca="false">L178+MAX(K178,Y$10:Y177)</f>
        <v>1776.04055084069</v>
      </c>
      <c r="N178" s="4" t="n">
        <f aca="false">K178</f>
        <v>1727.01024091004</v>
      </c>
      <c r="O178" s="4" t="n">
        <f aca="false">M178-K178</f>
        <v>49.03030993065</v>
      </c>
      <c r="P178" s="4" t="n">
        <f aca="false">N178-K178</f>
        <v>0</v>
      </c>
      <c r="Q178" s="4" t="n">
        <f aca="false">A178-MATCH(K178,$M$9:M177,1)</f>
        <v>4</v>
      </c>
      <c r="R178" s="0" t="n">
        <f aca="false">-G178*(O178/3600)</f>
        <v>-0.23848924567479</v>
      </c>
      <c r="S178" s="0" t="n">
        <f aca="false">-1*I178-(H178*(P178/3600))</f>
        <v>-19.5</v>
      </c>
      <c r="T178" s="0" t="n">
        <f aca="false">-H178*(O178/3600)</f>
        <v>-1.81782889031868</v>
      </c>
      <c r="U178" s="0" t="n">
        <f aca="false">T178-S178</f>
        <v>17.6821711096813</v>
      </c>
      <c r="V178" s="0" t="n">
        <f aca="false">1/(1+EXP(U178))</f>
        <v>2.0928140868143E-008</v>
      </c>
      <c r="W178" s="0" t="n">
        <f aca="true">RAND()</f>
        <v>0.249741668112114</v>
      </c>
      <c r="X178" s="0" t="n">
        <f aca="false">IF(W178&lt;V178,1,0)</f>
        <v>0</v>
      </c>
      <c r="Y178" s="0" t="n">
        <f aca="false">(M178*(1-X178)+N178*X178)*D178+M178*E178</f>
        <v>1776.04055084069</v>
      </c>
      <c r="Z178" s="0" t="n">
        <f aca="false">((1-X178)*O178+X178*P178)*D178+E178*O178</f>
        <v>49.03030993065</v>
      </c>
      <c r="AA178" s="0" t="n">
        <f aca="false">IF(D178*X178&gt;0,AA177,Q178)</f>
        <v>4</v>
      </c>
      <c r="AB178" s="0" t="n">
        <f aca="false">(X178*D178)</f>
        <v>0</v>
      </c>
      <c r="AC178" s="0" t="n">
        <f aca="false">SUM(AB$10:AB177)/K178</f>
        <v>0</v>
      </c>
      <c r="AD178" s="0" t="n">
        <f aca="false">R178*E178+D178*(X178*S178+(1-X178)*T178)</f>
        <v>-0.23848924567479</v>
      </c>
      <c r="AE178" s="0" t="n">
        <f aca="false">Z178</f>
        <v>49.03030993065</v>
      </c>
      <c r="AF178" s="0" t="n">
        <f aca="false">E178*O178</f>
        <v>49.03030993065</v>
      </c>
      <c r="AG178" s="0" t="n">
        <f aca="false">((1-X178)*O178+X178*P178)*D178</f>
        <v>0</v>
      </c>
      <c r="AH178" s="0" t="n">
        <f aca="false">D178*(LN(EXP(S178)+EXP(T178)))</f>
        <v>-0</v>
      </c>
      <c r="AJ178" s="0" t="n">
        <f aca="false">$J$5</f>
        <v>10</v>
      </c>
      <c r="AK178" s="4" t="n">
        <f aca="false">AJ178+MAX(K178,AK$10:AK177)</f>
        <v>1776.04055084069</v>
      </c>
      <c r="AL178" s="5" t="n">
        <f aca="false">AK178-K178</f>
        <v>49.03030993065</v>
      </c>
      <c r="AM178" s="0" t="n">
        <f aca="false">-G178*AL178/3600</f>
        <v>-0.23848924567479</v>
      </c>
      <c r="AN178" s="0" t="n">
        <f aca="false">-H178*AL178/3600</f>
        <v>-1.81782889031868</v>
      </c>
      <c r="AO178" s="0" t="n">
        <f aca="false">AM178*E178+AN178*D178</f>
        <v>-0.23848924567479</v>
      </c>
      <c r="AP178" s="0" t="n">
        <f aca="false">AL178*D178</f>
        <v>0</v>
      </c>
      <c r="AR178" s="0" t="n">
        <f aca="false">AN178*D178</f>
        <v>-0</v>
      </c>
      <c r="AS178" s="0" t="n">
        <f aca="false">AH178-AR178</f>
        <v>0</v>
      </c>
    </row>
    <row r="179" customFormat="false" ht="12" hidden="false" customHeight="false" outlineLevel="0" collapsed="false">
      <c r="A179" s="3" t="n">
        <f aca="false">A178+1</f>
        <v>170</v>
      </c>
      <c r="B179" s="3" t="n">
        <f aca="false">IF(A179&lt;$N$4/3,0.1,(IF(A179&gt;2*$N$4/3,0.05,0.12)))</f>
        <v>0.1</v>
      </c>
      <c r="C179" s="4" t="n">
        <f aca="true">RAND()</f>
        <v>0.607696855806175</v>
      </c>
      <c r="D179" s="0" t="n">
        <f aca="false">IF((C179&gt;$M$2),1,0)</f>
        <v>0</v>
      </c>
      <c r="E179" s="0" t="n">
        <f aca="false">1-D179</f>
        <v>1</v>
      </c>
      <c r="F179" s="0" t="n">
        <f aca="true">RAND()</f>
        <v>0.205224114385167</v>
      </c>
      <c r="G179" s="0" t="n">
        <f aca="false">7.75+F179*10</f>
        <v>9.80224114385167</v>
      </c>
      <c r="H179" s="0" t="n">
        <f aca="false">LOGINV(F179,2.64,1.139)</f>
        <v>5.48755768790667</v>
      </c>
      <c r="I179" s="0" t="n">
        <v>19.5</v>
      </c>
      <c r="J179" s="4" t="n">
        <f aca="true">-LN(RAND())/B179</f>
        <v>22.7753294106202</v>
      </c>
      <c r="K179" s="4" t="n">
        <f aca="false">K178+J179</f>
        <v>1749.78557032066</v>
      </c>
      <c r="L179" s="4" t="n">
        <f aca="false">(1/$J$4)*(1+AB178)</f>
        <v>10</v>
      </c>
      <c r="M179" s="4" t="n">
        <f aca="false">L179+MAX(K179,Y$10:Y178)</f>
        <v>1786.04055084069</v>
      </c>
      <c r="N179" s="4" t="n">
        <f aca="false">K179</f>
        <v>1749.78557032066</v>
      </c>
      <c r="O179" s="4" t="n">
        <f aca="false">M179-K179</f>
        <v>36.2549805200297</v>
      </c>
      <c r="P179" s="4" t="n">
        <f aca="false">N179-K179</f>
        <v>0</v>
      </c>
      <c r="Q179" s="4" t="n">
        <f aca="false">A179-MATCH(K179,$M$9:M178,1)</f>
        <v>3</v>
      </c>
      <c r="R179" s="0" t="n">
        <f aca="false">-G179*(O179/3600)</f>
        <v>-0.0987166838119377</v>
      </c>
      <c r="S179" s="0" t="n">
        <f aca="false">-1*I179-(H179*(P179/3600))</f>
        <v>-19.5</v>
      </c>
      <c r="T179" s="0" t="n">
        <f aca="false">-H179*(O179/3600)</f>
        <v>-0.0552642491882209</v>
      </c>
      <c r="U179" s="0" t="n">
        <f aca="false">T179-S179</f>
        <v>19.4447357508118</v>
      </c>
      <c r="V179" s="0" t="n">
        <f aca="false">1/(1+EXP(U179))</f>
        <v>3.59135684570099E-009</v>
      </c>
      <c r="W179" s="0" t="n">
        <f aca="true">RAND()</f>
        <v>0.0732107462409623</v>
      </c>
      <c r="X179" s="0" t="n">
        <f aca="false">IF(W179&lt;V179,1,0)</f>
        <v>0</v>
      </c>
      <c r="Y179" s="0" t="n">
        <f aca="false">(M179*(1-X179)+N179*X179)*D179+M179*E179</f>
        <v>1786.04055084069</v>
      </c>
      <c r="Z179" s="0" t="n">
        <f aca="false">((1-X179)*O179+X179*P179)*D179+E179*O179</f>
        <v>36.2549805200297</v>
      </c>
      <c r="AA179" s="0" t="n">
        <f aca="false">IF(D179*X179&gt;0,AA178,Q179)</f>
        <v>3</v>
      </c>
      <c r="AB179" s="0" t="n">
        <f aca="false">(X179*D179)</f>
        <v>0</v>
      </c>
      <c r="AC179" s="0" t="n">
        <f aca="false">SUM(AB$10:AB178)/K179</f>
        <v>0</v>
      </c>
      <c r="AD179" s="0" t="n">
        <f aca="false">R179*E179+D179*(X179*S179+(1-X179)*T179)</f>
        <v>-0.0987166838119377</v>
      </c>
      <c r="AE179" s="0" t="n">
        <f aca="false">Z179</f>
        <v>36.2549805200297</v>
      </c>
      <c r="AF179" s="0" t="n">
        <f aca="false">E179*O179</f>
        <v>36.2549805200297</v>
      </c>
      <c r="AG179" s="0" t="n">
        <f aca="false">((1-X179)*O179+X179*P179)*D179</f>
        <v>0</v>
      </c>
      <c r="AH179" s="0" t="n">
        <f aca="false">D179*(LN(EXP(S179)+EXP(T179)))</f>
        <v>-0</v>
      </c>
      <c r="AJ179" s="0" t="n">
        <f aca="false">$J$5</f>
        <v>10</v>
      </c>
      <c r="AK179" s="4" t="n">
        <f aca="false">AJ179+MAX(K179,AK$10:AK178)</f>
        <v>1786.04055084069</v>
      </c>
      <c r="AL179" s="5" t="n">
        <f aca="false">AK179-K179</f>
        <v>36.2549805200297</v>
      </c>
      <c r="AM179" s="0" t="n">
        <f aca="false">-G179*AL179/3600</f>
        <v>-0.0987166838119377</v>
      </c>
      <c r="AN179" s="0" t="n">
        <f aca="false">-H179*AL179/3600</f>
        <v>-0.0552642491882209</v>
      </c>
      <c r="AO179" s="0" t="n">
        <f aca="false">AM179*E179+AN179*D179</f>
        <v>-0.0987166838119377</v>
      </c>
      <c r="AP179" s="0" t="n">
        <f aca="false">AL179*D179</f>
        <v>0</v>
      </c>
      <c r="AR179" s="0" t="n">
        <f aca="false">AN179*D179</f>
        <v>-0</v>
      </c>
      <c r="AS179" s="0" t="n">
        <f aca="false">AH179-AR179</f>
        <v>0</v>
      </c>
    </row>
    <row r="180" customFormat="false" ht="12" hidden="false" customHeight="false" outlineLevel="0" collapsed="false">
      <c r="A180" s="3" t="n">
        <f aca="false">A179+1</f>
        <v>171</v>
      </c>
      <c r="B180" s="3" t="n">
        <f aca="false">IF(A180&lt;$N$4/3,0.1,(IF(A180&gt;2*$N$4/3,0.05,0.12)))</f>
        <v>0.1</v>
      </c>
      <c r="C180" s="4" t="n">
        <f aca="true">RAND()</f>
        <v>0.306670245018933</v>
      </c>
      <c r="D180" s="0" t="n">
        <f aca="false">IF((C180&gt;$M$2),1,0)</f>
        <v>0</v>
      </c>
      <c r="E180" s="0" t="n">
        <f aca="false">1-D180</f>
        <v>1</v>
      </c>
      <c r="F180" s="0" t="n">
        <f aca="true">RAND()</f>
        <v>0.597725085749359</v>
      </c>
      <c r="G180" s="0" t="n">
        <f aca="false">7.75+F180*10</f>
        <v>13.7272508574936</v>
      </c>
      <c r="H180" s="0" t="n">
        <f aca="false">LOGINV(F180,2.64,1.139)</f>
        <v>18.5758155588059</v>
      </c>
      <c r="I180" s="0" t="n">
        <v>19.5</v>
      </c>
      <c r="J180" s="4" t="n">
        <f aca="true">-LN(RAND())/B180</f>
        <v>27.1209791520558</v>
      </c>
      <c r="K180" s="4" t="n">
        <f aca="false">K179+J180</f>
        <v>1776.90654947271</v>
      </c>
      <c r="L180" s="4" t="n">
        <f aca="false">(1/$J$4)*(1+AB179)</f>
        <v>10</v>
      </c>
      <c r="M180" s="4" t="n">
        <f aca="false">L180+MAX(K180,Y$10:Y179)</f>
        <v>1796.04055084069</v>
      </c>
      <c r="N180" s="4" t="n">
        <f aca="false">K180</f>
        <v>1776.90654947271</v>
      </c>
      <c r="O180" s="4" t="n">
        <f aca="false">M180-K180</f>
        <v>19.134001367974</v>
      </c>
      <c r="P180" s="4" t="n">
        <f aca="false">N180-K180</f>
        <v>0</v>
      </c>
      <c r="Q180" s="4" t="n">
        <f aca="false">A180-MATCH(K180,$M$9:M179,1)</f>
        <v>1</v>
      </c>
      <c r="R180" s="0" t="n">
        <f aca="false">-G180*(O180/3600)</f>
        <v>-0.0729603435238344</v>
      </c>
      <c r="S180" s="0" t="n">
        <f aca="false">-1*I180-(H180*(P180/3600))</f>
        <v>-19.5</v>
      </c>
      <c r="T180" s="0" t="n">
        <f aca="false">-H180*(O180/3600)</f>
        <v>-0.0987304667537291</v>
      </c>
      <c r="U180" s="0" t="n">
        <f aca="false">T180-S180</f>
        <v>19.4012695332463</v>
      </c>
      <c r="V180" s="0" t="n">
        <f aca="false">1/(1+EXP(U180))</f>
        <v>3.750901833299E-009</v>
      </c>
      <c r="W180" s="0" t="n">
        <f aca="true">RAND()</f>
        <v>0.260253861855511</v>
      </c>
      <c r="X180" s="0" t="n">
        <f aca="false">IF(W180&lt;V180,1,0)</f>
        <v>0</v>
      </c>
      <c r="Y180" s="0" t="n">
        <f aca="false">(M180*(1-X180)+N180*X180)*D180+M180*E180</f>
        <v>1796.04055084069</v>
      </c>
      <c r="Z180" s="0" t="n">
        <f aca="false">((1-X180)*O180+X180*P180)*D180+E180*O180</f>
        <v>19.134001367974</v>
      </c>
      <c r="AA180" s="0" t="n">
        <f aca="false">IF(D180*X180&gt;0,AA179,Q180)</f>
        <v>1</v>
      </c>
      <c r="AB180" s="0" t="n">
        <f aca="false">(X180*D180)</f>
        <v>0</v>
      </c>
      <c r="AC180" s="0" t="n">
        <f aca="false">SUM(AB$10:AB179)/K180</f>
        <v>0</v>
      </c>
      <c r="AD180" s="0" t="n">
        <f aca="false">R180*E180+D180*(X180*S180+(1-X180)*T180)</f>
        <v>-0.0729603435238344</v>
      </c>
      <c r="AE180" s="0" t="n">
        <f aca="false">Z180</f>
        <v>19.134001367974</v>
      </c>
      <c r="AF180" s="0" t="n">
        <f aca="false">E180*O180</f>
        <v>19.134001367974</v>
      </c>
      <c r="AG180" s="0" t="n">
        <f aca="false">((1-X180)*O180+X180*P180)*D180</f>
        <v>0</v>
      </c>
      <c r="AH180" s="0" t="n">
        <f aca="false">D180*(LN(EXP(S180)+EXP(T180)))</f>
        <v>-0</v>
      </c>
      <c r="AJ180" s="0" t="n">
        <f aca="false">$J$5</f>
        <v>10</v>
      </c>
      <c r="AK180" s="4" t="n">
        <f aca="false">AJ180+MAX(K180,AK$10:AK179)</f>
        <v>1796.04055084069</v>
      </c>
      <c r="AL180" s="5" t="n">
        <f aca="false">AK180-K180</f>
        <v>19.134001367974</v>
      </c>
      <c r="AM180" s="0" t="n">
        <f aca="false">-G180*AL180/3600</f>
        <v>-0.0729603435238344</v>
      </c>
      <c r="AN180" s="0" t="n">
        <f aca="false">-H180*AL180/3600</f>
        <v>-0.0987304667537291</v>
      </c>
      <c r="AO180" s="0" t="n">
        <f aca="false">AM180*E180+AN180*D180</f>
        <v>-0.0729603435238344</v>
      </c>
      <c r="AP180" s="0" t="n">
        <f aca="false">AL180*D180</f>
        <v>0</v>
      </c>
      <c r="AR180" s="0" t="n">
        <f aca="false">AN180*D180</f>
        <v>-0</v>
      </c>
      <c r="AS180" s="0" t="n">
        <f aca="false">AH180-AR180</f>
        <v>0</v>
      </c>
    </row>
    <row r="181" customFormat="false" ht="12" hidden="false" customHeight="false" outlineLevel="0" collapsed="false">
      <c r="A181" s="3" t="n">
        <f aca="false">A180+1</f>
        <v>172</v>
      </c>
      <c r="B181" s="3" t="n">
        <f aca="false">IF(A181&lt;$N$4/3,0.1,(IF(A181&gt;2*$N$4/3,0.05,0.12)))</f>
        <v>0.1</v>
      </c>
      <c r="C181" s="4" t="n">
        <f aca="true">RAND()</f>
        <v>0.665568176691273</v>
      </c>
      <c r="D181" s="0" t="n">
        <f aca="false">IF((C181&gt;$M$2),1,0)</f>
        <v>0</v>
      </c>
      <c r="E181" s="0" t="n">
        <f aca="false">1-D181</f>
        <v>1</v>
      </c>
      <c r="F181" s="0" t="n">
        <f aca="true">RAND()</f>
        <v>0.144978452892347</v>
      </c>
      <c r="G181" s="0" t="n">
        <f aca="false">7.75+F181*10</f>
        <v>9.19978452892347</v>
      </c>
      <c r="H181" s="0" t="n">
        <f aca="false">LOGINV(F181,2.64,1.139)</f>
        <v>4.19835085445933</v>
      </c>
      <c r="I181" s="0" t="n">
        <v>19.5</v>
      </c>
      <c r="J181" s="4" t="n">
        <f aca="true">-LN(RAND())/B181</f>
        <v>1.03164576353906</v>
      </c>
      <c r="K181" s="4" t="n">
        <f aca="false">K180+J181</f>
        <v>1777.93819523625</v>
      </c>
      <c r="L181" s="4" t="n">
        <f aca="false">(1/$J$4)*(1+AB180)</f>
        <v>10</v>
      </c>
      <c r="M181" s="4" t="n">
        <f aca="false">L181+MAX(K181,Y$10:Y180)</f>
        <v>1806.04055084069</v>
      </c>
      <c r="N181" s="4" t="n">
        <f aca="false">K181</f>
        <v>1777.93819523625</v>
      </c>
      <c r="O181" s="4" t="n">
        <f aca="false">M181-K181</f>
        <v>28.1023556044349</v>
      </c>
      <c r="P181" s="4" t="n">
        <f aca="false">N181-K181</f>
        <v>0</v>
      </c>
      <c r="Q181" s="4" t="n">
        <f aca="false">A181-MATCH(K181,$M$9:M180,1)</f>
        <v>2</v>
      </c>
      <c r="R181" s="0" t="n">
        <f aca="false">-G181*(O181/3600)</f>
        <v>-0.0718154489766629</v>
      </c>
      <c r="S181" s="0" t="n">
        <f aca="false">-1*I181-(H181*(P181/3600))</f>
        <v>-19.5</v>
      </c>
      <c r="T181" s="0" t="n">
        <f aca="false">-H181*(O181/3600)</f>
        <v>-0.0327732079622776</v>
      </c>
      <c r="U181" s="0" t="n">
        <f aca="false">T181-S181</f>
        <v>19.4672267920377</v>
      </c>
      <c r="V181" s="0" t="n">
        <f aca="false">1/(1+EXP(U181))</f>
        <v>3.5114850578277E-009</v>
      </c>
      <c r="W181" s="0" t="n">
        <f aca="true">RAND()</f>
        <v>0.383620154069373</v>
      </c>
      <c r="X181" s="0" t="n">
        <f aca="false">IF(W181&lt;V181,1,0)</f>
        <v>0</v>
      </c>
      <c r="Y181" s="0" t="n">
        <f aca="false">(M181*(1-X181)+N181*X181)*D181+M181*E181</f>
        <v>1806.04055084069</v>
      </c>
      <c r="Z181" s="0" t="n">
        <f aca="false">((1-X181)*O181+X181*P181)*D181+E181*O181</f>
        <v>28.1023556044349</v>
      </c>
      <c r="AA181" s="0" t="n">
        <f aca="false">IF(D181*X181&gt;0,AA180,Q181)</f>
        <v>2</v>
      </c>
      <c r="AB181" s="0" t="n">
        <f aca="false">(X181*D181)</f>
        <v>0</v>
      </c>
      <c r="AC181" s="0" t="n">
        <f aca="false">SUM(AB$10:AB180)/K181</f>
        <v>0</v>
      </c>
      <c r="AD181" s="0" t="n">
        <f aca="false">R181*E181+D181*(X181*S181+(1-X181)*T181)</f>
        <v>-0.0718154489766629</v>
      </c>
      <c r="AE181" s="0" t="n">
        <f aca="false">Z181</f>
        <v>28.1023556044349</v>
      </c>
      <c r="AF181" s="0" t="n">
        <f aca="false">E181*O181</f>
        <v>28.1023556044349</v>
      </c>
      <c r="AG181" s="0" t="n">
        <f aca="false">((1-X181)*O181+X181*P181)*D181</f>
        <v>0</v>
      </c>
      <c r="AH181" s="0" t="n">
        <f aca="false">D181*(LN(EXP(S181)+EXP(T181)))</f>
        <v>-0</v>
      </c>
      <c r="AJ181" s="0" t="n">
        <f aca="false">$J$5</f>
        <v>10</v>
      </c>
      <c r="AK181" s="4" t="n">
        <f aca="false">AJ181+MAX(K181,AK$10:AK180)</f>
        <v>1806.04055084069</v>
      </c>
      <c r="AL181" s="5" t="n">
        <f aca="false">AK181-K181</f>
        <v>28.1023556044349</v>
      </c>
      <c r="AM181" s="0" t="n">
        <f aca="false">-G181*AL181/3600</f>
        <v>-0.0718154489766629</v>
      </c>
      <c r="AN181" s="0" t="n">
        <f aca="false">-H181*AL181/3600</f>
        <v>-0.0327732079622776</v>
      </c>
      <c r="AO181" s="0" t="n">
        <f aca="false">AM181*E181+AN181*D181</f>
        <v>-0.0718154489766629</v>
      </c>
      <c r="AP181" s="0" t="n">
        <f aca="false">AL181*D181</f>
        <v>0</v>
      </c>
      <c r="AR181" s="0" t="n">
        <f aca="false">AN181*D181</f>
        <v>-0</v>
      </c>
      <c r="AS181" s="0" t="n">
        <f aca="false">AH181-AR181</f>
        <v>0</v>
      </c>
    </row>
    <row r="182" customFormat="false" ht="12" hidden="false" customHeight="false" outlineLevel="0" collapsed="false">
      <c r="A182" s="3" t="n">
        <f aca="false">A181+1</f>
        <v>173</v>
      </c>
      <c r="B182" s="3" t="n">
        <f aca="false">IF(A182&lt;$N$4/3,0.1,(IF(A182&gt;2*$N$4/3,0.05,0.12)))</f>
        <v>0.1</v>
      </c>
      <c r="C182" s="4" t="n">
        <f aca="true">RAND()</f>
        <v>0.667520498313838</v>
      </c>
      <c r="D182" s="0" t="n">
        <f aca="false">IF((C182&gt;$M$2),1,0)</f>
        <v>0</v>
      </c>
      <c r="E182" s="0" t="n">
        <f aca="false">1-D182</f>
        <v>1</v>
      </c>
      <c r="F182" s="0" t="n">
        <f aca="true">RAND()</f>
        <v>0.0792546059961734</v>
      </c>
      <c r="G182" s="0" t="n">
        <f aca="false">7.75+F182*10</f>
        <v>8.54254605996173</v>
      </c>
      <c r="H182" s="0" t="n">
        <f aca="false">LOGINV(F182,2.64,1.139)</f>
        <v>2.81199009939298</v>
      </c>
      <c r="I182" s="0" t="n">
        <v>19.5</v>
      </c>
      <c r="J182" s="4" t="n">
        <f aca="true">-LN(RAND())/B182</f>
        <v>14.8817095253168</v>
      </c>
      <c r="K182" s="4" t="n">
        <f aca="false">K181+J182</f>
        <v>1792.81990476157</v>
      </c>
      <c r="L182" s="4" t="n">
        <f aca="false">(1/$J$4)*(1+AB181)</f>
        <v>10</v>
      </c>
      <c r="M182" s="4" t="n">
        <f aca="false">L182+MAX(K182,Y$10:Y181)</f>
        <v>1816.04055084069</v>
      </c>
      <c r="N182" s="4" t="n">
        <f aca="false">K182</f>
        <v>1792.81990476157</v>
      </c>
      <c r="O182" s="4" t="n">
        <f aca="false">M182-K182</f>
        <v>23.2206460791181</v>
      </c>
      <c r="P182" s="4" t="n">
        <f aca="false">N182-K182</f>
        <v>0</v>
      </c>
      <c r="Q182" s="4" t="n">
        <f aca="false">A182-MATCH(K182,$M$9:M181,1)</f>
        <v>2</v>
      </c>
      <c r="R182" s="0" t="n">
        <f aca="false">-G182*(O182/3600)</f>
        <v>-0.0551009551869266</v>
      </c>
      <c r="S182" s="0" t="n">
        <f aca="false">-1*I182-(H182*(P182/3600))</f>
        <v>-19.5</v>
      </c>
      <c r="T182" s="0" t="n">
        <f aca="false">-H182*(O182/3600)</f>
        <v>-0.0181378407988857</v>
      </c>
      <c r="U182" s="0" t="n">
        <f aca="false">T182-S182</f>
        <v>19.4818621592011</v>
      </c>
      <c r="V182" s="0" t="n">
        <f aca="false">1/(1+EXP(U182))</f>
        <v>3.46046742641507E-009</v>
      </c>
      <c r="W182" s="0" t="n">
        <f aca="true">RAND()</f>
        <v>0.282823096486722</v>
      </c>
      <c r="X182" s="0" t="n">
        <f aca="false">IF(W182&lt;V182,1,0)</f>
        <v>0</v>
      </c>
      <c r="Y182" s="0" t="n">
        <f aca="false">(M182*(1-X182)+N182*X182)*D182+M182*E182</f>
        <v>1816.04055084069</v>
      </c>
      <c r="Z182" s="0" t="n">
        <f aca="false">((1-X182)*O182+X182*P182)*D182+E182*O182</f>
        <v>23.2206460791181</v>
      </c>
      <c r="AA182" s="0" t="n">
        <f aca="false">IF(D182*X182&gt;0,AA181,Q182)</f>
        <v>2</v>
      </c>
      <c r="AB182" s="0" t="n">
        <f aca="false">(X182*D182)</f>
        <v>0</v>
      </c>
      <c r="AC182" s="0" t="n">
        <f aca="false">SUM(AB$10:AB181)/K182</f>
        <v>0</v>
      </c>
      <c r="AD182" s="0" t="n">
        <f aca="false">R182*E182+D182*(X182*S182+(1-X182)*T182)</f>
        <v>-0.0551009551869266</v>
      </c>
      <c r="AE182" s="0" t="n">
        <f aca="false">Z182</f>
        <v>23.2206460791181</v>
      </c>
      <c r="AF182" s="0" t="n">
        <f aca="false">E182*O182</f>
        <v>23.2206460791181</v>
      </c>
      <c r="AG182" s="0" t="n">
        <f aca="false">((1-X182)*O182+X182*P182)*D182</f>
        <v>0</v>
      </c>
      <c r="AH182" s="0" t="n">
        <f aca="false">D182*(LN(EXP(S182)+EXP(T182)))</f>
        <v>-0</v>
      </c>
      <c r="AJ182" s="0" t="n">
        <f aca="false">$J$5</f>
        <v>10</v>
      </c>
      <c r="AK182" s="4" t="n">
        <f aca="false">AJ182+MAX(K182,AK$10:AK181)</f>
        <v>1816.04055084069</v>
      </c>
      <c r="AL182" s="5" t="n">
        <f aca="false">AK182-K182</f>
        <v>23.2206460791181</v>
      </c>
      <c r="AM182" s="0" t="n">
        <f aca="false">-G182*AL182/3600</f>
        <v>-0.0551009551869267</v>
      </c>
      <c r="AN182" s="0" t="n">
        <f aca="false">-H182*AL182/3600</f>
        <v>-0.0181378407988857</v>
      </c>
      <c r="AO182" s="0" t="n">
        <f aca="false">AM182*E182+AN182*D182</f>
        <v>-0.0551009551869267</v>
      </c>
      <c r="AP182" s="0" t="n">
        <f aca="false">AL182*D182</f>
        <v>0</v>
      </c>
      <c r="AR182" s="0" t="n">
        <f aca="false">AN182*D182</f>
        <v>-0</v>
      </c>
      <c r="AS182" s="0" t="n">
        <f aca="false">AH182-AR182</f>
        <v>0</v>
      </c>
    </row>
    <row r="183" customFormat="false" ht="12" hidden="false" customHeight="false" outlineLevel="0" collapsed="false">
      <c r="A183" s="3" t="n">
        <f aca="false">A182+1</f>
        <v>174</v>
      </c>
      <c r="B183" s="3" t="n">
        <f aca="false">IF(A183&lt;$N$4/3,0.1,(IF(A183&gt;2*$N$4/3,0.05,0.12)))</f>
        <v>0.1</v>
      </c>
      <c r="C183" s="4" t="n">
        <f aca="true">RAND()</f>
        <v>0.409429376570132</v>
      </c>
      <c r="D183" s="0" t="n">
        <f aca="false">IF((C183&gt;$M$2),1,0)</f>
        <v>0</v>
      </c>
      <c r="E183" s="0" t="n">
        <f aca="false">1-D183</f>
        <v>1</v>
      </c>
      <c r="F183" s="0" t="n">
        <f aca="true">RAND()</f>
        <v>0.198364623516001</v>
      </c>
      <c r="G183" s="0" t="n">
        <f aca="false">7.75+F183*10</f>
        <v>9.73364623516001</v>
      </c>
      <c r="H183" s="0" t="n">
        <f aca="false">LOGINV(F183,2.64,1.139)</f>
        <v>5.33731963169497</v>
      </c>
      <c r="I183" s="0" t="n">
        <v>19.5</v>
      </c>
      <c r="J183" s="4" t="n">
        <f aca="true">-LN(RAND())/B183</f>
        <v>15.6563723796463</v>
      </c>
      <c r="K183" s="4" t="n">
        <f aca="false">K182+J183</f>
        <v>1808.47627714121</v>
      </c>
      <c r="L183" s="4" t="n">
        <f aca="false">(1/$J$4)*(1+AB182)</f>
        <v>10</v>
      </c>
      <c r="M183" s="4" t="n">
        <f aca="false">L183+MAX(K183,Y$10:Y182)</f>
        <v>1826.04055084069</v>
      </c>
      <c r="N183" s="4" t="n">
        <f aca="false">K183</f>
        <v>1808.47627714121</v>
      </c>
      <c r="O183" s="4" t="n">
        <f aca="false">M183-K183</f>
        <v>17.5642736994719</v>
      </c>
      <c r="P183" s="4" t="n">
        <f aca="false">N183-K183</f>
        <v>0</v>
      </c>
      <c r="Q183" s="4" t="n">
        <f aca="false">A183-MATCH(K183,$M$9:M182,1)</f>
        <v>1</v>
      </c>
      <c r="R183" s="0" t="n">
        <f aca="false">-G183*(O183/3600)</f>
        <v>-0.0474901184911623</v>
      </c>
      <c r="S183" s="0" t="n">
        <f aca="false">-1*I183-(H183*(P183/3600))</f>
        <v>-19.5</v>
      </c>
      <c r="T183" s="0" t="n">
        <f aca="false">-H183*(O183/3600)</f>
        <v>-0.026040595231293</v>
      </c>
      <c r="U183" s="0" t="n">
        <f aca="false">T183-S183</f>
        <v>19.4739594047687</v>
      </c>
      <c r="V183" s="0" t="n">
        <f aca="false">1/(1+EXP(U183))</f>
        <v>3.48792299502899E-009</v>
      </c>
      <c r="W183" s="0" t="n">
        <f aca="true">RAND()</f>
        <v>0.196932873929512</v>
      </c>
      <c r="X183" s="0" t="n">
        <f aca="false">IF(W183&lt;V183,1,0)</f>
        <v>0</v>
      </c>
      <c r="Y183" s="0" t="n">
        <f aca="false">(M183*(1-X183)+N183*X183)*D183+M183*E183</f>
        <v>1826.04055084069</v>
      </c>
      <c r="Z183" s="0" t="n">
        <f aca="false">((1-X183)*O183+X183*P183)*D183+E183*O183</f>
        <v>17.5642736994719</v>
      </c>
      <c r="AA183" s="0" t="n">
        <f aca="false">IF(D183*X183&gt;0,AA182,Q183)</f>
        <v>1</v>
      </c>
      <c r="AB183" s="0" t="n">
        <f aca="false">(X183*D183)</f>
        <v>0</v>
      </c>
      <c r="AC183" s="0" t="n">
        <f aca="false">SUM(AB$10:AB182)/K183</f>
        <v>0</v>
      </c>
      <c r="AD183" s="0" t="n">
        <f aca="false">R183*E183+D183*(X183*S183+(1-X183)*T183)</f>
        <v>-0.0474901184911623</v>
      </c>
      <c r="AE183" s="0" t="n">
        <f aca="false">Z183</f>
        <v>17.5642736994719</v>
      </c>
      <c r="AF183" s="0" t="n">
        <f aca="false">E183*O183</f>
        <v>17.5642736994719</v>
      </c>
      <c r="AG183" s="0" t="n">
        <f aca="false">((1-X183)*O183+X183*P183)*D183</f>
        <v>0</v>
      </c>
      <c r="AH183" s="0" t="n">
        <f aca="false">D183*(LN(EXP(S183)+EXP(T183)))</f>
        <v>-0</v>
      </c>
      <c r="AJ183" s="0" t="n">
        <f aca="false">$J$5</f>
        <v>10</v>
      </c>
      <c r="AK183" s="4" t="n">
        <f aca="false">AJ183+MAX(K183,AK$10:AK182)</f>
        <v>1826.04055084069</v>
      </c>
      <c r="AL183" s="5" t="n">
        <f aca="false">AK183-K183</f>
        <v>17.5642736994719</v>
      </c>
      <c r="AM183" s="0" t="n">
        <f aca="false">-G183*AL183/3600</f>
        <v>-0.0474901184911623</v>
      </c>
      <c r="AN183" s="0" t="n">
        <f aca="false">-H183*AL183/3600</f>
        <v>-0.026040595231293</v>
      </c>
      <c r="AO183" s="0" t="n">
        <f aca="false">AM183*E183+AN183*D183</f>
        <v>-0.0474901184911623</v>
      </c>
      <c r="AP183" s="0" t="n">
        <f aca="false">AL183*D183</f>
        <v>0</v>
      </c>
      <c r="AR183" s="0" t="n">
        <f aca="false">AN183*D183</f>
        <v>-0</v>
      </c>
      <c r="AS183" s="0" t="n">
        <f aca="false">AH183-AR183</f>
        <v>0</v>
      </c>
    </row>
    <row r="184" customFormat="false" ht="12" hidden="false" customHeight="false" outlineLevel="0" collapsed="false">
      <c r="A184" s="3" t="n">
        <f aca="false">A183+1</f>
        <v>175</v>
      </c>
      <c r="B184" s="3" t="n">
        <f aca="false">IF(A184&lt;$N$4/3,0.1,(IF(A184&gt;2*$N$4/3,0.05,0.12)))</f>
        <v>0.1</v>
      </c>
      <c r="C184" s="4" t="n">
        <f aca="true">RAND()</f>
        <v>0.428335051497352</v>
      </c>
      <c r="D184" s="0" t="n">
        <f aca="false">IF((C184&gt;$M$2),1,0)</f>
        <v>0</v>
      </c>
      <c r="E184" s="0" t="n">
        <f aca="false">1-D184</f>
        <v>1</v>
      </c>
      <c r="F184" s="0" t="n">
        <f aca="true">RAND()</f>
        <v>0.664697250017923</v>
      </c>
      <c r="G184" s="0" t="n">
        <f aca="false">7.75+F184*10</f>
        <v>14.3969725001792</v>
      </c>
      <c r="H184" s="0" t="n">
        <f aca="false">LOGINV(F184,2.64,1.139)</f>
        <v>22.7470672084741</v>
      </c>
      <c r="I184" s="0" t="n">
        <v>19.5</v>
      </c>
      <c r="J184" s="4" t="n">
        <f aca="true">-LN(RAND())/B184</f>
        <v>3.49799755130621</v>
      </c>
      <c r="K184" s="4" t="n">
        <f aca="false">K183+J184</f>
        <v>1811.97427469252</v>
      </c>
      <c r="L184" s="4" t="n">
        <f aca="false">(1/$J$4)*(1+AB183)</f>
        <v>10</v>
      </c>
      <c r="M184" s="4" t="n">
        <f aca="false">L184+MAX(K184,Y$10:Y183)</f>
        <v>1836.04055084069</v>
      </c>
      <c r="N184" s="4" t="n">
        <f aca="false">K184</f>
        <v>1811.97427469252</v>
      </c>
      <c r="O184" s="4" t="n">
        <f aca="false">M184-K184</f>
        <v>24.0662761481656</v>
      </c>
      <c r="P184" s="4" t="n">
        <f aca="false">N184-K184</f>
        <v>0</v>
      </c>
      <c r="Q184" s="4" t="n">
        <f aca="false">A184-MATCH(K184,$M$9:M183,1)</f>
        <v>2</v>
      </c>
      <c r="R184" s="0" t="n">
        <f aca="false">-G184*(O184/3600)</f>
        <v>-0.0962448655241275</v>
      </c>
      <c r="S184" s="0" t="n">
        <f aca="false">-1*I184-(H184*(P184/3600))</f>
        <v>-19.5</v>
      </c>
      <c r="T184" s="0" t="n">
        <f aca="false">-H184*(O184/3600)</f>
        <v>-0.152065889166672</v>
      </c>
      <c r="U184" s="0" t="n">
        <f aca="false">T184-S184</f>
        <v>19.3479341108333</v>
      </c>
      <c r="V184" s="0" t="n">
        <f aca="false">1/(1+EXP(U184))</f>
        <v>3.95638892713257E-009</v>
      </c>
      <c r="W184" s="0" t="n">
        <f aca="true">RAND()</f>
        <v>0.36676395027082</v>
      </c>
      <c r="X184" s="0" t="n">
        <f aca="false">IF(W184&lt;V184,1,0)</f>
        <v>0</v>
      </c>
      <c r="Y184" s="0" t="n">
        <f aca="false">(M184*(1-X184)+N184*X184)*D184+M184*E184</f>
        <v>1836.04055084069</v>
      </c>
      <c r="Z184" s="0" t="n">
        <f aca="false">((1-X184)*O184+X184*P184)*D184+E184*O184</f>
        <v>24.0662761481656</v>
      </c>
      <c r="AA184" s="0" t="n">
        <f aca="false">IF(D184*X184&gt;0,AA183,Q184)</f>
        <v>2</v>
      </c>
      <c r="AB184" s="0" t="n">
        <f aca="false">(X184*D184)</f>
        <v>0</v>
      </c>
      <c r="AC184" s="0" t="n">
        <f aca="false">SUM(AB$10:AB183)/K184</f>
        <v>0</v>
      </c>
      <c r="AD184" s="0" t="n">
        <f aca="false">R184*E184+D184*(X184*S184+(1-X184)*T184)</f>
        <v>-0.0962448655241275</v>
      </c>
      <c r="AE184" s="0" t="n">
        <f aca="false">Z184</f>
        <v>24.0662761481656</v>
      </c>
      <c r="AF184" s="0" t="n">
        <f aca="false">E184*O184</f>
        <v>24.0662761481656</v>
      </c>
      <c r="AG184" s="0" t="n">
        <f aca="false">((1-X184)*O184+X184*P184)*D184</f>
        <v>0</v>
      </c>
      <c r="AH184" s="0" t="n">
        <f aca="false">D184*(LN(EXP(S184)+EXP(T184)))</f>
        <v>-0</v>
      </c>
      <c r="AJ184" s="0" t="n">
        <f aca="false">$J$5</f>
        <v>10</v>
      </c>
      <c r="AK184" s="4" t="n">
        <f aca="false">AJ184+MAX(K184,AK$10:AK183)</f>
        <v>1836.04055084069</v>
      </c>
      <c r="AL184" s="5" t="n">
        <f aca="false">AK184-K184</f>
        <v>24.0662761481656</v>
      </c>
      <c r="AM184" s="0" t="n">
        <f aca="false">-G184*AL184/3600</f>
        <v>-0.0962448655241275</v>
      </c>
      <c r="AN184" s="0" t="n">
        <f aca="false">-H184*AL184/3600</f>
        <v>-0.152065889166672</v>
      </c>
      <c r="AO184" s="0" t="n">
        <f aca="false">AM184*E184+AN184*D184</f>
        <v>-0.0962448655241275</v>
      </c>
      <c r="AP184" s="0" t="n">
        <f aca="false">AL184*D184</f>
        <v>0</v>
      </c>
      <c r="AR184" s="0" t="n">
        <f aca="false">AN184*D184</f>
        <v>-0</v>
      </c>
      <c r="AS184" s="0" t="n">
        <f aca="false">AH184-AR184</f>
        <v>0</v>
      </c>
    </row>
    <row r="185" customFormat="false" ht="12" hidden="false" customHeight="false" outlineLevel="0" collapsed="false">
      <c r="A185" s="3" t="n">
        <f aca="false">A184+1</f>
        <v>176</v>
      </c>
      <c r="B185" s="3" t="n">
        <f aca="false">IF(A185&lt;$N$4/3,0.1,(IF(A185&gt;2*$N$4/3,0.05,0.12)))</f>
        <v>0.1</v>
      </c>
      <c r="C185" s="4" t="n">
        <f aca="true">RAND()</f>
        <v>0.489746459344165</v>
      </c>
      <c r="D185" s="0" t="n">
        <f aca="false">IF((C185&gt;$M$2),1,0)</f>
        <v>0</v>
      </c>
      <c r="E185" s="0" t="n">
        <f aca="false">1-D185</f>
        <v>1</v>
      </c>
      <c r="F185" s="0" t="n">
        <f aca="true">RAND()</f>
        <v>0.180302344406851</v>
      </c>
      <c r="G185" s="0" t="n">
        <f aca="false">7.75+F185*10</f>
        <v>9.55302344406851</v>
      </c>
      <c r="H185" s="0" t="n">
        <f aca="false">LOGINV(F185,2.64,1.139)</f>
        <v>4.94665138746282</v>
      </c>
      <c r="I185" s="0" t="n">
        <v>19.5</v>
      </c>
      <c r="J185" s="4" t="n">
        <f aca="true">-LN(RAND())/B185</f>
        <v>3.66908601495756</v>
      </c>
      <c r="K185" s="4" t="n">
        <f aca="false">K184+J185</f>
        <v>1815.64336070748</v>
      </c>
      <c r="L185" s="4" t="n">
        <f aca="false">(1/$J$4)*(1+AB184)</f>
        <v>10</v>
      </c>
      <c r="M185" s="4" t="n">
        <f aca="false">L185+MAX(K185,Y$10:Y184)</f>
        <v>1846.04055084069</v>
      </c>
      <c r="N185" s="4" t="n">
        <f aca="false">K185</f>
        <v>1815.64336070748</v>
      </c>
      <c r="O185" s="4" t="n">
        <f aca="false">M185-K185</f>
        <v>30.3971901332079</v>
      </c>
      <c r="P185" s="4" t="n">
        <f aca="false">N185-K185</f>
        <v>0</v>
      </c>
      <c r="Q185" s="4" t="n">
        <f aca="false">A185-MATCH(K185,$M$9:M184,1)</f>
        <v>3</v>
      </c>
      <c r="R185" s="0" t="n">
        <f aca="false">-G185*(O185/3600)</f>
        <v>-0.0806625194378731</v>
      </c>
      <c r="S185" s="0" t="n">
        <f aca="false">-1*I185-(H185*(P185/3600))</f>
        <v>-19.5</v>
      </c>
      <c r="T185" s="0" t="n">
        <f aca="false">-H185*(O185/3600)</f>
        <v>-0.0417678618742789</v>
      </c>
      <c r="U185" s="0" t="n">
        <f aca="false">T185-S185</f>
        <v>19.4582321381257</v>
      </c>
      <c r="V185" s="0" t="n">
        <f aca="false">1/(1+EXP(U185))</f>
        <v>3.54321212361325E-009</v>
      </c>
      <c r="W185" s="0" t="n">
        <f aca="true">RAND()</f>
        <v>0.0164469229173948</v>
      </c>
      <c r="X185" s="0" t="n">
        <f aca="false">IF(W185&lt;V185,1,0)</f>
        <v>0</v>
      </c>
      <c r="Y185" s="0" t="n">
        <f aca="false">(M185*(1-X185)+N185*X185)*D185+M185*E185</f>
        <v>1846.04055084069</v>
      </c>
      <c r="Z185" s="0" t="n">
        <f aca="false">((1-X185)*O185+X185*P185)*D185+E185*O185</f>
        <v>30.3971901332079</v>
      </c>
      <c r="AA185" s="0" t="n">
        <f aca="false">IF(D185*X185&gt;0,AA184,Q185)</f>
        <v>3</v>
      </c>
      <c r="AB185" s="0" t="n">
        <f aca="false">(X185*D185)</f>
        <v>0</v>
      </c>
      <c r="AC185" s="0" t="n">
        <f aca="false">SUM(AB$10:AB184)/K185</f>
        <v>0</v>
      </c>
      <c r="AD185" s="0" t="n">
        <f aca="false">R185*E185+D185*(X185*S185+(1-X185)*T185)</f>
        <v>-0.0806625194378731</v>
      </c>
      <c r="AE185" s="0" t="n">
        <f aca="false">Z185</f>
        <v>30.3971901332079</v>
      </c>
      <c r="AF185" s="0" t="n">
        <f aca="false">E185*O185</f>
        <v>30.3971901332079</v>
      </c>
      <c r="AG185" s="0" t="n">
        <f aca="false">((1-X185)*O185+X185*P185)*D185</f>
        <v>0</v>
      </c>
      <c r="AH185" s="0" t="n">
        <f aca="false">D185*(LN(EXP(S185)+EXP(T185)))</f>
        <v>-0</v>
      </c>
      <c r="AJ185" s="0" t="n">
        <f aca="false">$J$5</f>
        <v>10</v>
      </c>
      <c r="AK185" s="4" t="n">
        <f aca="false">AJ185+MAX(K185,AK$10:AK184)</f>
        <v>1846.04055084069</v>
      </c>
      <c r="AL185" s="5" t="n">
        <f aca="false">AK185-K185</f>
        <v>30.3971901332079</v>
      </c>
      <c r="AM185" s="0" t="n">
        <f aca="false">-G185*AL185/3600</f>
        <v>-0.0806625194378731</v>
      </c>
      <c r="AN185" s="0" t="n">
        <f aca="false">-H185*AL185/3600</f>
        <v>-0.0417678618742789</v>
      </c>
      <c r="AO185" s="0" t="n">
        <f aca="false">AM185*E185+AN185*D185</f>
        <v>-0.0806625194378731</v>
      </c>
      <c r="AP185" s="0" t="n">
        <f aca="false">AL185*D185</f>
        <v>0</v>
      </c>
      <c r="AR185" s="0" t="n">
        <f aca="false">AN185*D185</f>
        <v>-0</v>
      </c>
      <c r="AS185" s="0" t="n">
        <f aca="false">AH185-AR185</f>
        <v>0</v>
      </c>
    </row>
    <row r="186" customFormat="false" ht="12" hidden="false" customHeight="false" outlineLevel="0" collapsed="false">
      <c r="A186" s="3" t="n">
        <f aca="false">A185+1</f>
        <v>177</v>
      </c>
      <c r="B186" s="3" t="n">
        <f aca="false">IF(A186&lt;$N$4/3,0.1,(IF(A186&gt;2*$N$4/3,0.05,0.12)))</f>
        <v>0.1</v>
      </c>
      <c r="C186" s="4" t="n">
        <f aca="true">RAND()</f>
        <v>0.719225569970402</v>
      </c>
      <c r="D186" s="0" t="n">
        <f aca="false">IF((C186&gt;$M$2),1,0)</f>
        <v>0</v>
      </c>
      <c r="E186" s="0" t="n">
        <f aca="false">1-D186</f>
        <v>1</v>
      </c>
      <c r="F186" s="0" t="n">
        <f aca="true">RAND()</f>
        <v>0.260335643486362</v>
      </c>
      <c r="G186" s="0" t="n">
        <f aca="false">7.75+F186*10</f>
        <v>10.3533564348636</v>
      </c>
      <c r="H186" s="0" t="n">
        <f aca="false">LOGINV(F186,2.64,1.139)</f>
        <v>6.74234505006756</v>
      </c>
      <c r="I186" s="0" t="n">
        <v>19.5</v>
      </c>
      <c r="J186" s="4" t="n">
        <f aca="true">-LN(RAND())/B186</f>
        <v>1.30004767605269</v>
      </c>
      <c r="K186" s="4" t="n">
        <f aca="false">K185+J186</f>
        <v>1816.94340838353</v>
      </c>
      <c r="L186" s="4" t="n">
        <f aca="false">(1/$J$4)*(1+AB185)</f>
        <v>10</v>
      </c>
      <c r="M186" s="4" t="n">
        <f aca="false">L186+MAX(K186,Y$10:Y185)</f>
        <v>1856.04055084069</v>
      </c>
      <c r="N186" s="4" t="n">
        <f aca="false">K186</f>
        <v>1816.94340838353</v>
      </c>
      <c r="O186" s="4" t="n">
        <f aca="false">M186-K186</f>
        <v>39.0971424571553</v>
      </c>
      <c r="P186" s="4" t="n">
        <f aca="false">N186-K186</f>
        <v>0</v>
      </c>
      <c r="Q186" s="4" t="n">
        <f aca="false">A186-MATCH(K186,$M$9:M185,1)</f>
        <v>3</v>
      </c>
      <c r="R186" s="0" t="n">
        <f aca="false">-G186*(O186/3600)</f>
        <v>-0.112440736512102</v>
      </c>
      <c r="S186" s="0" t="n">
        <f aca="false">-1*I186-(H186*(P186/3600))</f>
        <v>-19.5</v>
      </c>
      <c r="T186" s="0" t="n">
        <f aca="false">-H186*(O186/3600)</f>
        <v>-0.0732240069216076</v>
      </c>
      <c r="U186" s="0" t="n">
        <f aca="false">T186-S186</f>
        <v>19.4267759930784</v>
      </c>
      <c r="V186" s="0" t="n">
        <f aca="false">1/(1+EXP(U186))</f>
        <v>3.65643942868772E-009</v>
      </c>
      <c r="W186" s="0" t="n">
        <f aca="true">RAND()</f>
        <v>0.0471743623941448</v>
      </c>
      <c r="X186" s="0" t="n">
        <f aca="false">IF(W186&lt;V186,1,0)</f>
        <v>0</v>
      </c>
      <c r="Y186" s="0" t="n">
        <f aca="false">(M186*(1-X186)+N186*X186)*D186+M186*E186</f>
        <v>1856.04055084069</v>
      </c>
      <c r="Z186" s="0" t="n">
        <f aca="false">((1-X186)*O186+X186*P186)*D186+E186*O186</f>
        <v>39.0971424571553</v>
      </c>
      <c r="AA186" s="0" t="n">
        <f aca="false">IF(D186*X186&gt;0,AA185,Q186)</f>
        <v>3</v>
      </c>
      <c r="AB186" s="0" t="n">
        <f aca="false">(X186*D186)</f>
        <v>0</v>
      </c>
      <c r="AC186" s="0" t="n">
        <f aca="false">SUM(AB$10:AB185)/K186</f>
        <v>0</v>
      </c>
      <c r="AD186" s="0" t="n">
        <f aca="false">R186*E186+D186*(X186*S186+(1-X186)*T186)</f>
        <v>-0.112440736512102</v>
      </c>
      <c r="AE186" s="0" t="n">
        <f aca="false">Z186</f>
        <v>39.0971424571553</v>
      </c>
      <c r="AF186" s="0" t="n">
        <f aca="false">E186*O186</f>
        <v>39.0971424571553</v>
      </c>
      <c r="AG186" s="0" t="n">
        <f aca="false">((1-X186)*O186+X186*P186)*D186</f>
        <v>0</v>
      </c>
      <c r="AH186" s="0" t="n">
        <f aca="false">D186*(LN(EXP(S186)+EXP(T186)))</f>
        <v>-0</v>
      </c>
      <c r="AJ186" s="0" t="n">
        <f aca="false">$J$5</f>
        <v>10</v>
      </c>
      <c r="AK186" s="4" t="n">
        <f aca="false">AJ186+MAX(K186,AK$10:AK185)</f>
        <v>1856.04055084069</v>
      </c>
      <c r="AL186" s="5" t="n">
        <f aca="false">AK186-K186</f>
        <v>39.0971424571553</v>
      </c>
      <c r="AM186" s="0" t="n">
        <f aca="false">-G186*AL186/3600</f>
        <v>-0.112440736512102</v>
      </c>
      <c r="AN186" s="0" t="n">
        <f aca="false">-H186*AL186/3600</f>
        <v>-0.0732240069216076</v>
      </c>
      <c r="AO186" s="0" t="n">
        <f aca="false">AM186*E186+AN186*D186</f>
        <v>-0.112440736512102</v>
      </c>
      <c r="AP186" s="0" t="n">
        <f aca="false">AL186*D186</f>
        <v>0</v>
      </c>
      <c r="AR186" s="0" t="n">
        <f aca="false">AN186*D186</f>
        <v>-0</v>
      </c>
      <c r="AS186" s="0" t="n">
        <f aca="false">AH186-AR186</f>
        <v>0</v>
      </c>
    </row>
    <row r="187" customFormat="false" ht="12" hidden="false" customHeight="false" outlineLevel="0" collapsed="false">
      <c r="A187" s="3" t="n">
        <f aca="false">A186+1</f>
        <v>178</v>
      </c>
      <c r="B187" s="3" t="n">
        <f aca="false">IF(A187&lt;$N$4/3,0.1,(IF(A187&gt;2*$N$4/3,0.05,0.12)))</f>
        <v>0.1</v>
      </c>
      <c r="C187" s="4" t="n">
        <f aca="true">RAND()</f>
        <v>0.993980703614461</v>
      </c>
      <c r="D187" s="0" t="n">
        <f aca="false">IF((C187&gt;$M$2),1,0)</f>
        <v>1</v>
      </c>
      <c r="E187" s="0" t="n">
        <f aca="false">1-D187</f>
        <v>0</v>
      </c>
      <c r="F187" s="0" t="n">
        <f aca="true">RAND()</f>
        <v>0.945879404534546</v>
      </c>
      <c r="G187" s="0" t="n">
        <f aca="false">7.75+F187*10</f>
        <v>17.2087940453455</v>
      </c>
      <c r="H187" s="0" t="n">
        <f aca="false">LOGINV(F187,2.64,1.139)</f>
        <v>87.3046418640856</v>
      </c>
      <c r="I187" s="0" t="n">
        <v>19.5</v>
      </c>
      <c r="J187" s="4" t="n">
        <f aca="true">-LN(RAND())/B187</f>
        <v>2.8842015674579</v>
      </c>
      <c r="K187" s="4" t="n">
        <f aca="false">K186+J187</f>
        <v>1819.82760995099</v>
      </c>
      <c r="L187" s="4" t="n">
        <f aca="false">(1/$J$4)*(1+AB186)</f>
        <v>10</v>
      </c>
      <c r="M187" s="4" t="n">
        <f aca="false">L187+MAX(K187,Y$10:Y186)</f>
        <v>1866.04055084069</v>
      </c>
      <c r="N187" s="4" t="n">
        <f aca="false">K187</f>
        <v>1819.82760995099</v>
      </c>
      <c r="O187" s="4" t="n">
        <f aca="false">M187-K187</f>
        <v>46.2129408896974</v>
      </c>
      <c r="P187" s="4" t="n">
        <f aca="false">N187-K187</f>
        <v>0</v>
      </c>
      <c r="Q187" s="4" t="n">
        <f aca="false">A187-MATCH(K187,$M$9:M186,1)</f>
        <v>4</v>
      </c>
      <c r="R187" s="0" t="n">
        <f aca="false">-G187*(O187/3600)</f>
        <v>-0.220908050555702</v>
      </c>
      <c r="S187" s="0" t="n">
        <f aca="false">-1*I187-(H187*(P187/3600))</f>
        <v>-19.5</v>
      </c>
      <c r="T187" s="0" t="n">
        <f aca="false">-H187*(O187/3600)</f>
        <v>-1.12072340385033</v>
      </c>
      <c r="U187" s="0" t="n">
        <f aca="false">T187-S187</f>
        <v>18.3792765961497</v>
      </c>
      <c r="V187" s="0" t="n">
        <f aca="false">1/(1+EXP(U187))</f>
        <v>1.04227324201849E-008</v>
      </c>
      <c r="W187" s="0" t="n">
        <f aca="true">RAND()</f>
        <v>0.702420301813865</v>
      </c>
      <c r="X187" s="0" t="n">
        <f aca="false">IF(W187&lt;V187,1,0)</f>
        <v>0</v>
      </c>
      <c r="Y187" s="0" t="n">
        <f aca="false">(M187*(1-X187)+N187*X187)*D187+M187*E187</f>
        <v>1866.04055084069</v>
      </c>
      <c r="Z187" s="0" t="n">
        <f aca="false">((1-X187)*O187+X187*P187)*D187+E187*O187</f>
        <v>46.2129408896974</v>
      </c>
      <c r="AA187" s="0" t="n">
        <f aca="false">IF(D187*X187&gt;0,AA186,Q187)</f>
        <v>4</v>
      </c>
      <c r="AB187" s="0" t="n">
        <f aca="false">(X187*D187)</f>
        <v>0</v>
      </c>
      <c r="AC187" s="0" t="n">
        <f aca="false">SUM(AB$10:AB186)/K187</f>
        <v>0</v>
      </c>
      <c r="AD187" s="0" t="n">
        <f aca="false">R187*E187+D187*(X187*S187+(1-X187)*T187)</f>
        <v>-1.12072340385033</v>
      </c>
      <c r="AE187" s="0" t="n">
        <f aca="false">Z187</f>
        <v>46.2129408896974</v>
      </c>
      <c r="AF187" s="0" t="n">
        <f aca="false">E187*O187</f>
        <v>0</v>
      </c>
      <c r="AG187" s="0" t="n">
        <f aca="false">((1-X187)*O187+X187*P187)*D187</f>
        <v>46.2129408896974</v>
      </c>
      <c r="AH187" s="0" t="n">
        <f aca="false">D187*(LN(EXP(S187)+EXP(T187)))</f>
        <v>-1.1207233934276</v>
      </c>
      <c r="AJ187" s="0" t="n">
        <f aca="false">$J$5</f>
        <v>10</v>
      </c>
      <c r="AK187" s="4" t="n">
        <f aca="false">AJ187+MAX(K187,AK$10:AK186)</f>
        <v>1866.04055084069</v>
      </c>
      <c r="AL187" s="5" t="n">
        <f aca="false">AK187-K187</f>
        <v>46.2129408896974</v>
      </c>
      <c r="AM187" s="0" t="n">
        <f aca="false">-G187*AL187/3600</f>
        <v>-0.220908050555702</v>
      </c>
      <c r="AN187" s="0" t="n">
        <f aca="false">-H187*AL187/3600</f>
        <v>-1.12072340385033</v>
      </c>
      <c r="AO187" s="0" t="n">
        <f aca="false">AM187*E187+AN187*D187</f>
        <v>-1.12072340385033</v>
      </c>
      <c r="AP187" s="0" t="n">
        <f aca="false">AL187*D187</f>
        <v>46.2129408896974</v>
      </c>
      <c r="AR187" s="0" t="n">
        <f aca="false">AN187*D187</f>
        <v>-1.12072340385033</v>
      </c>
      <c r="AS187" s="0" t="n">
        <f aca="false">AH187-AR187</f>
        <v>1.04227324548845E-008</v>
      </c>
    </row>
    <row r="188" customFormat="false" ht="12" hidden="false" customHeight="false" outlineLevel="0" collapsed="false">
      <c r="A188" s="3" t="n">
        <f aca="false">A187+1</f>
        <v>179</v>
      </c>
      <c r="B188" s="3" t="n">
        <f aca="false">IF(A188&lt;$N$4/3,0.1,(IF(A188&gt;2*$N$4/3,0.05,0.12)))</f>
        <v>0.1</v>
      </c>
      <c r="C188" s="4" t="n">
        <f aca="true">RAND()</f>
        <v>0.868464961462496</v>
      </c>
      <c r="D188" s="0" t="n">
        <f aca="false">IF((C188&gt;$M$2),1,0)</f>
        <v>0</v>
      </c>
      <c r="E188" s="0" t="n">
        <f aca="false">1-D188</f>
        <v>1</v>
      </c>
      <c r="F188" s="0" t="n">
        <f aca="true">RAND()</f>
        <v>0.924822661342321</v>
      </c>
      <c r="G188" s="0" t="n">
        <f aca="false">7.75+F188*10</f>
        <v>16.9982266134232</v>
      </c>
      <c r="H188" s="0" t="n">
        <f aca="false">LOGINV(F188,2.64,1.139)</f>
        <v>72.1105751460998</v>
      </c>
      <c r="I188" s="0" t="n">
        <v>19.5</v>
      </c>
      <c r="J188" s="4" t="n">
        <f aca="true">-LN(RAND())/B188</f>
        <v>46.8877678659225</v>
      </c>
      <c r="K188" s="4" t="n">
        <f aca="false">K187+J188</f>
        <v>1866.71537781691</v>
      </c>
      <c r="L188" s="4" t="n">
        <f aca="false">(1/$J$4)*(1+AB187)</f>
        <v>10</v>
      </c>
      <c r="M188" s="4" t="n">
        <f aca="false">L188+MAX(K188,Y$10:Y187)</f>
        <v>1876.71537781691</v>
      </c>
      <c r="N188" s="4" t="n">
        <f aca="false">K188</f>
        <v>1866.71537781691</v>
      </c>
      <c r="O188" s="4" t="n">
        <f aca="false">M188-K188</f>
        <v>10</v>
      </c>
      <c r="P188" s="4" t="n">
        <f aca="false">N188-K188</f>
        <v>0</v>
      </c>
      <c r="Q188" s="4" t="n">
        <f aca="false">A188-MATCH(K188,$M$9:M187,1)</f>
        <v>0</v>
      </c>
      <c r="R188" s="0" t="n">
        <f aca="false">-G188*(O188/3600)</f>
        <v>-0.0472172961483978</v>
      </c>
      <c r="S188" s="0" t="n">
        <f aca="false">-1*I188-(H188*(P188/3600))</f>
        <v>-19.5</v>
      </c>
      <c r="T188" s="0" t="n">
        <f aca="false">-H188*(O188/3600)</f>
        <v>-0.20030715318361</v>
      </c>
      <c r="U188" s="0" t="n">
        <f aca="false">T188-S188</f>
        <v>19.2996928468164</v>
      </c>
      <c r="V188" s="0" t="n">
        <f aca="false">1/(1+EXP(U188))</f>
        <v>4.15192875276673E-009</v>
      </c>
      <c r="W188" s="0" t="n">
        <f aca="true">RAND()</f>
        <v>0.113790900456785</v>
      </c>
      <c r="X188" s="0" t="n">
        <f aca="false">IF(W188&lt;V188,1,0)</f>
        <v>0</v>
      </c>
      <c r="Y188" s="0" t="n">
        <f aca="false">(M188*(1-X188)+N188*X188)*D188+M188*E188</f>
        <v>1876.71537781691</v>
      </c>
      <c r="Z188" s="0" t="n">
        <f aca="false">((1-X188)*O188+X188*P188)*D188+E188*O188</f>
        <v>10</v>
      </c>
      <c r="AA188" s="0" t="n">
        <f aca="false">IF(D188*X188&gt;0,AA187,Q188)</f>
        <v>0</v>
      </c>
      <c r="AB188" s="0" t="n">
        <f aca="false">(X188*D188)</f>
        <v>0</v>
      </c>
      <c r="AC188" s="0" t="n">
        <f aca="false">SUM(AB$10:AB187)/K188</f>
        <v>0</v>
      </c>
      <c r="AD188" s="0" t="n">
        <f aca="false">R188*E188+D188*(X188*S188+(1-X188)*T188)</f>
        <v>-0.0472172961483978</v>
      </c>
      <c r="AE188" s="0" t="n">
        <f aca="false">Z188</f>
        <v>10</v>
      </c>
      <c r="AF188" s="0" t="n">
        <f aca="false">E188*O188</f>
        <v>10</v>
      </c>
      <c r="AG188" s="0" t="n">
        <f aca="false">((1-X188)*O188+X188*P188)*D188</f>
        <v>0</v>
      </c>
      <c r="AH188" s="0" t="n">
        <f aca="false">D188*(LN(EXP(S188)+EXP(T188)))</f>
        <v>-0</v>
      </c>
      <c r="AJ188" s="0" t="n">
        <f aca="false">$J$5</f>
        <v>10</v>
      </c>
      <c r="AK188" s="4" t="n">
        <f aca="false">AJ188+MAX(K188,AK$10:AK187)</f>
        <v>1876.71537781691</v>
      </c>
      <c r="AL188" s="5" t="n">
        <f aca="false">AK188-K188</f>
        <v>10</v>
      </c>
      <c r="AM188" s="0" t="n">
        <f aca="false">-G188*AL188/3600</f>
        <v>-0.0472172961483978</v>
      </c>
      <c r="AN188" s="0" t="n">
        <f aca="false">-H188*AL188/3600</f>
        <v>-0.20030715318361</v>
      </c>
      <c r="AO188" s="0" t="n">
        <f aca="false">AM188*E188+AN188*D188</f>
        <v>-0.0472172961483978</v>
      </c>
      <c r="AP188" s="0" t="n">
        <f aca="false">AL188*D188</f>
        <v>0</v>
      </c>
      <c r="AR188" s="0" t="n">
        <f aca="false">AN188*D188</f>
        <v>-0</v>
      </c>
      <c r="AS188" s="0" t="n">
        <f aca="false">AH188-AR188</f>
        <v>0</v>
      </c>
    </row>
    <row r="189" customFormat="false" ht="12" hidden="false" customHeight="false" outlineLevel="0" collapsed="false">
      <c r="A189" s="3" t="n">
        <f aca="false">A188+1</f>
        <v>180</v>
      </c>
      <c r="B189" s="3" t="n">
        <f aca="false">IF(A189&lt;$N$4/3,0.1,(IF(A189&gt;2*$N$4/3,0.05,0.12)))</f>
        <v>0.1</v>
      </c>
      <c r="C189" s="4" t="n">
        <f aca="true">RAND()</f>
        <v>0.850518574051981</v>
      </c>
      <c r="D189" s="0" t="n">
        <f aca="false">IF((C189&gt;$M$2),1,0)</f>
        <v>0</v>
      </c>
      <c r="E189" s="0" t="n">
        <f aca="false">1-D189</f>
        <v>1</v>
      </c>
      <c r="F189" s="0" t="n">
        <f aca="true">RAND()</f>
        <v>0.920018419833453</v>
      </c>
      <c r="G189" s="0" t="n">
        <f aca="false">7.75+F189*10</f>
        <v>16.9501841983345</v>
      </c>
      <c r="H189" s="0" t="n">
        <f aca="false">LOGINV(F189,2.64,1.139)</f>
        <v>69.4437895761857</v>
      </c>
      <c r="I189" s="0" t="n">
        <v>19.5</v>
      </c>
      <c r="J189" s="4" t="n">
        <f aca="true">-LN(RAND())/B189</f>
        <v>2.99284440297873</v>
      </c>
      <c r="K189" s="4" t="n">
        <f aca="false">K188+J189</f>
        <v>1869.70822221989</v>
      </c>
      <c r="L189" s="4" t="n">
        <f aca="false">(1/$J$4)*(1+AB188)</f>
        <v>10</v>
      </c>
      <c r="M189" s="4" t="n">
        <f aca="false">L189+MAX(K189,Y$10:Y188)</f>
        <v>1886.71537781691</v>
      </c>
      <c r="N189" s="4" t="n">
        <f aca="false">K189</f>
        <v>1869.70822221989</v>
      </c>
      <c r="O189" s="4" t="n">
        <f aca="false">M189-K189</f>
        <v>17.0071555970212</v>
      </c>
      <c r="P189" s="4" t="n">
        <f aca="false">N189-K189</f>
        <v>0</v>
      </c>
      <c r="Q189" s="4" t="n">
        <f aca="false">A189-MATCH(K189,$M$9:M188,1)</f>
        <v>1</v>
      </c>
      <c r="R189" s="0" t="n">
        <f aca="false">-G189*(O189/3600)</f>
        <v>-0.0800762277942349</v>
      </c>
      <c r="S189" s="0" t="n">
        <f aca="false">-1*I189-(H189*(P189/3600))</f>
        <v>-19.5</v>
      </c>
      <c r="T189" s="0" t="n">
        <f aca="false">-H189*(O189/3600)</f>
        <v>-0.328067037380275</v>
      </c>
      <c r="U189" s="0" t="n">
        <f aca="false">T189-S189</f>
        <v>19.1719329626197</v>
      </c>
      <c r="V189" s="0" t="n">
        <f aca="false">1/(1+EXP(U189))</f>
        <v>4.71775414493141E-009</v>
      </c>
      <c r="W189" s="0" t="n">
        <f aca="true">RAND()</f>
        <v>0.116688097902643</v>
      </c>
      <c r="X189" s="0" t="n">
        <f aca="false">IF(W189&lt;V189,1,0)</f>
        <v>0</v>
      </c>
      <c r="Y189" s="0" t="n">
        <f aca="false">(M189*(1-X189)+N189*X189)*D189+M189*E189</f>
        <v>1886.71537781691</v>
      </c>
      <c r="Z189" s="0" t="n">
        <f aca="false">((1-X189)*O189+X189*P189)*D189+E189*O189</f>
        <v>17.0071555970212</v>
      </c>
      <c r="AA189" s="0" t="n">
        <f aca="false">IF(D189*X189&gt;0,AA188,Q189)</f>
        <v>1</v>
      </c>
      <c r="AB189" s="0" t="n">
        <f aca="false">(X189*D189)</f>
        <v>0</v>
      </c>
      <c r="AC189" s="0" t="n">
        <f aca="false">SUM(AB$10:AB188)/K189</f>
        <v>0</v>
      </c>
      <c r="AD189" s="0" t="n">
        <f aca="false">R189*E189+D189*(X189*S189+(1-X189)*T189)</f>
        <v>-0.0800762277942349</v>
      </c>
      <c r="AE189" s="0" t="n">
        <f aca="false">Z189</f>
        <v>17.0071555970212</v>
      </c>
      <c r="AF189" s="0" t="n">
        <f aca="false">E189*O189</f>
        <v>17.0071555970212</v>
      </c>
      <c r="AG189" s="0" t="n">
        <f aca="false">((1-X189)*O189+X189*P189)*D189</f>
        <v>0</v>
      </c>
      <c r="AH189" s="0" t="n">
        <f aca="false">D189*(LN(EXP(S189)+EXP(T189)))</f>
        <v>-0</v>
      </c>
      <c r="AJ189" s="0" t="n">
        <f aca="false">$J$5</f>
        <v>10</v>
      </c>
      <c r="AK189" s="4" t="n">
        <f aca="false">AJ189+MAX(K189,AK$10:AK188)</f>
        <v>1886.71537781691</v>
      </c>
      <c r="AL189" s="5" t="n">
        <f aca="false">AK189-K189</f>
        <v>17.0071555970212</v>
      </c>
      <c r="AM189" s="0" t="n">
        <f aca="false">-G189*AL189/3600</f>
        <v>-0.0800762277942349</v>
      </c>
      <c r="AN189" s="0" t="n">
        <f aca="false">-H189*AL189/3600</f>
        <v>-0.328067037380275</v>
      </c>
      <c r="AO189" s="0" t="n">
        <f aca="false">AM189*E189+AN189*D189</f>
        <v>-0.0800762277942349</v>
      </c>
      <c r="AP189" s="0" t="n">
        <f aca="false">AL189*D189</f>
        <v>0</v>
      </c>
      <c r="AR189" s="0" t="n">
        <f aca="false">AN189*D189</f>
        <v>-0</v>
      </c>
      <c r="AS189" s="0" t="n">
        <f aca="false">AH189-AR189</f>
        <v>0</v>
      </c>
    </row>
    <row r="190" customFormat="false" ht="12" hidden="false" customHeight="false" outlineLevel="0" collapsed="false">
      <c r="A190" s="3" t="n">
        <f aca="false">A189+1</f>
        <v>181</v>
      </c>
      <c r="B190" s="3" t="n">
        <f aca="false">IF(A190&lt;$N$4/3,0.1,(IF(A190&gt;2*$N$4/3,0.05,0.12)))</f>
        <v>0.1</v>
      </c>
      <c r="C190" s="4" t="n">
        <f aca="true">RAND()</f>
        <v>0.0385616766972021</v>
      </c>
      <c r="D190" s="0" t="n">
        <f aca="false">IF((C190&gt;$M$2),1,0)</f>
        <v>0</v>
      </c>
      <c r="E190" s="0" t="n">
        <f aca="false">1-D190</f>
        <v>1</v>
      </c>
      <c r="F190" s="0" t="n">
        <f aca="true">RAND()</f>
        <v>0.639964300839608</v>
      </c>
      <c r="G190" s="0" t="n">
        <f aca="false">7.75+F190*10</f>
        <v>14.1496430083961</v>
      </c>
      <c r="H190" s="0" t="n">
        <f aca="false">LOGINV(F190,2.64,1.139)</f>
        <v>21.0768626383499</v>
      </c>
      <c r="I190" s="0" t="n">
        <v>19.5</v>
      </c>
      <c r="J190" s="4" t="n">
        <f aca="true">-LN(RAND())/B190</f>
        <v>7.43200894210275</v>
      </c>
      <c r="K190" s="4" t="n">
        <f aca="false">K189+J190</f>
        <v>1877.14023116199</v>
      </c>
      <c r="L190" s="4" t="n">
        <f aca="false">(1/$J$4)*(1+AB189)</f>
        <v>10</v>
      </c>
      <c r="M190" s="4" t="n">
        <f aca="false">L190+MAX(K190,Y$10:Y189)</f>
        <v>1896.71537781691</v>
      </c>
      <c r="N190" s="4" t="n">
        <f aca="false">K190</f>
        <v>1877.14023116199</v>
      </c>
      <c r="O190" s="4" t="n">
        <f aca="false">M190-K190</f>
        <v>19.5751466549184</v>
      </c>
      <c r="P190" s="4" t="n">
        <f aca="false">N190-K190</f>
        <v>0</v>
      </c>
      <c r="Q190" s="4" t="n">
        <f aca="false">A190-MATCH(K190,$M$9:M189,1)</f>
        <v>1</v>
      </c>
      <c r="R190" s="0" t="n">
        <f aca="false">-G190*(O190/3600)</f>
        <v>-0.076939260278915</v>
      </c>
      <c r="S190" s="0" t="n">
        <f aca="false">-1*I190-(H190*(P190/3600))</f>
        <v>-19.5</v>
      </c>
      <c r="T190" s="0" t="n">
        <f aca="false">-H190*(O190/3600)</f>
        <v>-0.114606299214241</v>
      </c>
      <c r="U190" s="0" t="n">
        <f aca="false">T190-S190</f>
        <v>19.3853937007858</v>
      </c>
      <c r="V190" s="0" t="n">
        <f aca="false">1/(1+EXP(U190))</f>
        <v>3.81092572607924E-009</v>
      </c>
      <c r="W190" s="0" t="n">
        <f aca="true">RAND()</f>
        <v>0.606719712336001</v>
      </c>
      <c r="X190" s="0" t="n">
        <f aca="false">IF(W190&lt;V190,1,0)</f>
        <v>0</v>
      </c>
      <c r="Y190" s="0" t="n">
        <f aca="false">(M190*(1-X190)+N190*X190)*D190+M190*E190</f>
        <v>1896.71537781691</v>
      </c>
      <c r="Z190" s="0" t="n">
        <f aca="false">((1-X190)*O190+X190*P190)*D190+E190*O190</f>
        <v>19.5751466549184</v>
      </c>
      <c r="AA190" s="0" t="n">
        <f aca="false">IF(D190*X190&gt;0,AA189,Q190)</f>
        <v>1</v>
      </c>
      <c r="AB190" s="0" t="n">
        <f aca="false">(X190*D190)</f>
        <v>0</v>
      </c>
      <c r="AC190" s="0" t="n">
        <f aca="false">SUM(AB$10:AB189)/K190</f>
        <v>0</v>
      </c>
      <c r="AD190" s="0" t="n">
        <f aca="false">R190*E190+D190*(X190*S190+(1-X190)*T190)</f>
        <v>-0.076939260278915</v>
      </c>
      <c r="AE190" s="0" t="n">
        <f aca="false">Z190</f>
        <v>19.5751466549184</v>
      </c>
      <c r="AF190" s="0" t="n">
        <f aca="false">E190*O190</f>
        <v>19.5751466549184</v>
      </c>
      <c r="AG190" s="0" t="n">
        <f aca="false">((1-X190)*O190+X190*P190)*D190</f>
        <v>0</v>
      </c>
      <c r="AH190" s="0" t="n">
        <f aca="false">D190*(LN(EXP(S190)+EXP(T190)))</f>
        <v>-0</v>
      </c>
      <c r="AJ190" s="0" t="n">
        <f aca="false">$J$5</f>
        <v>10</v>
      </c>
      <c r="AK190" s="4" t="n">
        <f aca="false">AJ190+MAX(K190,AK$10:AK189)</f>
        <v>1896.71537781691</v>
      </c>
      <c r="AL190" s="5" t="n">
        <f aca="false">AK190-K190</f>
        <v>19.5751466549184</v>
      </c>
      <c r="AM190" s="0" t="n">
        <f aca="false">-G190*AL190/3600</f>
        <v>-0.076939260278915</v>
      </c>
      <c r="AN190" s="0" t="n">
        <f aca="false">-H190*AL190/3600</f>
        <v>-0.114606299214241</v>
      </c>
      <c r="AO190" s="0" t="n">
        <f aca="false">AM190*E190+AN190*D190</f>
        <v>-0.076939260278915</v>
      </c>
      <c r="AP190" s="0" t="n">
        <f aca="false">AL190*D190</f>
        <v>0</v>
      </c>
      <c r="AR190" s="0" t="n">
        <f aca="false">AN190*D190</f>
        <v>-0</v>
      </c>
      <c r="AS190" s="0" t="n">
        <f aca="false">AH190-AR190</f>
        <v>0</v>
      </c>
    </row>
    <row r="191" customFormat="false" ht="12" hidden="false" customHeight="false" outlineLevel="0" collapsed="false">
      <c r="A191" s="3" t="n">
        <f aca="false">A190+1</f>
        <v>182</v>
      </c>
      <c r="B191" s="3" t="n">
        <f aca="false">IF(A191&lt;$N$4/3,0.1,(IF(A191&gt;2*$N$4/3,0.05,0.12)))</f>
        <v>0.1</v>
      </c>
      <c r="C191" s="4" t="n">
        <f aca="true">RAND()</f>
        <v>0.249832358194435</v>
      </c>
      <c r="D191" s="0" t="n">
        <f aca="false">IF((C191&gt;$M$2),1,0)</f>
        <v>0</v>
      </c>
      <c r="E191" s="0" t="n">
        <f aca="false">1-D191</f>
        <v>1</v>
      </c>
      <c r="F191" s="0" t="n">
        <f aca="true">RAND()</f>
        <v>0.39769328506328</v>
      </c>
      <c r="G191" s="0" t="n">
        <f aca="false">7.75+F191*10</f>
        <v>11.7269328506328</v>
      </c>
      <c r="H191" s="0" t="n">
        <f aca="false">LOGINV(F191,2.64,1.139)</f>
        <v>10.4294328769665</v>
      </c>
      <c r="I191" s="0" t="n">
        <v>19.5</v>
      </c>
      <c r="J191" s="4" t="n">
        <f aca="true">-LN(RAND())/B191</f>
        <v>0.698067201605509</v>
      </c>
      <c r="K191" s="4" t="n">
        <f aca="false">K190+J191</f>
        <v>1877.8382983636</v>
      </c>
      <c r="L191" s="4" t="n">
        <f aca="false">(1/$J$4)*(1+AB190)</f>
        <v>10</v>
      </c>
      <c r="M191" s="4" t="n">
        <f aca="false">L191+MAX(K191,Y$10:Y190)</f>
        <v>1906.71537781691</v>
      </c>
      <c r="N191" s="4" t="n">
        <f aca="false">K191</f>
        <v>1877.8382983636</v>
      </c>
      <c r="O191" s="4" t="n">
        <f aca="false">M191-K191</f>
        <v>28.8770794533129</v>
      </c>
      <c r="P191" s="4" t="n">
        <f aca="false">N191-K191</f>
        <v>0</v>
      </c>
      <c r="Q191" s="4" t="n">
        <f aca="false">A191-MATCH(K191,$M$9:M190,1)</f>
        <v>2</v>
      </c>
      <c r="R191" s="0" t="n">
        <f aca="false">-G191*(O191/3600)</f>
        <v>-0.0940665476864969</v>
      </c>
      <c r="S191" s="0" t="n">
        <f aca="false">-1*I191-(H191*(P191/3600))</f>
        <v>-19.5</v>
      </c>
      <c r="T191" s="0" t="n">
        <f aca="false">-H191*(O191/3600)</f>
        <v>-0.0836587671780991</v>
      </c>
      <c r="U191" s="0" t="n">
        <f aca="false">T191-S191</f>
        <v>19.4163412328219</v>
      </c>
      <c r="V191" s="0" t="n">
        <f aca="false">1/(1+EXP(U191))</f>
        <v>3.69479325586333E-009</v>
      </c>
      <c r="W191" s="0" t="n">
        <f aca="true">RAND()</f>
        <v>0.79368291130927</v>
      </c>
      <c r="X191" s="0" t="n">
        <f aca="false">IF(W191&lt;V191,1,0)</f>
        <v>0</v>
      </c>
      <c r="Y191" s="0" t="n">
        <f aca="false">(M191*(1-X191)+N191*X191)*D191+M191*E191</f>
        <v>1906.71537781691</v>
      </c>
      <c r="Z191" s="0" t="n">
        <f aca="false">((1-X191)*O191+X191*P191)*D191+E191*O191</f>
        <v>28.8770794533129</v>
      </c>
      <c r="AA191" s="0" t="n">
        <f aca="false">IF(D191*X191&gt;0,AA190,Q191)</f>
        <v>2</v>
      </c>
      <c r="AB191" s="0" t="n">
        <f aca="false">(X191*D191)</f>
        <v>0</v>
      </c>
      <c r="AC191" s="0" t="n">
        <f aca="false">SUM(AB$10:AB190)/K191</f>
        <v>0</v>
      </c>
      <c r="AD191" s="0" t="n">
        <f aca="false">R191*E191+D191*(X191*S191+(1-X191)*T191)</f>
        <v>-0.0940665476864969</v>
      </c>
      <c r="AE191" s="0" t="n">
        <f aca="false">Z191</f>
        <v>28.8770794533129</v>
      </c>
      <c r="AF191" s="0" t="n">
        <f aca="false">E191*O191</f>
        <v>28.8770794533129</v>
      </c>
      <c r="AG191" s="0" t="n">
        <f aca="false">((1-X191)*O191+X191*P191)*D191</f>
        <v>0</v>
      </c>
      <c r="AH191" s="0" t="n">
        <f aca="false">D191*(LN(EXP(S191)+EXP(T191)))</f>
        <v>-0</v>
      </c>
      <c r="AJ191" s="0" t="n">
        <f aca="false">$J$5</f>
        <v>10</v>
      </c>
      <c r="AK191" s="4" t="n">
        <f aca="false">AJ191+MAX(K191,AK$10:AK190)</f>
        <v>1906.71537781691</v>
      </c>
      <c r="AL191" s="5" t="n">
        <f aca="false">AK191-K191</f>
        <v>28.8770794533129</v>
      </c>
      <c r="AM191" s="0" t="n">
        <f aca="false">-G191*AL191/3600</f>
        <v>-0.0940665476864969</v>
      </c>
      <c r="AN191" s="0" t="n">
        <f aca="false">-H191*AL191/3600</f>
        <v>-0.0836587671780991</v>
      </c>
      <c r="AO191" s="0" t="n">
        <f aca="false">AM191*E191+AN191*D191</f>
        <v>-0.0940665476864969</v>
      </c>
      <c r="AP191" s="0" t="n">
        <f aca="false">AL191*D191</f>
        <v>0</v>
      </c>
      <c r="AR191" s="0" t="n">
        <f aca="false">AN191*D191</f>
        <v>-0</v>
      </c>
      <c r="AS191" s="0" t="n">
        <f aca="false">AH191-AR191</f>
        <v>0</v>
      </c>
    </row>
    <row r="192" customFormat="false" ht="12" hidden="false" customHeight="false" outlineLevel="0" collapsed="false">
      <c r="A192" s="3" t="n">
        <f aca="false">A191+1</f>
        <v>183</v>
      </c>
      <c r="B192" s="3" t="n">
        <f aca="false">IF(A192&lt;$N$4/3,0.1,(IF(A192&gt;2*$N$4/3,0.05,0.12)))</f>
        <v>0.1</v>
      </c>
      <c r="C192" s="4" t="n">
        <f aca="true">RAND()</f>
        <v>0.824659687434712</v>
      </c>
      <c r="D192" s="0" t="n">
        <f aca="false">IF((C192&gt;$M$2),1,0)</f>
        <v>0</v>
      </c>
      <c r="E192" s="0" t="n">
        <f aca="false">1-D192</f>
        <v>1</v>
      </c>
      <c r="F192" s="0" t="n">
        <f aca="true">RAND()</f>
        <v>0.621755466040085</v>
      </c>
      <c r="G192" s="0" t="n">
        <f aca="false">7.75+F192*10</f>
        <v>13.9675546604009</v>
      </c>
      <c r="H192" s="0" t="n">
        <f aca="false">LOGINV(F192,2.64,1.139)</f>
        <v>19.9493722266293</v>
      </c>
      <c r="I192" s="0" t="n">
        <v>19.5</v>
      </c>
      <c r="J192" s="4" t="n">
        <f aca="true">-LN(RAND())/B192</f>
        <v>0.242579204072931</v>
      </c>
      <c r="K192" s="4" t="n">
        <f aca="false">K191+J192</f>
        <v>1878.08087756767</v>
      </c>
      <c r="L192" s="4" t="n">
        <f aca="false">(1/$J$4)*(1+AB191)</f>
        <v>10</v>
      </c>
      <c r="M192" s="4" t="n">
        <f aca="false">L192+MAX(K192,Y$10:Y191)</f>
        <v>1916.71537781691</v>
      </c>
      <c r="N192" s="4" t="n">
        <f aca="false">K192</f>
        <v>1878.08087756767</v>
      </c>
      <c r="O192" s="4" t="n">
        <f aca="false">M192-K192</f>
        <v>38.6345002492401</v>
      </c>
      <c r="P192" s="4" t="n">
        <f aca="false">N192-K192</f>
        <v>0</v>
      </c>
      <c r="Q192" s="4" t="n">
        <f aca="false">A192-MATCH(K192,$M$9:M191,1)</f>
        <v>3</v>
      </c>
      <c r="R192" s="0" t="n">
        <f aca="false">-G192*(O192/3600)</f>
        <v>-0.149897081669036</v>
      </c>
      <c r="S192" s="0" t="n">
        <f aca="false">-1*I192-(H192*(P192/3600))</f>
        <v>-19.5</v>
      </c>
      <c r="T192" s="0" t="n">
        <f aca="false">-H192*(O192/3600)</f>
        <v>-0.214092785072748</v>
      </c>
      <c r="U192" s="0" t="n">
        <f aca="false">T192-S192</f>
        <v>19.2859072149273</v>
      </c>
      <c r="V192" s="0" t="n">
        <f aca="false">1/(1+EXP(U192))</f>
        <v>4.20956205696542E-009</v>
      </c>
      <c r="W192" s="0" t="n">
        <f aca="true">RAND()</f>
        <v>0.250368400990795</v>
      </c>
      <c r="X192" s="0" t="n">
        <f aca="false">IF(W192&lt;V192,1,0)</f>
        <v>0</v>
      </c>
      <c r="Y192" s="0" t="n">
        <f aca="false">(M192*(1-X192)+N192*X192)*D192+M192*E192</f>
        <v>1916.71537781691</v>
      </c>
      <c r="Z192" s="0" t="n">
        <f aca="false">((1-X192)*O192+X192*P192)*D192+E192*O192</f>
        <v>38.6345002492401</v>
      </c>
      <c r="AA192" s="0" t="n">
        <f aca="false">IF(D192*X192&gt;0,AA191,Q192)</f>
        <v>3</v>
      </c>
      <c r="AB192" s="0" t="n">
        <f aca="false">(X192*D192)</f>
        <v>0</v>
      </c>
      <c r="AC192" s="0" t="n">
        <f aca="false">SUM(AB$10:AB191)/K192</f>
        <v>0</v>
      </c>
      <c r="AD192" s="0" t="n">
        <f aca="false">R192*E192+D192*(X192*S192+(1-X192)*T192)</f>
        <v>-0.149897081669036</v>
      </c>
      <c r="AE192" s="0" t="n">
        <f aca="false">Z192</f>
        <v>38.6345002492401</v>
      </c>
      <c r="AF192" s="0" t="n">
        <f aca="false">E192*O192</f>
        <v>38.6345002492401</v>
      </c>
      <c r="AG192" s="0" t="n">
        <f aca="false">((1-X192)*O192+X192*P192)*D192</f>
        <v>0</v>
      </c>
      <c r="AH192" s="0" t="n">
        <f aca="false">D192*(LN(EXP(S192)+EXP(T192)))</f>
        <v>-0</v>
      </c>
      <c r="AJ192" s="0" t="n">
        <f aca="false">$J$5</f>
        <v>10</v>
      </c>
      <c r="AK192" s="4" t="n">
        <f aca="false">AJ192+MAX(K192,AK$10:AK191)</f>
        <v>1916.71537781691</v>
      </c>
      <c r="AL192" s="5" t="n">
        <f aca="false">AK192-K192</f>
        <v>38.6345002492401</v>
      </c>
      <c r="AM192" s="0" t="n">
        <f aca="false">-G192*AL192/3600</f>
        <v>-0.149897081669036</v>
      </c>
      <c r="AN192" s="0" t="n">
        <f aca="false">-H192*AL192/3600</f>
        <v>-0.214092785072748</v>
      </c>
      <c r="AO192" s="0" t="n">
        <f aca="false">AM192*E192+AN192*D192</f>
        <v>-0.149897081669036</v>
      </c>
      <c r="AP192" s="0" t="n">
        <f aca="false">AL192*D192</f>
        <v>0</v>
      </c>
      <c r="AR192" s="0" t="n">
        <f aca="false">AN192*D192</f>
        <v>-0</v>
      </c>
      <c r="AS192" s="0" t="n">
        <f aca="false">AH192-AR192</f>
        <v>0</v>
      </c>
    </row>
    <row r="193" customFormat="false" ht="12" hidden="false" customHeight="false" outlineLevel="0" collapsed="false">
      <c r="A193" s="3" t="n">
        <f aca="false">A192+1</f>
        <v>184</v>
      </c>
      <c r="B193" s="3" t="n">
        <f aca="false">IF(A193&lt;$N$4/3,0.1,(IF(A193&gt;2*$N$4/3,0.05,0.12)))</f>
        <v>0.1</v>
      </c>
      <c r="C193" s="4" t="n">
        <f aca="true">RAND()</f>
        <v>0.398908695130556</v>
      </c>
      <c r="D193" s="0" t="n">
        <f aca="false">IF((C193&gt;$M$2),1,0)</f>
        <v>0</v>
      </c>
      <c r="E193" s="0" t="n">
        <f aca="false">1-D193</f>
        <v>1</v>
      </c>
      <c r="F193" s="0" t="n">
        <f aca="true">RAND()</f>
        <v>0.0115500398333895</v>
      </c>
      <c r="G193" s="0" t="n">
        <f aca="false">7.75+F193*10</f>
        <v>7.8655003983339</v>
      </c>
      <c r="H193" s="0" t="n">
        <f aca="false">LOGINV(F193,2.64,1.139)</f>
        <v>1.05384757555732</v>
      </c>
      <c r="I193" s="0" t="n">
        <v>19.5</v>
      </c>
      <c r="J193" s="4" t="n">
        <f aca="true">-LN(RAND())/B193</f>
        <v>36.8144320108309</v>
      </c>
      <c r="K193" s="4" t="n">
        <f aca="false">K192+J193</f>
        <v>1914.8953095785</v>
      </c>
      <c r="L193" s="4" t="n">
        <f aca="false">(1/$J$4)*(1+AB192)</f>
        <v>10</v>
      </c>
      <c r="M193" s="4" t="n">
        <f aca="false">L193+MAX(K193,Y$10:Y192)</f>
        <v>1926.71537781691</v>
      </c>
      <c r="N193" s="4" t="n">
        <f aca="false">K193</f>
        <v>1914.8953095785</v>
      </c>
      <c r="O193" s="4" t="n">
        <f aca="false">M193-K193</f>
        <v>11.8200682384092</v>
      </c>
      <c r="P193" s="4" t="n">
        <f aca="false">N193-K193</f>
        <v>0</v>
      </c>
      <c r="Q193" s="4" t="n">
        <f aca="false">A193-MATCH(K193,$M$9:M192,1)</f>
        <v>1</v>
      </c>
      <c r="R193" s="0" t="n">
        <f aca="false">-G193*(O193/3600)</f>
        <v>-0.0258252087326505</v>
      </c>
      <c r="S193" s="0" t="n">
        <f aca="false">-1*I193-(H193*(P193/3600))</f>
        <v>-19.5</v>
      </c>
      <c r="T193" s="0" t="n">
        <f aca="false">-H193*(O193/3600)</f>
        <v>-0.00346015284888045</v>
      </c>
      <c r="U193" s="0" t="n">
        <f aca="false">T193-S193</f>
        <v>19.4965398471511</v>
      </c>
      <c r="V193" s="0" t="n">
        <f aca="false">1/(1+EXP(U193))</f>
        <v>3.41004670057607E-009</v>
      </c>
      <c r="W193" s="0" t="n">
        <f aca="true">RAND()</f>
        <v>0.314595072115855</v>
      </c>
      <c r="X193" s="0" t="n">
        <f aca="false">IF(W193&lt;V193,1,0)</f>
        <v>0</v>
      </c>
      <c r="Y193" s="0" t="n">
        <f aca="false">(M193*(1-X193)+N193*X193)*D193+M193*E193</f>
        <v>1926.71537781691</v>
      </c>
      <c r="Z193" s="0" t="n">
        <f aca="false">((1-X193)*O193+X193*P193)*D193+E193*O193</f>
        <v>11.8200682384092</v>
      </c>
      <c r="AA193" s="0" t="n">
        <f aca="false">IF(D193*X193&gt;0,AA192,Q193)</f>
        <v>1</v>
      </c>
      <c r="AB193" s="0" t="n">
        <f aca="false">(X193*D193)</f>
        <v>0</v>
      </c>
      <c r="AC193" s="0" t="n">
        <f aca="false">SUM(AB$10:AB192)/K193</f>
        <v>0</v>
      </c>
      <c r="AD193" s="0" t="n">
        <f aca="false">R193*E193+D193*(X193*S193+(1-X193)*T193)</f>
        <v>-0.0258252087326505</v>
      </c>
      <c r="AE193" s="0" t="n">
        <f aca="false">Z193</f>
        <v>11.8200682384092</v>
      </c>
      <c r="AF193" s="0" t="n">
        <f aca="false">E193*O193</f>
        <v>11.8200682384092</v>
      </c>
      <c r="AG193" s="0" t="n">
        <f aca="false">((1-X193)*O193+X193*P193)*D193</f>
        <v>0</v>
      </c>
      <c r="AH193" s="0" t="n">
        <f aca="false">D193*(LN(EXP(S193)+EXP(T193)))</f>
        <v>-0</v>
      </c>
      <c r="AJ193" s="0" t="n">
        <f aca="false">$J$5</f>
        <v>10</v>
      </c>
      <c r="AK193" s="4" t="n">
        <f aca="false">AJ193+MAX(K193,AK$10:AK192)</f>
        <v>1926.71537781691</v>
      </c>
      <c r="AL193" s="5" t="n">
        <f aca="false">AK193-K193</f>
        <v>11.8200682384092</v>
      </c>
      <c r="AM193" s="0" t="n">
        <f aca="false">-G193*AL193/3600</f>
        <v>-0.0258252087326505</v>
      </c>
      <c r="AN193" s="0" t="n">
        <f aca="false">-H193*AL193/3600</f>
        <v>-0.00346015284888045</v>
      </c>
      <c r="AO193" s="0" t="n">
        <f aca="false">AM193*E193+AN193*D193</f>
        <v>-0.0258252087326505</v>
      </c>
      <c r="AP193" s="0" t="n">
        <f aca="false">AL193*D193</f>
        <v>0</v>
      </c>
      <c r="AR193" s="0" t="n">
        <f aca="false">AN193*D193</f>
        <v>-0</v>
      </c>
      <c r="AS193" s="0" t="n">
        <f aca="false">AH193-AR193</f>
        <v>0</v>
      </c>
    </row>
    <row r="194" customFormat="false" ht="12" hidden="false" customHeight="false" outlineLevel="0" collapsed="false">
      <c r="A194" s="3" t="n">
        <f aca="false">A193+1</f>
        <v>185</v>
      </c>
      <c r="B194" s="3" t="n">
        <f aca="false">IF(A194&lt;$N$4/3,0.1,(IF(A194&gt;2*$N$4/3,0.05,0.12)))</f>
        <v>0.1</v>
      </c>
      <c r="C194" s="4" t="n">
        <f aca="true">RAND()</f>
        <v>0.604936212585002</v>
      </c>
      <c r="D194" s="0" t="n">
        <f aca="false">IF((C194&gt;$M$2),1,0)</f>
        <v>0</v>
      </c>
      <c r="E194" s="0" t="n">
        <f aca="false">1-D194</f>
        <v>1</v>
      </c>
      <c r="F194" s="0" t="n">
        <f aca="true">RAND()</f>
        <v>0.81070569553076</v>
      </c>
      <c r="G194" s="0" t="n">
        <f aca="false">7.75+F194*10</f>
        <v>15.8570569553076</v>
      </c>
      <c r="H194" s="0" t="n">
        <f aca="false">LOGINV(F194,2.64,1.139)</f>
        <v>38.2020539211476</v>
      </c>
      <c r="I194" s="0" t="n">
        <v>19.5</v>
      </c>
      <c r="J194" s="4" t="n">
        <f aca="true">-LN(RAND())/B194</f>
        <v>6.05898698605316</v>
      </c>
      <c r="K194" s="4" t="n">
        <f aca="false">K193+J194</f>
        <v>1920.95429656456</v>
      </c>
      <c r="L194" s="4" t="n">
        <f aca="false">(1/$J$4)*(1+AB193)</f>
        <v>10</v>
      </c>
      <c r="M194" s="4" t="n">
        <f aca="false">L194+MAX(K194,Y$10:Y193)</f>
        <v>1936.71537781691</v>
      </c>
      <c r="N194" s="4" t="n">
        <f aca="false">K194</f>
        <v>1920.95429656456</v>
      </c>
      <c r="O194" s="4" t="n">
        <f aca="false">M194-K194</f>
        <v>15.761081252356</v>
      </c>
      <c r="P194" s="4" t="n">
        <f aca="false">N194-K194</f>
        <v>0</v>
      </c>
      <c r="Q194" s="4" t="n">
        <f aca="false">A194-MATCH(K194,$M$9:M193,1)</f>
        <v>1</v>
      </c>
      <c r="R194" s="0" t="n">
        <f aca="false">-G194*(O194/3600)</f>
        <v>-0.0694234341932889</v>
      </c>
      <c r="S194" s="0" t="n">
        <f aca="false">-1*I194-(H194*(P194/3600))</f>
        <v>-19.5</v>
      </c>
      <c r="T194" s="0" t="n">
        <f aca="false">-H194*(O194/3600)</f>
        <v>-0.167251576627248</v>
      </c>
      <c r="U194" s="0" t="n">
        <f aca="false">T194-S194</f>
        <v>19.3327484233728</v>
      </c>
      <c r="V194" s="0" t="n">
        <f aca="false">1/(1+EXP(U194))</f>
        <v>4.01692791228623E-009</v>
      </c>
      <c r="W194" s="0" t="n">
        <f aca="true">RAND()</f>
        <v>0.297973804547823</v>
      </c>
      <c r="X194" s="0" t="n">
        <f aca="false">IF(W194&lt;V194,1,0)</f>
        <v>0</v>
      </c>
      <c r="Y194" s="0" t="n">
        <f aca="false">(M194*(1-X194)+N194*X194)*D194+M194*E194</f>
        <v>1936.71537781691</v>
      </c>
      <c r="Z194" s="0" t="n">
        <f aca="false">((1-X194)*O194+X194*P194)*D194+E194*O194</f>
        <v>15.761081252356</v>
      </c>
      <c r="AA194" s="0" t="n">
        <f aca="false">IF(D194*X194&gt;0,AA193,Q194)</f>
        <v>1</v>
      </c>
      <c r="AB194" s="0" t="n">
        <f aca="false">(X194*D194)</f>
        <v>0</v>
      </c>
      <c r="AC194" s="0" t="n">
        <f aca="false">SUM(AB$10:AB193)/K194</f>
        <v>0</v>
      </c>
      <c r="AD194" s="0" t="n">
        <f aca="false">R194*E194+D194*(X194*S194+(1-X194)*T194)</f>
        <v>-0.0694234341932889</v>
      </c>
      <c r="AE194" s="0" t="n">
        <f aca="false">Z194</f>
        <v>15.761081252356</v>
      </c>
      <c r="AF194" s="0" t="n">
        <f aca="false">E194*O194</f>
        <v>15.761081252356</v>
      </c>
      <c r="AG194" s="0" t="n">
        <f aca="false">((1-X194)*O194+X194*P194)*D194</f>
        <v>0</v>
      </c>
      <c r="AH194" s="0" t="n">
        <f aca="false">D194*(LN(EXP(S194)+EXP(T194)))</f>
        <v>-0</v>
      </c>
      <c r="AJ194" s="0" t="n">
        <f aca="false">$J$5</f>
        <v>10</v>
      </c>
      <c r="AK194" s="4" t="n">
        <f aca="false">AJ194+MAX(K194,AK$10:AK193)</f>
        <v>1936.71537781691</v>
      </c>
      <c r="AL194" s="5" t="n">
        <f aca="false">AK194-K194</f>
        <v>15.761081252356</v>
      </c>
      <c r="AM194" s="0" t="n">
        <f aca="false">-G194*AL194/3600</f>
        <v>-0.0694234341932889</v>
      </c>
      <c r="AN194" s="0" t="n">
        <f aca="false">-H194*AL194/3600</f>
        <v>-0.167251576627248</v>
      </c>
      <c r="AO194" s="0" t="n">
        <f aca="false">AM194*E194+AN194*D194</f>
        <v>-0.0694234341932889</v>
      </c>
      <c r="AP194" s="0" t="n">
        <f aca="false">AL194*D194</f>
        <v>0</v>
      </c>
      <c r="AR194" s="0" t="n">
        <f aca="false">AN194*D194</f>
        <v>-0</v>
      </c>
      <c r="AS194" s="0" t="n">
        <f aca="false">AH194-AR194</f>
        <v>0</v>
      </c>
    </row>
    <row r="195" customFormat="false" ht="12" hidden="false" customHeight="false" outlineLevel="0" collapsed="false">
      <c r="A195" s="3" t="n">
        <f aca="false">A194+1</f>
        <v>186</v>
      </c>
      <c r="B195" s="3" t="n">
        <f aca="false">IF(A195&lt;$N$4/3,0.1,(IF(A195&gt;2*$N$4/3,0.05,0.12)))</f>
        <v>0.1</v>
      </c>
      <c r="C195" s="4" t="n">
        <f aca="true">RAND()</f>
        <v>0.0373158868662342</v>
      </c>
      <c r="D195" s="0" t="n">
        <f aca="false">IF((C195&gt;$M$2),1,0)</f>
        <v>0</v>
      </c>
      <c r="E195" s="0" t="n">
        <f aca="false">1-D195</f>
        <v>1</v>
      </c>
      <c r="F195" s="0" t="n">
        <f aca="true">RAND()</f>
        <v>0.948725501247814</v>
      </c>
      <c r="G195" s="0" t="n">
        <f aca="false">7.75+F195*10</f>
        <v>17.2372550124781</v>
      </c>
      <c r="H195" s="0" t="n">
        <f aca="false">LOGINV(F195,2.64,1.139)</f>
        <v>89.9769818799348</v>
      </c>
      <c r="I195" s="0" t="n">
        <v>19.5</v>
      </c>
      <c r="J195" s="4" t="n">
        <f aca="true">-LN(RAND())/B195</f>
        <v>17.7157319411725</v>
      </c>
      <c r="K195" s="4" t="n">
        <f aca="false">K194+J195</f>
        <v>1938.67002850573</v>
      </c>
      <c r="L195" s="4" t="n">
        <f aca="false">(1/$J$4)*(1+AB194)</f>
        <v>10</v>
      </c>
      <c r="M195" s="4" t="n">
        <f aca="false">L195+MAX(K195,Y$10:Y194)</f>
        <v>1948.67002850573</v>
      </c>
      <c r="N195" s="4" t="n">
        <f aca="false">K195</f>
        <v>1938.67002850573</v>
      </c>
      <c r="O195" s="4" t="n">
        <f aca="false">M195-K195</f>
        <v>10</v>
      </c>
      <c r="P195" s="4" t="n">
        <f aca="false">N195-K195</f>
        <v>0</v>
      </c>
      <c r="Q195" s="4" t="n">
        <f aca="false">A195-MATCH(K195,$M$9:M194,1)</f>
        <v>0</v>
      </c>
      <c r="R195" s="0" t="n">
        <f aca="false">-G195*(O195/3600)</f>
        <v>-0.0478812639235504</v>
      </c>
      <c r="S195" s="0" t="n">
        <f aca="false">-1*I195-(H195*(P195/3600))</f>
        <v>-19.5</v>
      </c>
      <c r="T195" s="0" t="n">
        <f aca="false">-H195*(O195/3600)</f>
        <v>-0.249936060777597</v>
      </c>
      <c r="U195" s="0" t="n">
        <f aca="false">T195-S195</f>
        <v>19.2500639392224</v>
      </c>
      <c r="V195" s="0" t="n">
        <f aca="false">1/(1+EXP(U195))</f>
        <v>4.36318324644211E-009</v>
      </c>
      <c r="W195" s="0" t="n">
        <f aca="true">RAND()</f>
        <v>0.475440762513124</v>
      </c>
      <c r="X195" s="0" t="n">
        <f aca="false">IF(W195&lt;V195,1,0)</f>
        <v>0</v>
      </c>
      <c r="Y195" s="0" t="n">
        <f aca="false">(M195*(1-X195)+N195*X195)*D195+M195*E195</f>
        <v>1948.67002850573</v>
      </c>
      <c r="Z195" s="0" t="n">
        <f aca="false">((1-X195)*O195+X195*P195)*D195+E195*O195</f>
        <v>10</v>
      </c>
      <c r="AA195" s="0" t="n">
        <f aca="false">IF(D195*X195&gt;0,AA194,Q195)</f>
        <v>0</v>
      </c>
      <c r="AB195" s="0" t="n">
        <f aca="false">(X195*D195)</f>
        <v>0</v>
      </c>
      <c r="AC195" s="0" t="n">
        <f aca="false">SUM(AB$10:AB194)/K195</f>
        <v>0</v>
      </c>
      <c r="AD195" s="0" t="n">
        <f aca="false">R195*E195+D195*(X195*S195+(1-X195)*T195)</f>
        <v>-0.0478812639235504</v>
      </c>
      <c r="AE195" s="0" t="n">
        <f aca="false">Z195</f>
        <v>10</v>
      </c>
      <c r="AF195" s="0" t="n">
        <f aca="false">E195*O195</f>
        <v>10</v>
      </c>
      <c r="AG195" s="0" t="n">
        <f aca="false">((1-X195)*O195+X195*P195)*D195</f>
        <v>0</v>
      </c>
      <c r="AH195" s="0" t="n">
        <f aca="false">D195*(LN(EXP(S195)+EXP(T195)))</f>
        <v>-0</v>
      </c>
      <c r="AJ195" s="0" t="n">
        <f aca="false">$J$5</f>
        <v>10</v>
      </c>
      <c r="AK195" s="4" t="n">
        <f aca="false">AJ195+MAX(K195,AK$10:AK194)</f>
        <v>1948.67002850573</v>
      </c>
      <c r="AL195" s="5" t="n">
        <f aca="false">AK195-K195</f>
        <v>10</v>
      </c>
      <c r="AM195" s="0" t="n">
        <f aca="false">-G195*AL195/3600</f>
        <v>-0.0478812639235504</v>
      </c>
      <c r="AN195" s="0" t="n">
        <f aca="false">-H195*AL195/3600</f>
        <v>-0.249936060777597</v>
      </c>
      <c r="AO195" s="0" t="n">
        <f aca="false">AM195*E195+AN195*D195</f>
        <v>-0.0478812639235504</v>
      </c>
      <c r="AP195" s="0" t="n">
        <f aca="false">AL195*D195</f>
        <v>0</v>
      </c>
      <c r="AR195" s="0" t="n">
        <f aca="false">AN195*D195</f>
        <v>-0</v>
      </c>
      <c r="AS195" s="0" t="n">
        <f aca="false">AH195-AR195</f>
        <v>0</v>
      </c>
    </row>
    <row r="196" customFormat="false" ht="12" hidden="false" customHeight="false" outlineLevel="0" collapsed="false">
      <c r="A196" s="3" t="n">
        <f aca="false">A195+1</f>
        <v>187</v>
      </c>
      <c r="B196" s="3" t="n">
        <f aca="false">IF(A196&lt;$N$4/3,0.1,(IF(A196&gt;2*$N$4/3,0.05,0.12)))</f>
        <v>0.1</v>
      </c>
      <c r="C196" s="4" t="n">
        <f aca="true">RAND()</f>
        <v>0.241059444005837</v>
      </c>
      <c r="D196" s="0" t="n">
        <f aca="false">IF((C196&gt;$M$2),1,0)</f>
        <v>0</v>
      </c>
      <c r="E196" s="0" t="n">
        <f aca="false">1-D196</f>
        <v>1</v>
      </c>
      <c r="F196" s="0" t="n">
        <f aca="true">RAND()</f>
        <v>0.491842403084932</v>
      </c>
      <c r="G196" s="0" t="n">
        <f aca="false">7.75+F196*10</f>
        <v>12.6684240308493</v>
      </c>
      <c r="H196" s="0" t="n">
        <f aca="false">LOGINV(F196,2.64,1.139)</f>
        <v>13.6905803803354</v>
      </c>
      <c r="I196" s="0" t="n">
        <v>19.5</v>
      </c>
      <c r="J196" s="4" t="n">
        <f aca="true">-LN(RAND())/B196</f>
        <v>3.73822363628128</v>
      </c>
      <c r="K196" s="4" t="n">
        <f aca="false">K195+J196</f>
        <v>1942.40825214201</v>
      </c>
      <c r="L196" s="4" t="n">
        <f aca="false">(1/$J$4)*(1+AB195)</f>
        <v>10</v>
      </c>
      <c r="M196" s="4" t="n">
        <f aca="false">L196+MAX(K196,Y$10:Y195)</f>
        <v>1958.67002850573</v>
      </c>
      <c r="N196" s="4" t="n">
        <f aca="false">K196</f>
        <v>1942.40825214201</v>
      </c>
      <c r="O196" s="4" t="n">
        <f aca="false">M196-K196</f>
        <v>16.2617763637188</v>
      </c>
      <c r="P196" s="4" t="n">
        <f aca="false">N196-K196</f>
        <v>0</v>
      </c>
      <c r="Q196" s="4" t="n">
        <f aca="false">A196-MATCH(K196,$M$9:M195,1)</f>
        <v>1</v>
      </c>
      <c r="R196" s="0" t="n">
        <f aca="false">-G196*(O196/3600)</f>
        <v>-0.0572252995751202</v>
      </c>
      <c r="S196" s="0" t="n">
        <f aca="false">-1*I196-(H196*(P196/3600))</f>
        <v>-19.5</v>
      </c>
      <c r="T196" s="0" t="n">
        <f aca="false">-H196*(O196/3600)</f>
        <v>-0.0618425434540363</v>
      </c>
      <c r="U196" s="0" t="n">
        <f aca="false">T196-S196</f>
        <v>19.438157456546</v>
      </c>
      <c r="V196" s="0" t="n">
        <f aca="false">1/(1+EXP(U196))</f>
        <v>3.61505972453976E-009</v>
      </c>
      <c r="W196" s="0" t="n">
        <f aca="true">RAND()</f>
        <v>0.55530612933753</v>
      </c>
      <c r="X196" s="0" t="n">
        <f aca="false">IF(W196&lt;V196,1,0)</f>
        <v>0</v>
      </c>
      <c r="Y196" s="0" t="n">
        <f aca="false">(M196*(1-X196)+N196*X196)*D196+M196*E196</f>
        <v>1958.67002850573</v>
      </c>
      <c r="Z196" s="0" t="n">
        <f aca="false">((1-X196)*O196+X196*P196)*D196+E196*O196</f>
        <v>16.2617763637188</v>
      </c>
      <c r="AA196" s="0" t="n">
        <f aca="false">IF(D196*X196&gt;0,AA195,Q196)</f>
        <v>1</v>
      </c>
      <c r="AB196" s="0" t="n">
        <f aca="false">(X196*D196)</f>
        <v>0</v>
      </c>
      <c r="AC196" s="0" t="n">
        <f aca="false">SUM(AB$10:AB195)/K196</f>
        <v>0</v>
      </c>
      <c r="AD196" s="0" t="n">
        <f aca="false">R196*E196+D196*(X196*S196+(1-X196)*T196)</f>
        <v>-0.0572252995751202</v>
      </c>
      <c r="AE196" s="0" t="n">
        <f aca="false">Z196</f>
        <v>16.2617763637188</v>
      </c>
      <c r="AF196" s="0" t="n">
        <f aca="false">E196*O196</f>
        <v>16.2617763637188</v>
      </c>
      <c r="AG196" s="0" t="n">
        <f aca="false">((1-X196)*O196+X196*P196)*D196</f>
        <v>0</v>
      </c>
      <c r="AH196" s="0" t="n">
        <f aca="false">D196*(LN(EXP(S196)+EXP(T196)))</f>
        <v>-0</v>
      </c>
      <c r="AJ196" s="0" t="n">
        <f aca="false">$J$5</f>
        <v>10</v>
      </c>
      <c r="AK196" s="4" t="n">
        <f aca="false">AJ196+MAX(K196,AK$10:AK195)</f>
        <v>1958.67002850573</v>
      </c>
      <c r="AL196" s="5" t="n">
        <f aca="false">AK196-K196</f>
        <v>16.2617763637188</v>
      </c>
      <c r="AM196" s="0" t="n">
        <f aca="false">-G196*AL196/3600</f>
        <v>-0.0572252995751202</v>
      </c>
      <c r="AN196" s="0" t="n">
        <f aca="false">-H196*AL196/3600</f>
        <v>-0.0618425434540363</v>
      </c>
      <c r="AO196" s="0" t="n">
        <f aca="false">AM196*E196+AN196*D196</f>
        <v>-0.0572252995751202</v>
      </c>
      <c r="AP196" s="0" t="n">
        <f aca="false">AL196*D196</f>
        <v>0</v>
      </c>
      <c r="AR196" s="0" t="n">
        <f aca="false">AN196*D196</f>
        <v>-0</v>
      </c>
      <c r="AS196" s="0" t="n">
        <f aca="false">AH196-AR196</f>
        <v>0</v>
      </c>
    </row>
    <row r="197" customFormat="false" ht="12" hidden="false" customHeight="false" outlineLevel="0" collapsed="false">
      <c r="A197" s="3" t="n">
        <f aca="false">A196+1</f>
        <v>188</v>
      </c>
      <c r="B197" s="3" t="n">
        <f aca="false">IF(A197&lt;$N$4/3,0.1,(IF(A197&gt;2*$N$4/3,0.05,0.12)))</f>
        <v>0.1</v>
      </c>
      <c r="C197" s="4" t="n">
        <f aca="true">RAND()</f>
        <v>0.59414313953373</v>
      </c>
      <c r="D197" s="0" t="n">
        <f aca="false">IF((C197&gt;$M$2),1,0)</f>
        <v>0</v>
      </c>
      <c r="E197" s="0" t="n">
        <f aca="false">1-D197</f>
        <v>1</v>
      </c>
      <c r="F197" s="0" t="n">
        <f aca="true">RAND()</f>
        <v>0.666352046444876</v>
      </c>
      <c r="G197" s="0" t="n">
        <f aca="false">7.75+F197*10</f>
        <v>14.4135204644488</v>
      </c>
      <c r="H197" s="0" t="n">
        <f aca="false">LOGINV(F197,2.64,1.139)</f>
        <v>22.8651292316292</v>
      </c>
      <c r="I197" s="0" t="n">
        <v>19.5</v>
      </c>
      <c r="J197" s="4" t="n">
        <f aca="true">-LN(RAND())/B197</f>
        <v>10.6507830785058</v>
      </c>
      <c r="K197" s="4" t="n">
        <f aca="false">K196+J197</f>
        <v>1953.05903522052</v>
      </c>
      <c r="L197" s="4" t="n">
        <f aca="false">(1/$J$4)*(1+AB196)</f>
        <v>10</v>
      </c>
      <c r="M197" s="4" t="n">
        <f aca="false">L197+MAX(K197,Y$10:Y196)</f>
        <v>1968.67002850573</v>
      </c>
      <c r="N197" s="4" t="n">
        <f aca="false">K197</f>
        <v>1953.05903522052</v>
      </c>
      <c r="O197" s="4" t="n">
        <f aca="false">M197-K197</f>
        <v>15.610993285213</v>
      </c>
      <c r="P197" s="4" t="n">
        <f aca="false">N197-K197</f>
        <v>0</v>
      </c>
      <c r="Q197" s="4" t="n">
        <f aca="false">A197-MATCH(K197,$M$9:M196,1)</f>
        <v>1</v>
      </c>
      <c r="R197" s="0" t="n">
        <f aca="false">-G197*(O197/3600)</f>
        <v>-0.0625026031074416</v>
      </c>
      <c r="S197" s="0" t="n">
        <f aca="false">-1*I197-(H197*(P197/3600))</f>
        <v>-19.5</v>
      </c>
      <c r="T197" s="0" t="n">
        <f aca="false">-H197*(O197/3600)</f>
        <v>-0.0991520496945809</v>
      </c>
      <c r="U197" s="0" t="n">
        <f aca="false">T197-S197</f>
        <v>19.4008479503054</v>
      </c>
      <c r="V197" s="0" t="n">
        <f aca="false">1/(1+EXP(U197))</f>
        <v>3.75248348289362E-009</v>
      </c>
      <c r="W197" s="0" t="n">
        <f aca="true">RAND()</f>
        <v>0.652944290592474</v>
      </c>
      <c r="X197" s="0" t="n">
        <f aca="false">IF(W197&lt;V197,1,0)</f>
        <v>0</v>
      </c>
      <c r="Y197" s="0" t="n">
        <f aca="false">(M197*(1-X197)+N197*X197)*D197+M197*E197</f>
        <v>1968.67002850573</v>
      </c>
      <c r="Z197" s="0" t="n">
        <f aca="false">((1-X197)*O197+X197*P197)*D197+E197*O197</f>
        <v>15.610993285213</v>
      </c>
      <c r="AA197" s="0" t="n">
        <f aca="false">IF(D197*X197&gt;0,AA196,Q197)</f>
        <v>1</v>
      </c>
      <c r="AB197" s="0" t="n">
        <f aca="false">(X197*D197)</f>
        <v>0</v>
      </c>
      <c r="AC197" s="0" t="n">
        <f aca="false">SUM(AB$10:AB196)/K197</f>
        <v>0</v>
      </c>
      <c r="AD197" s="0" t="n">
        <f aca="false">R197*E197+D197*(X197*S197+(1-X197)*T197)</f>
        <v>-0.0625026031074416</v>
      </c>
      <c r="AE197" s="0" t="n">
        <f aca="false">Z197</f>
        <v>15.610993285213</v>
      </c>
      <c r="AF197" s="0" t="n">
        <f aca="false">E197*O197</f>
        <v>15.610993285213</v>
      </c>
      <c r="AG197" s="0" t="n">
        <f aca="false">((1-X197)*O197+X197*P197)*D197</f>
        <v>0</v>
      </c>
      <c r="AH197" s="0" t="n">
        <f aca="false">D197*(LN(EXP(S197)+EXP(T197)))</f>
        <v>-0</v>
      </c>
      <c r="AJ197" s="0" t="n">
        <f aca="false">$J$5</f>
        <v>10</v>
      </c>
      <c r="AK197" s="4" t="n">
        <f aca="false">AJ197+MAX(K197,AK$10:AK196)</f>
        <v>1968.67002850573</v>
      </c>
      <c r="AL197" s="5" t="n">
        <f aca="false">AK197-K197</f>
        <v>15.610993285213</v>
      </c>
      <c r="AM197" s="0" t="n">
        <f aca="false">-G197*AL197/3600</f>
        <v>-0.0625026031074416</v>
      </c>
      <c r="AN197" s="0" t="n">
        <f aca="false">-H197*AL197/3600</f>
        <v>-0.0991520496945809</v>
      </c>
      <c r="AO197" s="0" t="n">
        <f aca="false">AM197*E197+AN197*D197</f>
        <v>-0.0625026031074416</v>
      </c>
      <c r="AP197" s="0" t="n">
        <f aca="false">AL197*D197</f>
        <v>0</v>
      </c>
      <c r="AR197" s="0" t="n">
        <f aca="false">AN197*D197</f>
        <v>-0</v>
      </c>
      <c r="AS197" s="0" t="n">
        <f aca="false">AH197-AR197</f>
        <v>0</v>
      </c>
    </row>
    <row r="198" customFormat="false" ht="12" hidden="false" customHeight="false" outlineLevel="0" collapsed="false">
      <c r="A198" s="3" t="n">
        <f aca="false">A197+1</f>
        <v>189</v>
      </c>
      <c r="B198" s="3" t="n">
        <f aca="false">IF(A198&lt;$N$4/3,0.1,(IF(A198&gt;2*$N$4/3,0.05,0.12)))</f>
        <v>0.1</v>
      </c>
      <c r="C198" s="4" t="n">
        <f aca="true">RAND()</f>
        <v>0.296769255974256</v>
      </c>
      <c r="D198" s="0" t="n">
        <f aca="false">IF((C198&gt;$M$2),1,0)</f>
        <v>0</v>
      </c>
      <c r="E198" s="0" t="n">
        <f aca="false">1-D198</f>
        <v>1</v>
      </c>
      <c r="F198" s="0" t="n">
        <f aca="true">RAND()</f>
        <v>0.594308592507073</v>
      </c>
      <c r="G198" s="0" t="n">
        <f aca="false">7.75+F198*10</f>
        <v>13.6930859250707</v>
      </c>
      <c r="H198" s="0" t="n">
        <f aca="false">LOGINV(F198,2.64,1.139)</f>
        <v>18.3901242602325</v>
      </c>
      <c r="I198" s="0" t="n">
        <v>19.5</v>
      </c>
      <c r="J198" s="4" t="n">
        <f aca="true">-LN(RAND())/B198</f>
        <v>6.41195297521929</v>
      </c>
      <c r="K198" s="4" t="n">
        <f aca="false">K197+J198</f>
        <v>1959.47098819573</v>
      </c>
      <c r="L198" s="4" t="n">
        <f aca="false">(1/$J$4)*(1+AB197)</f>
        <v>10</v>
      </c>
      <c r="M198" s="4" t="n">
        <f aca="false">L198+MAX(K198,Y$10:Y197)</f>
        <v>1978.67002850573</v>
      </c>
      <c r="N198" s="4" t="n">
        <f aca="false">K198</f>
        <v>1959.47098819573</v>
      </c>
      <c r="O198" s="4" t="n">
        <f aca="false">M198-K198</f>
        <v>19.1990403099937</v>
      </c>
      <c r="P198" s="4" t="n">
        <f aca="false">N198-K198</f>
        <v>0</v>
      </c>
      <c r="Q198" s="4" t="n">
        <f aca="false">A198-MATCH(K198,$M$9:M197,1)</f>
        <v>1</v>
      </c>
      <c r="R198" s="0" t="n">
        <f aca="false">-G198*(O198/3600)</f>
        <v>-0.0730261412899002</v>
      </c>
      <c r="S198" s="0" t="n">
        <f aca="false">-1*I198-(H198*(P198/3600))</f>
        <v>-19.5</v>
      </c>
      <c r="T198" s="0" t="n">
        <f aca="false">-H198*(O198/3600)</f>
        <v>-0.098075760271666</v>
      </c>
      <c r="U198" s="0" t="n">
        <f aca="false">T198-S198</f>
        <v>19.4019242397283</v>
      </c>
      <c r="V198" s="0" t="n">
        <f aca="false">1/(1+EXP(U198))</f>
        <v>3.74844689728332E-009</v>
      </c>
      <c r="W198" s="0" t="n">
        <f aca="true">RAND()</f>
        <v>0.94217160266839</v>
      </c>
      <c r="X198" s="0" t="n">
        <f aca="false">IF(W198&lt;V198,1,0)</f>
        <v>0</v>
      </c>
      <c r="Y198" s="0" t="n">
        <f aca="false">(M198*(1-X198)+N198*X198)*D198+M198*E198</f>
        <v>1978.67002850573</v>
      </c>
      <c r="Z198" s="0" t="n">
        <f aca="false">((1-X198)*O198+X198*P198)*D198+E198*O198</f>
        <v>19.1990403099937</v>
      </c>
      <c r="AA198" s="0" t="n">
        <f aca="false">IF(D198*X198&gt;0,AA197,Q198)</f>
        <v>1</v>
      </c>
      <c r="AB198" s="0" t="n">
        <f aca="false">(X198*D198)</f>
        <v>0</v>
      </c>
      <c r="AC198" s="0" t="n">
        <f aca="false">SUM(AB$10:AB197)/K198</f>
        <v>0</v>
      </c>
      <c r="AD198" s="0" t="n">
        <f aca="false">R198*E198+D198*(X198*S198+(1-X198)*T198)</f>
        <v>-0.0730261412899002</v>
      </c>
      <c r="AE198" s="0" t="n">
        <f aca="false">Z198</f>
        <v>19.1990403099937</v>
      </c>
      <c r="AF198" s="0" t="n">
        <f aca="false">E198*O198</f>
        <v>19.1990403099937</v>
      </c>
      <c r="AG198" s="0" t="n">
        <f aca="false">((1-X198)*O198+X198*P198)*D198</f>
        <v>0</v>
      </c>
      <c r="AH198" s="0" t="n">
        <f aca="false">D198*(LN(EXP(S198)+EXP(T198)))</f>
        <v>-0</v>
      </c>
      <c r="AJ198" s="0" t="n">
        <f aca="false">$J$5</f>
        <v>10</v>
      </c>
      <c r="AK198" s="4" t="n">
        <f aca="false">AJ198+MAX(K198,AK$10:AK197)</f>
        <v>1978.67002850573</v>
      </c>
      <c r="AL198" s="5" t="n">
        <f aca="false">AK198-K198</f>
        <v>19.1990403099937</v>
      </c>
      <c r="AM198" s="0" t="n">
        <f aca="false">-G198*AL198/3600</f>
        <v>-0.0730261412899002</v>
      </c>
      <c r="AN198" s="0" t="n">
        <f aca="false">-H198*AL198/3600</f>
        <v>-0.098075760271666</v>
      </c>
      <c r="AO198" s="0" t="n">
        <f aca="false">AM198*E198+AN198*D198</f>
        <v>-0.0730261412899002</v>
      </c>
      <c r="AP198" s="0" t="n">
        <f aca="false">AL198*D198</f>
        <v>0</v>
      </c>
      <c r="AR198" s="0" t="n">
        <f aca="false">AN198*D198</f>
        <v>-0</v>
      </c>
      <c r="AS198" s="0" t="n">
        <f aca="false">AH198-AR198</f>
        <v>0</v>
      </c>
    </row>
    <row r="199" customFormat="false" ht="12" hidden="false" customHeight="false" outlineLevel="0" collapsed="false">
      <c r="A199" s="3" t="n">
        <f aca="false">A198+1</f>
        <v>190</v>
      </c>
      <c r="B199" s="3" t="n">
        <f aca="false">IF(A199&lt;$N$4/3,0.1,(IF(A199&gt;2*$N$4/3,0.05,0.12)))</f>
        <v>0.1</v>
      </c>
      <c r="C199" s="4" t="n">
        <f aca="true">RAND()</f>
        <v>0.345878820452771</v>
      </c>
      <c r="D199" s="0" t="n">
        <f aca="false">IF((C199&gt;$M$2),1,0)</f>
        <v>0</v>
      </c>
      <c r="E199" s="0" t="n">
        <f aca="false">1-D199</f>
        <v>1</v>
      </c>
      <c r="F199" s="0" t="n">
        <f aca="true">RAND()</f>
        <v>0.278777903832027</v>
      </c>
      <c r="G199" s="0" t="n">
        <f aca="false">7.75+F199*10</f>
        <v>10.5377790383203</v>
      </c>
      <c r="H199" s="0" t="n">
        <f aca="false">LOGINV(F199,2.64,1.139)</f>
        <v>7.18506124787822</v>
      </c>
      <c r="I199" s="0" t="n">
        <v>19.5</v>
      </c>
      <c r="J199" s="4" t="n">
        <f aca="true">-LN(RAND())/B199</f>
        <v>9.42707097210086</v>
      </c>
      <c r="K199" s="4" t="n">
        <f aca="false">K198+J199</f>
        <v>1968.89805916784</v>
      </c>
      <c r="L199" s="4" t="n">
        <f aca="false">(1/$J$4)*(1+AB198)</f>
        <v>10</v>
      </c>
      <c r="M199" s="4" t="n">
        <f aca="false">L199+MAX(K199,Y$10:Y198)</f>
        <v>1988.67002850573</v>
      </c>
      <c r="N199" s="4" t="n">
        <f aca="false">K199</f>
        <v>1968.89805916784</v>
      </c>
      <c r="O199" s="4" t="n">
        <f aca="false">M199-K199</f>
        <v>19.7719693378929</v>
      </c>
      <c r="P199" s="4" t="n">
        <f aca="false">N199-K199</f>
        <v>0</v>
      </c>
      <c r="Q199" s="4" t="n">
        <f aca="false">A199-MATCH(K199,$M$9:M198,1)</f>
        <v>1</v>
      </c>
      <c r="R199" s="0" t="n">
        <f aca="false">-G199*(O199/3600)</f>
        <v>-0.0578757344542107</v>
      </c>
      <c r="S199" s="0" t="n">
        <f aca="false">-1*I199-(H199*(P199/3600))</f>
        <v>-19.5</v>
      </c>
      <c r="T199" s="0" t="n">
        <f aca="false">-H199*(O199/3600)</f>
        <v>-0.0394618918566473</v>
      </c>
      <c r="U199" s="0" t="n">
        <f aca="false">T199-S199</f>
        <v>19.4605381081434</v>
      </c>
      <c r="V199" s="0" t="n">
        <f aca="false">1/(1+EXP(U199))</f>
        <v>3.53505099599316E-009</v>
      </c>
      <c r="W199" s="0" t="n">
        <f aca="true">RAND()</f>
        <v>0.460543602372238</v>
      </c>
      <c r="X199" s="0" t="n">
        <f aca="false">IF(W199&lt;V199,1,0)</f>
        <v>0</v>
      </c>
      <c r="Y199" s="0" t="n">
        <f aca="false">(M199*(1-X199)+N199*X199)*D199+M199*E199</f>
        <v>1988.67002850573</v>
      </c>
      <c r="Z199" s="0" t="n">
        <f aca="false">((1-X199)*O199+X199*P199)*D199+E199*O199</f>
        <v>19.7719693378929</v>
      </c>
      <c r="AA199" s="0" t="n">
        <f aca="false">IF(D199*X199&gt;0,AA198,Q199)</f>
        <v>1</v>
      </c>
      <c r="AB199" s="0" t="n">
        <f aca="false">(X199*D199)</f>
        <v>0</v>
      </c>
      <c r="AC199" s="0" t="n">
        <f aca="false">SUM(AB$10:AB198)/K199</f>
        <v>0</v>
      </c>
      <c r="AD199" s="0" t="n">
        <f aca="false">R199*E199+D199*(X199*S199+(1-X199)*T199)</f>
        <v>-0.0578757344542107</v>
      </c>
      <c r="AE199" s="0" t="n">
        <f aca="false">Z199</f>
        <v>19.7719693378929</v>
      </c>
      <c r="AF199" s="0" t="n">
        <f aca="false">E199*O199</f>
        <v>19.7719693378929</v>
      </c>
      <c r="AG199" s="0" t="n">
        <f aca="false">((1-X199)*O199+X199*P199)*D199</f>
        <v>0</v>
      </c>
      <c r="AH199" s="0" t="n">
        <f aca="false">D199*(LN(EXP(S199)+EXP(T199)))</f>
        <v>-0</v>
      </c>
      <c r="AJ199" s="0" t="n">
        <f aca="false">$J$5</f>
        <v>10</v>
      </c>
      <c r="AK199" s="4" t="n">
        <f aca="false">AJ199+MAX(K199,AK$10:AK198)</f>
        <v>1988.67002850573</v>
      </c>
      <c r="AL199" s="5" t="n">
        <f aca="false">AK199-K199</f>
        <v>19.7719693378929</v>
      </c>
      <c r="AM199" s="0" t="n">
        <f aca="false">-G199*AL199/3600</f>
        <v>-0.0578757344542107</v>
      </c>
      <c r="AN199" s="0" t="n">
        <f aca="false">-H199*AL199/3600</f>
        <v>-0.0394618918566473</v>
      </c>
      <c r="AO199" s="0" t="n">
        <f aca="false">AM199*E199+AN199*D199</f>
        <v>-0.0578757344542107</v>
      </c>
      <c r="AP199" s="0" t="n">
        <f aca="false">AL199*D199</f>
        <v>0</v>
      </c>
      <c r="AR199" s="0" t="n">
        <f aca="false">AN199*D199</f>
        <v>-0</v>
      </c>
      <c r="AS199" s="0" t="n">
        <f aca="false">AH199-AR199</f>
        <v>0</v>
      </c>
    </row>
    <row r="200" customFormat="false" ht="12" hidden="false" customHeight="false" outlineLevel="0" collapsed="false">
      <c r="A200" s="3" t="n">
        <f aca="false">A199+1</f>
        <v>191</v>
      </c>
      <c r="B200" s="3" t="n">
        <f aca="false">IF(A200&lt;$N$4/3,0.1,(IF(A200&gt;2*$N$4/3,0.05,0.12)))</f>
        <v>0.1</v>
      </c>
      <c r="C200" s="4" t="n">
        <f aca="true">RAND()</f>
        <v>0.446661926024014</v>
      </c>
      <c r="D200" s="0" t="n">
        <f aca="false">IF((C200&gt;$M$2),1,0)</f>
        <v>0</v>
      </c>
      <c r="E200" s="0" t="n">
        <f aca="false">1-D200</f>
        <v>1</v>
      </c>
      <c r="F200" s="0" t="n">
        <f aca="true">RAND()</f>
        <v>0.308444550152602</v>
      </c>
      <c r="G200" s="0" t="n">
        <f aca="false">7.75+F200*10</f>
        <v>10.834445501526</v>
      </c>
      <c r="H200" s="0" t="n">
        <f aca="false">LOGINV(F200,2.64,1.139)</f>
        <v>7.92640145564961</v>
      </c>
      <c r="I200" s="0" t="n">
        <v>19.5</v>
      </c>
      <c r="J200" s="4" t="n">
        <f aca="true">-LN(RAND())/B200</f>
        <v>6.42280344169997</v>
      </c>
      <c r="K200" s="4" t="n">
        <f aca="false">K199+J200</f>
        <v>1975.32086260954</v>
      </c>
      <c r="L200" s="4" t="n">
        <f aca="false">(1/$J$4)*(1+AB199)</f>
        <v>10</v>
      </c>
      <c r="M200" s="4" t="n">
        <f aca="false">L200+MAX(K200,Y$10:Y199)</f>
        <v>1998.67002850573</v>
      </c>
      <c r="N200" s="4" t="n">
        <f aca="false">K200</f>
        <v>1975.32086260954</v>
      </c>
      <c r="O200" s="4" t="n">
        <f aca="false">M200-K200</f>
        <v>23.349165896193</v>
      </c>
      <c r="P200" s="4" t="n">
        <f aca="false">N200-K200</f>
        <v>0</v>
      </c>
      <c r="Q200" s="4" t="n">
        <f aca="false">A200-MATCH(K200,$M$9:M199,1)</f>
        <v>2</v>
      </c>
      <c r="R200" s="0" t="n">
        <f aca="false">-G200*(O200/3600)</f>
        <v>-0.0702709070578869</v>
      </c>
      <c r="S200" s="0" t="n">
        <f aca="false">-1*I200-(H200*(P200/3600))</f>
        <v>-19.5</v>
      </c>
      <c r="T200" s="0" t="n">
        <f aca="false">-H200*(O200/3600)</f>
        <v>-0.0514096840410523</v>
      </c>
      <c r="U200" s="0" t="n">
        <f aca="false">T200-S200</f>
        <v>19.448590315959</v>
      </c>
      <c r="V200" s="0" t="n">
        <f aca="false">1/(1+EXP(U200))</f>
        <v>3.5775403721774E-009</v>
      </c>
      <c r="W200" s="0" t="n">
        <f aca="true">RAND()</f>
        <v>0.680276315233734</v>
      </c>
      <c r="X200" s="0" t="n">
        <f aca="false">IF(W200&lt;V200,1,0)</f>
        <v>0</v>
      </c>
      <c r="Y200" s="0" t="n">
        <f aca="false">(M200*(1-X200)+N200*X200)*D200+M200*E200</f>
        <v>1998.67002850573</v>
      </c>
      <c r="Z200" s="0" t="n">
        <f aca="false">((1-X200)*O200+X200*P200)*D200+E200*O200</f>
        <v>23.349165896193</v>
      </c>
      <c r="AA200" s="0" t="n">
        <f aca="false">IF(D200*X200&gt;0,AA199,Q200)</f>
        <v>2</v>
      </c>
      <c r="AB200" s="0" t="n">
        <f aca="false">(X200*D200)</f>
        <v>0</v>
      </c>
      <c r="AC200" s="0" t="n">
        <f aca="false">SUM(AB$10:AB199)/K200</f>
        <v>0</v>
      </c>
      <c r="AD200" s="0" t="n">
        <f aca="false">R200*E200+D200*(X200*S200+(1-X200)*T200)</f>
        <v>-0.0702709070578869</v>
      </c>
      <c r="AE200" s="0" t="n">
        <f aca="false">Z200</f>
        <v>23.349165896193</v>
      </c>
      <c r="AF200" s="0" t="n">
        <f aca="false">E200*O200</f>
        <v>23.349165896193</v>
      </c>
      <c r="AG200" s="0" t="n">
        <f aca="false">((1-X200)*O200+X200*P200)*D200</f>
        <v>0</v>
      </c>
      <c r="AH200" s="0" t="n">
        <f aca="false">D200*(LN(EXP(S200)+EXP(T200)))</f>
        <v>-0</v>
      </c>
      <c r="AJ200" s="0" t="n">
        <f aca="false">$J$5</f>
        <v>10</v>
      </c>
      <c r="AK200" s="4" t="n">
        <f aca="false">AJ200+MAX(K200,AK$10:AK199)</f>
        <v>1998.67002850573</v>
      </c>
      <c r="AL200" s="5" t="n">
        <f aca="false">AK200-K200</f>
        <v>23.349165896193</v>
      </c>
      <c r="AM200" s="0" t="n">
        <f aca="false">-G200*AL200/3600</f>
        <v>-0.0702709070578869</v>
      </c>
      <c r="AN200" s="0" t="n">
        <f aca="false">-H200*AL200/3600</f>
        <v>-0.0514096840410523</v>
      </c>
      <c r="AO200" s="0" t="n">
        <f aca="false">AM200*E200+AN200*D200</f>
        <v>-0.0702709070578869</v>
      </c>
      <c r="AP200" s="0" t="n">
        <f aca="false">AL200*D200</f>
        <v>0</v>
      </c>
      <c r="AR200" s="0" t="n">
        <f aca="false">AN200*D200</f>
        <v>-0</v>
      </c>
      <c r="AS200" s="0" t="n">
        <f aca="false">AH200-AR200</f>
        <v>0</v>
      </c>
    </row>
    <row r="201" customFormat="false" ht="12" hidden="false" customHeight="false" outlineLevel="0" collapsed="false">
      <c r="A201" s="3" t="n">
        <f aca="false">A200+1</f>
        <v>192</v>
      </c>
      <c r="B201" s="3" t="n">
        <f aca="false">IF(A201&lt;$N$4/3,0.1,(IF(A201&gt;2*$N$4/3,0.05,0.12)))</f>
        <v>0.1</v>
      </c>
      <c r="C201" s="4" t="n">
        <f aca="true">RAND()</f>
        <v>0.539019206416972</v>
      </c>
      <c r="D201" s="0" t="n">
        <f aca="false">IF((C201&gt;$M$2),1,0)</f>
        <v>0</v>
      </c>
      <c r="E201" s="0" t="n">
        <f aca="false">1-D201</f>
        <v>1</v>
      </c>
      <c r="F201" s="0" t="n">
        <f aca="true">RAND()</f>
        <v>0.516204759439104</v>
      </c>
      <c r="G201" s="0" t="n">
        <f aca="false">7.75+F201*10</f>
        <v>12.912047594391</v>
      </c>
      <c r="H201" s="0" t="n">
        <f aca="false">LOGINV(F201,2.64,1.139)</f>
        <v>14.676948325086</v>
      </c>
      <c r="I201" s="0" t="n">
        <v>19.5</v>
      </c>
      <c r="J201" s="4" t="n">
        <f aca="true">-LN(RAND())/B201</f>
        <v>3.47397512576959</v>
      </c>
      <c r="K201" s="4" t="n">
        <f aca="false">K200+J201</f>
        <v>1978.7948377353</v>
      </c>
      <c r="L201" s="4" t="n">
        <f aca="false">(1/$J$4)*(1+AB200)</f>
        <v>10</v>
      </c>
      <c r="M201" s="4" t="n">
        <f aca="false">L201+MAX(K201,Y$10:Y200)</f>
        <v>2008.67002850573</v>
      </c>
      <c r="N201" s="4" t="n">
        <f aca="false">K201</f>
        <v>1978.7948377353</v>
      </c>
      <c r="O201" s="4" t="n">
        <f aca="false">M201-K201</f>
        <v>29.8751907704234</v>
      </c>
      <c r="P201" s="4" t="n">
        <f aca="false">N201-K201</f>
        <v>0</v>
      </c>
      <c r="Q201" s="4" t="n">
        <f aca="false">A201-MATCH(K201,$M$9:M200,1)</f>
        <v>2</v>
      </c>
      <c r="R201" s="0" t="n">
        <f aca="false">-G201*(O201/3600)</f>
        <v>-0.10715274586645</v>
      </c>
      <c r="S201" s="0" t="n">
        <f aca="false">-1*I201-(H201*(P201/3600))</f>
        <v>-19.5</v>
      </c>
      <c r="T201" s="0" t="n">
        <f aca="false">-H201*(O201/3600)</f>
        <v>-0.121799064205442</v>
      </c>
      <c r="U201" s="0" t="n">
        <f aca="false">T201-S201</f>
        <v>19.3782009357946</v>
      </c>
      <c r="V201" s="0" t="n">
        <f aca="false">1/(1+EXP(U201))</f>
        <v>3.83843563667756E-009</v>
      </c>
      <c r="W201" s="0" t="n">
        <f aca="true">RAND()</f>
        <v>0.0983707957809532</v>
      </c>
      <c r="X201" s="0" t="n">
        <f aca="false">IF(W201&lt;V201,1,0)</f>
        <v>0</v>
      </c>
      <c r="Y201" s="0" t="n">
        <f aca="false">(M201*(1-X201)+N201*X201)*D201+M201*E201</f>
        <v>2008.67002850573</v>
      </c>
      <c r="Z201" s="0" t="n">
        <f aca="false">((1-X201)*O201+X201*P201)*D201+E201*O201</f>
        <v>29.8751907704234</v>
      </c>
      <c r="AA201" s="0" t="n">
        <f aca="false">IF(D201*X201&gt;0,AA200,Q201)</f>
        <v>2</v>
      </c>
      <c r="AB201" s="0" t="n">
        <f aca="false">(X201*D201)</f>
        <v>0</v>
      </c>
      <c r="AC201" s="0" t="n">
        <f aca="false">SUM(AB$10:AB200)/K201</f>
        <v>0</v>
      </c>
      <c r="AD201" s="0" t="n">
        <f aca="false">R201*E201+D201*(X201*S201+(1-X201)*T201)</f>
        <v>-0.10715274586645</v>
      </c>
      <c r="AE201" s="0" t="n">
        <f aca="false">Z201</f>
        <v>29.8751907704234</v>
      </c>
      <c r="AF201" s="0" t="n">
        <f aca="false">E201*O201</f>
        <v>29.8751907704234</v>
      </c>
      <c r="AG201" s="0" t="n">
        <f aca="false">((1-X201)*O201+X201*P201)*D201</f>
        <v>0</v>
      </c>
      <c r="AH201" s="0" t="n">
        <f aca="false">D201*(LN(EXP(S201)+EXP(T201)))</f>
        <v>-0</v>
      </c>
      <c r="AJ201" s="0" t="n">
        <f aca="false">$J$5</f>
        <v>10</v>
      </c>
      <c r="AK201" s="4" t="n">
        <f aca="false">AJ201+MAX(K201,AK$10:AK200)</f>
        <v>2008.67002850573</v>
      </c>
      <c r="AL201" s="5" t="n">
        <f aca="false">AK201-K201</f>
        <v>29.8751907704234</v>
      </c>
      <c r="AM201" s="0" t="n">
        <f aca="false">-G201*AL201/3600</f>
        <v>-0.10715274586645</v>
      </c>
      <c r="AN201" s="0" t="n">
        <f aca="false">-H201*AL201/3600</f>
        <v>-0.121799064205442</v>
      </c>
      <c r="AO201" s="0" t="n">
        <f aca="false">AM201*E201+AN201*D201</f>
        <v>-0.10715274586645</v>
      </c>
      <c r="AP201" s="0" t="n">
        <f aca="false">AL201*D201</f>
        <v>0</v>
      </c>
      <c r="AR201" s="0" t="n">
        <f aca="false">AN201*D201</f>
        <v>-0</v>
      </c>
      <c r="AS201" s="0" t="n">
        <f aca="false">AH201-AR201</f>
        <v>0</v>
      </c>
    </row>
    <row r="202" customFormat="false" ht="12" hidden="false" customHeight="false" outlineLevel="0" collapsed="false">
      <c r="A202" s="3" t="n">
        <f aca="false">A201+1</f>
        <v>193</v>
      </c>
      <c r="B202" s="3" t="n">
        <f aca="false">IF(A202&lt;$N$4/3,0.1,(IF(A202&gt;2*$N$4/3,0.05,0.12)))</f>
        <v>0.1</v>
      </c>
      <c r="C202" s="4" t="n">
        <f aca="true">RAND()</f>
        <v>0.563512841473038</v>
      </c>
      <c r="D202" s="0" t="n">
        <f aca="false">IF((C202&gt;$M$2),1,0)</f>
        <v>0</v>
      </c>
      <c r="E202" s="0" t="n">
        <f aca="false">1-D202</f>
        <v>1</v>
      </c>
      <c r="F202" s="0" t="n">
        <f aca="true">RAND()</f>
        <v>0.387808587948213</v>
      </c>
      <c r="G202" s="0" t="n">
        <f aca="false">7.75+F202*10</f>
        <v>11.6280858794821</v>
      </c>
      <c r="H202" s="0" t="n">
        <f aca="false">LOGINV(F202,2.64,1.139)</f>
        <v>10.1284157039584</v>
      </c>
      <c r="I202" s="0" t="n">
        <v>19.5</v>
      </c>
      <c r="J202" s="4" t="n">
        <f aca="true">-LN(RAND())/B202</f>
        <v>2.12746710940157</v>
      </c>
      <c r="K202" s="4" t="n">
        <f aca="false">K201+J202</f>
        <v>1980.92230484471</v>
      </c>
      <c r="L202" s="4" t="n">
        <f aca="false">(1/$J$4)*(1+AB201)</f>
        <v>10</v>
      </c>
      <c r="M202" s="4" t="n">
        <f aca="false">L202+MAX(K202,Y$10:Y201)</f>
        <v>2018.67002850573</v>
      </c>
      <c r="N202" s="4" t="n">
        <f aca="false">K202</f>
        <v>1980.92230484471</v>
      </c>
      <c r="O202" s="4" t="n">
        <f aca="false">M202-K202</f>
        <v>37.7477236610218</v>
      </c>
      <c r="P202" s="4" t="n">
        <f aca="false">N202-K202</f>
        <v>0</v>
      </c>
      <c r="Q202" s="4" t="n">
        <f aca="false">A202-MATCH(K202,$M$9:M201,1)</f>
        <v>3</v>
      </c>
      <c r="R202" s="0" t="n">
        <f aca="false">-G202*(O202/3600)</f>
        <v>-0.121926047912589</v>
      </c>
      <c r="S202" s="0" t="n">
        <f aca="false">-1*I202-(H202*(P202/3600))</f>
        <v>-19.5</v>
      </c>
      <c r="T202" s="0" t="n">
        <f aca="false">-H202*(O202/3600)</f>
        <v>-0.106201288088048</v>
      </c>
      <c r="U202" s="0" t="n">
        <f aca="false">T202-S202</f>
        <v>19.393798711912</v>
      </c>
      <c r="V202" s="0" t="n">
        <f aca="false">1/(1+EXP(U202))</f>
        <v>3.77902908665199E-009</v>
      </c>
      <c r="W202" s="0" t="n">
        <f aca="true">RAND()</f>
        <v>0.686840795363768</v>
      </c>
      <c r="X202" s="0" t="n">
        <f aca="false">IF(W202&lt;V202,1,0)</f>
        <v>0</v>
      </c>
      <c r="Y202" s="0" t="n">
        <f aca="false">(M202*(1-X202)+N202*X202)*D202+M202*E202</f>
        <v>2018.67002850573</v>
      </c>
      <c r="Z202" s="0" t="n">
        <f aca="false">((1-X202)*O202+X202*P202)*D202+E202*O202</f>
        <v>37.7477236610218</v>
      </c>
      <c r="AA202" s="0" t="n">
        <f aca="false">IF(D202*X202&gt;0,AA201,Q202)</f>
        <v>3</v>
      </c>
      <c r="AB202" s="0" t="n">
        <f aca="false">(X202*D202)</f>
        <v>0</v>
      </c>
      <c r="AC202" s="0" t="n">
        <f aca="false">SUM(AB$10:AB201)/K202</f>
        <v>0</v>
      </c>
      <c r="AD202" s="0" t="n">
        <f aca="false">R202*E202+D202*(X202*S202+(1-X202)*T202)</f>
        <v>-0.121926047912589</v>
      </c>
      <c r="AE202" s="0" t="n">
        <f aca="false">Z202</f>
        <v>37.7477236610218</v>
      </c>
      <c r="AF202" s="0" t="n">
        <f aca="false">E202*O202</f>
        <v>37.7477236610218</v>
      </c>
      <c r="AG202" s="0" t="n">
        <f aca="false">((1-X202)*O202+X202*P202)*D202</f>
        <v>0</v>
      </c>
      <c r="AH202" s="0" t="n">
        <f aca="false">D202*(LN(EXP(S202)+EXP(T202)))</f>
        <v>-0</v>
      </c>
      <c r="AJ202" s="0" t="n">
        <f aca="false">$J$5</f>
        <v>10</v>
      </c>
      <c r="AK202" s="4" t="n">
        <f aca="false">AJ202+MAX(K202,AK$10:AK201)</f>
        <v>2018.67002850573</v>
      </c>
      <c r="AL202" s="5" t="n">
        <f aca="false">AK202-K202</f>
        <v>37.7477236610218</v>
      </c>
      <c r="AM202" s="0" t="n">
        <f aca="false">-G202*AL202/3600</f>
        <v>-0.121926047912589</v>
      </c>
      <c r="AN202" s="0" t="n">
        <f aca="false">-H202*AL202/3600</f>
        <v>-0.106201288088048</v>
      </c>
      <c r="AO202" s="0" t="n">
        <f aca="false">AM202*E202+AN202*D202</f>
        <v>-0.121926047912589</v>
      </c>
      <c r="AP202" s="0" t="n">
        <f aca="false">AL202*D202</f>
        <v>0</v>
      </c>
      <c r="AR202" s="0" t="n">
        <f aca="false">AN202*D202</f>
        <v>-0</v>
      </c>
      <c r="AS202" s="0" t="n">
        <f aca="false">AH202-AR202</f>
        <v>0</v>
      </c>
    </row>
    <row r="203" customFormat="false" ht="12" hidden="false" customHeight="false" outlineLevel="0" collapsed="false">
      <c r="A203" s="3" t="n">
        <f aca="false">A202+1</f>
        <v>194</v>
      </c>
      <c r="B203" s="3" t="n">
        <f aca="false">IF(A203&lt;$N$4/3,0.1,(IF(A203&gt;2*$N$4/3,0.05,0.12)))</f>
        <v>0.1</v>
      </c>
      <c r="C203" s="4" t="n">
        <f aca="true">RAND()</f>
        <v>0.957626706108904</v>
      </c>
      <c r="D203" s="0" t="n">
        <f aca="false">IF((C203&gt;$M$2),1,0)</f>
        <v>1</v>
      </c>
      <c r="E203" s="0" t="n">
        <f aca="false">1-D203</f>
        <v>0</v>
      </c>
      <c r="F203" s="0" t="n">
        <f aca="true">RAND()</f>
        <v>0.0308761565379828</v>
      </c>
      <c r="G203" s="0" t="n">
        <f aca="false">7.75+F203*10</f>
        <v>8.05876156537983</v>
      </c>
      <c r="H203" s="0" t="n">
        <f aca="false">LOGINV(F203,2.64,1.139)</f>
        <v>1.66907279283505</v>
      </c>
      <c r="I203" s="0" t="n">
        <v>19.5</v>
      </c>
      <c r="J203" s="4" t="n">
        <f aca="true">-LN(RAND())/B203</f>
        <v>3.24799463767986</v>
      </c>
      <c r="K203" s="4" t="n">
        <f aca="false">K202+J203</f>
        <v>1984.17029948239</v>
      </c>
      <c r="L203" s="4" t="n">
        <f aca="false">(1/$J$4)*(1+AB202)</f>
        <v>10</v>
      </c>
      <c r="M203" s="4" t="n">
        <f aca="false">L203+MAX(K203,Y$10:Y202)</f>
        <v>2028.67002850573</v>
      </c>
      <c r="N203" s="4" t="n">
        <f aca="false">K203</f>
        <v>1984.17029948239</v>
      </c>
      <c r="O203" s="4" t="n">
        <f aca="false">M203-K203</f>
        <v>44.4997290233421</v>
      </c>
      <c r="P203" s="4" t="n">
        <f aca="false">N203-K203</f>
        <v>0</v>
      </c>
      <c r="Q203" s="4" t="n">
        <f aca="false">A203-MATCH(K203,$M$9:M202,1)</f>
        <v>4</v>
      </c>
      <c r="R203" s="0" t="n">
        <f aca="false">-G203*(O203/3600)</f>
        <v>-0.0996146405342017</v>
      </c>
      <c r="S203" s="0" t="n">
        <f aca="false">-1*I203-(H203*(P203/3600))</f>
        <v>-19.5</v>
      </c>
      <c r="T203" s="0" t="n">
        <f aca="false">-H203*(O203/3600)</f>
        <v>-0.0206314686114979</v>
      </c>
      <c r="U203" s="0" t="n">
        <f aca="false">T203-S203</f>
        <v>19.4793685313885</v>
      </c>
      <c r="V203" s="0" t="n">
        <f aca="false">1/(1+EXP(U203))</f>
        <v>3.46910731205682E-009</v>
      </c>
      <c r="W203" s="0" t="n">
        <f aca="true">RAND()</f>
        <v>0.841755671065555</v>
      </c>
      <c r="X203" s="0" t="n">
        <f aca="false">IF(W203&lt;V203,1,0)</f>
        <v>0</v>
      </c>
      <c r="Y203" s="0" t="n">
        <f aca="false">(M203*(1-X203)+N203*X203)*D203+M203*E203</f>
        <v>2028.67002850573</v>
      </c>
      <c r="Z203" s="0" t="n">
        <f aca="false">((1-X203)*O203+X203*P203)*D203+E203*O203</f>
        <v>44.4997290233421</v>
      </c>
      <c r="AA203" s="0" t="n">
        <f aca="false">IF(D203*X203&gt;0,AA202,Q203)</f>
        <v>4</v>
      </c>
      <c r="AB203" s="0" t="n">
        <f aca="false">(X203*D203)</f>
        <v>0</v>
      </c>
      <c r="AC203" s="0" t="n">
        <f aca="false">SUM(AB$10:AB202)/K203</f>
        <v>0</v>
      </c>
      <c r="AD203" s="0" t="n">
        <f aca="false">R203*E203+D203*(X203*S203+(1-X203)*T203)</f>
        <v>-0.0206314686114979</v>
      </c>
      <c r="AE203" s="0" t="n">
        <f aca="false">Z203</f>
        <v>44.4997290233421</v>
      </c>
      <c r="AF203" s="0" t="n">
        <f aca="false">E203*O203</f>
        <v>0</v>
      </c>
      <c r="AG203" s="0" t="n">
        <f aca="false">((1-X203)*O203+X203*P203)*D203</f>
        <v>44.4997290233421</v>
      </c>
      <c r="AH203" s="0" t="n">
        <f aca="false">D203*(LN(EXP(S203)+EXP(T203)))</f>
        <v>-0.0206314651423907</v>
      </c>
      <c r="AJ203" s="0" t="n">
        <f aca="false">$J$5</f>
        <v>10</v>
      </c>
      <c r="AK203" s="4" t="n">
        <f aca="false">AJ203+MAX(K203,AK$10:AK202)</f>
        <v>2028.67002850573</v>
      </c>
      <c r="AL203" s="5" t="n">
        <f aca="false">AK203-K203</f>
        <v>44.4997290233421</v>
      </c>
      <c r="AM203" s="0" t="n">
        <f aca="false">-G203*AL203/3600</f>
        <v>-0.0996146405342017</v>
      </c>
      <c r="AN203" s="0" t="n">
        <f aca="false">-H203*AL203/3600</f>
        <v>-0.0206314686114979</v>
      </c>
      <c r="AO203" s="0" t="n">
        <f aca="false">AM203*E203+AN203*D203</f>
        <v>-0.0206314686114979</v>
      </c>
      <c r="AP203" s="0" t="n">
        <f aca="false">AL203*D203</f>
        <v>44.4997290233421</v>
      </c>
      <c r="AR203" s="0" t="n">
        <f aca="false">AN203*D203</f>
        <v>-0.0206314686114979</v>
      </c>
      <c r="AS203" s="0" t="n">
        <f aca="false">AH203-AR203</f>
        <v>3.46910726881089E-009</v>
      </c>
    </row>
    <row r="204" customFormat="false" ht="12" hidden="false" customHeight="false" outlineLevel="0" collapsed="false">
      <c r="A204" s="3" t="n">
        <f aca="false">A203+1</f>
        <v>195</v>
      </c>
      <c r="B204" s="3" t="n">
        <f aca="false">IF(A204&lt;$N$4/3,0.1,(IF(A204&gt;2*$N$4/3,0.05,0.12)))</f>
        <v>0.1</v>
      </c>
      <c r="C204" s="4" t="n">
        <f aca="true">RAND()</f>
        <v>0.511374962350054</v>
      </c>
      <c r="D204" s="0" t="n">
        <f aca="false">IF((C204&gt;$M$2),1,0)</f>
        <v>0</v>
      </c>
      <c r="E204" s="0" t="n">
        <f aca="false">1-D204</f>
        <v>1</v>
      </c>
      <c r="F204" s="0" t="n">
        <f aca="true">RAND()</f>
        <v>0.880503013710353</v>
      </c>
      <c r="G204" s="0" t="n">
        <f aca="false">7.75+F204*10</f>
        <v>16.5550301371035</v>
      </c>
      <c r="H204" s="0" t="n">
        <f aca="false">LOGINV(F204,2.64,1.139)</f>
        <v>53.580129548156</v>
      </c>
      <c r="I204" s="0" t="n">
        <v>19.5</v>
      </c>
      <c r="J204" s="4" t="n">
        <f aca="true">-LN(RAND())/B204</f>
        <v>0.946083906627691</v>
      </c>
      <c r="K204" s="4" t="n">
        <f aca="false">K203+J204</f>
        <v>1985.11638338901</v>
      </c>
      <c r="L204" s="4" t="n">
        <f aca="false">(1/$J$4)*(1+AB203)</f>
        <v>10</v>
      </c>
      <c r="M204" s="4" t="n">
        <f aca="false">L204+MAX(K204,Y$10:Y203)</f>
        <v>2038.67002850573</v>
      </c>
      <c r="N204" s="4" t="n">
        <f aca="false">K204</f>
        <v>1985.11638338901</v>
      </c>
      <c r="O204" s="4" t="n">
        <f aca="false">M204-K204</f>
        <v>53.5536451167143</v>
      </c>
      <c r="P204" s="4" t="n">
        <f aca="false">N204-K204</f>
        <v>0</v>
      </c>
      <c r="Q204" s="4" t="n">
        <f aca="false">A204-MATCH(K204,$M$9:M203,1)</f>
        <v>5</v>
      </c>
      <c r="R204" s="0" t="n">
        <f aca="false">-G204*(O204/3600)</f>
        <v>-0.246272835794153</v>
      </c>
      <c r="S204" s="0" t="n">
        <f aca="false">-1*I204-(H204*(P204/3600))</f>
        <v>-19.5</v>
      </c>
      <c r="T204" s="0" t="n">
        <f aca="false">-H204*(O204/3600)</f>
        <v>-0.79705867864709</v>
      </c>
      <c r="U204" s="0" t="n">
        <f aca="false">T204-S204</f>
        <v>18.7029413213529</v>
      </c>
      <c r="V204" s="0" t="n">
        <f aca="false">1/(1+EXP(U204))</f>
        <v>7.54077157776338E-009</v>
      </c>
      <c r="W204" s="0" t="n">
        <f aca="true">RAND()</f>
        <v>0.248574870585496</v>
      </c>
      <c r="X204" s="0" t="n">
        <f aca="false">IF(W204&lt;V204,1,0)</f>
        <v>0</v>
      </c>
      <c r="Y204" s="0" t="n">
        <f aca="false">(M204*(1-X204)+N204*X204)*D204+M204*E204</f>
        <v>2038.67002850573</v>
      </c>
      <c r="Z204" s="0" t="n">
        <f aca="false">((1-X204)*O204+X204*P204)*D204+E204*O204</f>
        <v>53.5536451167143</v>
      </c>
      <c r="AA204" s="0" t="n">
        <f aca="false">IF(D204*X204&gt;0,AA203,Q204)</f>
        <v>5</v>
      </c>
      <c r="AB204" s="0" t="n">
        <f aca="false">(X204*D204)</f>
        <v>0</v>
      </c>
      <c r="AC204" s="0" t="n">
        <f aca="false">SUM(AB$10:AB203)/K204</f>
        <v>0</v>
      </c>
      <c r="AD204" s="0" t="n">
        <f aca="false">R204*E204+D204*(X204*S204+(1-X204)*T204)</f>
        <v>-0.246272835794153</v>
      </c>
      <c r="AE204" s="0" t="n">
        <f aca="false">Z204</f>
        <v>53.5536451167143</v>
      </c>
      <c r="AF204" s="0" t="n">
        <f aca="false">E204*O204</f>
        <v>53.5536451167143</v>
      </c>
      <c r="AG204" s="0" t="n">
        <f aca="false">((1-X204)*O204+X204*P204)*D204</f>
        <v>0</v>
      </c>
      <c r="AH204" s="0" t="n">
        <f aca="false">D204*(LN(EXP(S204)+EXP(T204)))</f>
        <v>-0</v>
      </c>
      <c r="AJ204" s="0" t="n">
        <f aca="false">$J$5</f>
        <v>10</v>
      </c>
      <c r="AK204" s="4" t="n">
        <f aca="false">AJ204+MAX(K204,AK$10:AK203)</f>
        <v>2038.67002850573</v>
      </c>
      <c r="AL204" s="5" t="n">
        <f aca="false">AK204-K204</f>
        <v>53.5536451167143</v>
      </c>
      <c r="AM204" s="0" t="n">
        <f aca="false">-G204*AL204/3600</f>
        <v>-0.246272835794153</v>
      </c>
      <c r="AN204" s="0" t="n">
        <f aca="false">-H204*AL204/3600</f>
        <v>-0.79705867864709</v>
      </c>
      <c r="AO204" s="0" t="n">
        <f aca="false">AM204*E204+AN204*D204</f>
        <v>-0.246272835794153</v>
      </c>
      <c r="AP204" s="0" t="n">
        <f aca="false">AL204*D204</f>
        <v>0</v>
      </c>
      <c r="AR204" s="0" t="n">
        <f aca="false">AN204*D204</f>
        <v>-0</v>
      </c>
      <c r="AS204" s="0" t="n">
        <f aca="false">AH204-AR204</f>
        <v>0</v>
      </c>
    </row>
    <row r="205" customFormat="false" ht="12" hidden="false" customHeight="false" outlineLevel="0" collapsed="false">
      <c r="A205" s="3" t="n">
        <f aca="false">A204+1</f>
        <v>196</v>
      </c>
      <c r="B205" s="3" t="n">
        <f aca="false">IF(A205&lt;$N$4/3,0.1,(IF(A205&gt;2*$N$4/3,0.05,0.12)))</f>
        <v>0.1</v>
      </c>
      <c r="C205" s="4" t="n">
        <f aca="true">RAND()</f>
        <v>0.094315836341755</v>
      </c>
      <c r="D205" s="0" t="n">
        <f aca="false">IF((C205&gt;$M$2),1,0)</f>
        <v>0</v>
      </c>
      <c r="E205" s="0" t="n">
        <f aca="false">1-D205</f>
        <v>1</v>
      </c>
      <c r="F205" s="0" t="n">
        <f aca="true">RAND()</f>
        <v>0.438958532158214</v>
      </c>
      <c r="G205" s="0" t="n">
        <f aca="false">7.75+F205*10</f>
        <v>12.1395853215821</v>
      </c>
      <c r="H205" s="0" t="n">
        <f aca="false">LOGINV(F205,2.64,1.139)</f>
        <v>11.7639284596132</v>
      </c>
      <c r="I205" s="0" t="n">
        <v>19.5</v>
      </c>
      <c r="J205" s="4" t="n">
        <f aca="true">-LN(RAND())/B205</f>
        <v>11.0145789020099</v>
      </c>
      <c r="K205" s="4" t="n">
        <f aca="false">K204+J205</f>
        <v>1996.13096229102</v>
      </c>
      <c r="L205" s="4" t="n">
        <f aca="false">(1/$J$4)*(1+AB204)</f>
        <v>10</v>
      </c>
      <c r="M205" s="4" t="n">
        <f aca="false">L205+MAX(K205,Y$10:Y204)</f>
        <v>2048.67002850573</v>
      </c>
      <c r="N205" s="4" t="n">
        <f aca="false">K205</f>
        <v>1996.13096229102</v>
      </c>
      <c r="O205" s="4" t="n">
        <f aca="false">M205-K205</f>
        <v>52.5390662147045</v>
      </c>
      <c r="P205" s="4" t="n">
        <f aca="false">N205-K205</f>
        <v>0</v>
      </c>
      <c r="Q205" s="4" t="n">
        <f aca="false">A205-MATCH(K205,$M$9:M204,1)</f>
        <v>5</v>
      </c>
      <c r="R205" s="0" t="n">
        <f aca="false">-G205*(O205/3600)</f>
        <v>-0.177167354730461</v>
      </c>
      <c r="S205" s="0" t="n">
        <f aca="false">-1*I205-(H205*(P205/3600))</f>
        <v>-19.5</v>
      </c>
      <c r="T205" s="0" t="n">
        <f aca="false">-H205*(O205/3600)</f>
        <v>-0.171684948967962</v>
      </c>
      <c r="U205" s="0" t="n">
        <f aca="false">T205-S205</f>
        <v>19.328315051032</v>
      </c>
      <c r="V205" s="0" t="n">
        <f aca="false">1/(1+EXP(U205))</f>
        <v>4.03477598365499E-009</v>
      </c>
      <c r="W205" s="0" t="n">
        <f aca="true">RAND()</f>
        <v>0.827400901589205</v>
      </c>
      <c r="X205" s="0" t="n">
        <f aca="false">IF(W205&lt;V205,1,0)</f>
        <v>0</v>
      </c>
      <c r="Y205" s="0" t="n">
        <f aca="false">(M205*(1-X205)+N205*X205)*D205+M205*E205</f>
        <v>2048.67002850573</v>
      </c>
      <c r="Z205" s="0" t="n">
        <f aca="false">((1-X205)*O205+X205*P205)*D205+E205*O205</f>
        <v>52.5390662147045</v>
      </c>
      <c r="AA205" s="0" t="n">
        <f aca="false">IF(D205*X205&gt;0,AA204,Q205)</f>
        <v>5</v>
      </c>
      <c r="AB205" s="0" t="n">
        <f aca="false">(X205*D205)</f>
        <v>0</v>
      </c>
      <c r="AC205" s="0" t="n">
        <f aca="false">SUM(AB$10:AB204)/K205</f>
        <v>0</v>
      </c>
      <c r="AD205" s="0" t="n">
        <f aca="false">R205*E205+D205*(X205*S205+(1-X205)*T205)</f>
        <v>-0.177167354730461</v>
      </c>
      <c r="AE205" s="0" t="n">
        <f aca="false">Z205</f>
        <v>52.5390662147045</v>
      </c>
      <c r="AF205" s="0" t="n">
        <f aca="false">E205*O205</f>
        <v>52.5390662147045</v>
      </c>
      <c r="AG205" s="0" t="n">
        <f aca="false">((1-X205)*O205+X205*P205)*D205</f>
        <v>0</v>
      </c>
      <c r="AH205" s="0" t="n">
        <f aca="false">D205*(LN(EXP(S205)+EXP(T205)))</f>
        <v>-0</v>
      </c>
      <c r="AJ205" s="0" t="n">
        <f aca="false">$J$5</f>
        <v>10</v>
      </c>
      <c r="AK205" s="4" t="n">
        <f aca="false">AJ205+MAX(K205,AK$10:AK204)</f>
        <v>2048.67002850573</v>
      </c>
      <c r="AL205" s="5" t="n">
        <f aca="false">AK205-K205</f>
        <v>52.5390662147045</v>
      </c>
      <c r="AM205" s="0" t="n">
        <f aca="false">-G205*AL205/3600</f>
        <v>-0.177167354730461</v>
      </c>
      <c r="AN205" s="0" t="n">
        <f aca="false">-H205*AL205/3600</f>
        <v>-0.171684948967962</v>
      </c>
      <c r="AO205" s="0" t="n">
        <f aca="false">AM205*E205+AN205*D205</f>
        <v>-0.177167354730461</v>
      </c>
      <c r="AP205" s="0" t="n">
        <f aca="false">AL205*D205</f>
        <v>0</v>
      </c>
      <c r="AR205" s="0" t="n">
        <f aca="false">AN205*D205</f>
        <v>-0</v>
      </c>
      <c r="AS205" s="0" t="n">
        <f aca="false">AH205-AR205</f>
        <v>0</v>
      </c>
    </row>
    <row r="206" customFormat="false" ht="12" hidden="false" customHeight="false" outlineLevel="0" collapsed="false">
      <c r="A206" s="3" t="n">
        <f aca="false">A205+1</f>
        <v>197</v>
      </c>
      <c r="B206" s="3" t="n">
        <f aca="false">IF(A206&lt;$N$4/3,0.1,(IF(A206&gt;2*$N$4/3,0.05,0.12)))</f>
        <v>0.1</v>
      </c>
      <c r="C206" s="4" t="n">
        <f aca="true">RAND()</f>
        <v>0.46566135923246</v>
      </c>
      <c r="D206" s="0" t="n">
        <f aca="false">IF((C206&gt;$M$2),1,0)</f>
        <v>0</v>
      </c>
      <c r="E206" s="0" t="n">
        <f aca="false">1-D206</f>
        <v>1</v>
      </c>
      <c r="F206" s="0" t="n">
        <f aca="true">RAND()</f>
        <v>0.132263912817559</v>
      </c>
      <c r="G206" s="0" t="n">
        <f aca="false">7.75+F206*10</f>
        <v>9.07263912817559</v>
      </c>
      <c r="H206" s="0" t="n">
        <f aca="false">LOGINV(F206,2.64,1.139)</f>
        <v>3.93203536385123</v>
      </c>
      <c r="I206" s="0" t="n">
        <v>19.5</v>
      </c>
      <c r="J206" s="4" t="n">
        <f aca="true">-LN(RAND())/B206</f>
        <v>8.60427802239772</v>
      </c>
      <c r="K206" s="4" t="n">
        <f aca="false">K205+J206</f>
        <v>2004.73524031342</v>
      </c>
      <c r="L206" s="4" t="n">
        <f aca="false">(1/$J$4)*(1+AB205)</f>
        <v>10</v>
      </c>
      <c r="M206" s="4" t="n">
        <f aca="false">L206+MAX(K206,Y$10:Y205)</f>
        <v>2058.67002850573</v>
      </c>
      <c r="N206" s="4" t="n">
        <f aca="false">K206</f>
        <v>2004.73524031342</v>
      </c>
      <c r="O206" s="4" t="n">
        <f aca="false">M206-K206</f>
        <v>53.9347881923068</v>
      </c>
      <c r="P206" s="4" t="n">
        <f aca="false">N206-K206</f>
        <v>0</v>
      </c>
      <c r="Q206" s="4" t="n">
        <f aca="false">A206-MATCH(K206,$M$9:M205,1)</f>
        <v>5</v>
      </c>
      <c r="R206" s="0" t="n">
        <f aca="false">-G206*(O206/3600)</f>
        <v>-0.135925241589829</v>
      </c>
      <c r="S206" s="0" t="n">
        <f aca="false">-1*I206-(H206*(P206/3600))</f>
        <v>-19.5</v>
      </c>
      <c r="T206" s="0" t="n">
        <f aca="false">-H206*(O206/3600)</f>
        <v>-0.05890930403166</v>
      </c>
      <c r="U206" s="0" t="n">
        <f aca="false">T206-S206</f>
        <v>19.4410906959683</v>
      </c>
      <c r="V206" s="0" t="n">
        <f aca="false">1/(1+EXP(U206))</f>
        <v>3.60447142547953E-009</v>
      </c>
      <c r="W206" s="0" t="n">
        <f aca="true">RAND()</f>
        <v>0.80736740174832</v>
      </c>
      <c r="X206" s="0" t="n">
        <f aca="false">IF(W206&lt;V206,1,0)</f>
        <v>0</v>
      </c>
      <c r="Y206" s="0" t="n">
        <f aca="false">(M206*(1-X206)+N206*X206)*D206+M206*E206</f>
        <v>2058.67002850573</v>
      </c>
      <c r="Z206" s="0" t="n">
        <f aca="false">((1-X206)*O206+X206*P206)*D206+E206*O206</f>
        <v>53.9347881923068</v>
      </c>
      <c r="AA206" s="0" t="n">
        <f aca="false">IF(D206*X206&gt;0,AA205,Q206)</f>
        <v>5</v>
      </c>
      <c r="AB206" s="0" t="n">
        <f aca="false">(X206*D206)</f>
        <v>0</v>
      </c>
      <c r="AC206" s="0" t="n">
        <f aca="false">SUM(AB$10:AB205)/K206</f>
        <v>0</v>
      </c>
      <c r="AD206" s="0" t="n">
        <f aca="false">R206*E206+D206*(X206*S206+(1-X206)*T206)</f>
        <v>-0.135925241589829</v>
      </c>
      <c r="AE206" s="0" t="n">
        <f aca="false">Z206</f>
        <v>53.9347881923068</v>
      </c>
      <c r="AF206" s="0" t="n">
        <f aca="false">E206*O206</f>
        <v>53.9347881923068</v>
      </c>
      <c r="AG206" s="0" t="n">
        <f aca="false">((1-X206)*O206+X206*P206)*D206</f>
        <v>0</v>
      </c>
      <c r="AH206" s="0" t="n">
        <f aca="false">D206*(LN(EXP(S206)+EXP(T206)))</f>
        <v>-0</v>
      </c>
      <c r="AJ206" s="0" t="n">
        <f aca="false">$J$5</f>
        <v>10</v>
      </c>
      <c r="AK206" s="4" t="n">
        <f aca="false">AJ206+MAX(K206,AK$10:AK205)</f>
        <v>2058.67002850573</v>
      </c>
      <c r="AL206" s="5" t="n">
        <f aca="false">AK206-K206</f>
        <v>53.9347881923068</v>
      </c>
      <c r="AM206" s="0" t="n">
        <f aca="false">-G206*AL206/3600</f>
        <v>-0.135925241589829</v>
      </c>
      <c r="AN206" s="0" t="n">
        <f aca="false">-H206*AL206/3600</f>
        <v>-0.05890930403166</v>
      </c>
      <c r="AO206" s="0" t="n">
        <f aca="false">AM206*E206+AN206*D206</f>
        <v>-0.135925241589829</v>
      </c>
      <c r="AP206" s="0" t="n">
        <f aca="false">AL206*D206</f>
        <v>0</v>
      </c>
      <c r="AR206" s="0" t="n">
        <f aca="false">AN206*D206</f>
        <v>-0</v>
      </c>
      <c r="AS206" s="0" t="n">
        <f aca="false">AH206-AR206</f>
        <v>0</v>
      </c>
    </row>
    <row r="207" customFormat="false" ht="12" hidden="false" customHeight="false" outlineLevel="0" collapsed="false">
      <c r="A207" s="3" t="n">
        <f aca="false">A206+1</f>
        <v>198</v>
      </c>
      <c r="B207" s="3" t="n">
        <f aca="false">IF(A207&lt;$N$4/3,0.1,(IF(A207&gt;2*$N$4/3,0.05,0.12)))</f>
        <v>0.1</v>
      </c>
      <c r="C207" s="4" t="n">
        <f aca="true">RAND()</f>
        <v>0.35731864807221</v>
      </c>
      <c r="D207" s="0" t="n">
        <f aca="false">IF((C207&gt;$M$2),1,0)</f>
        <v>0</v>
      </c>
      <c r="E207" s="0" t="n">
        <f aca="false">1-D207</f>
        <v>1</v>
      </c>
      <c r="F207" s="0" t="n">
        <f aca="true">RAND()</f>
        <v>0.0784729155313263</v>
      </c>
      <c r="G207" s="0" t="n">
        <f aca="false">7.75+F207*10</f>
        <v>8.53472915531326</v>
      </c>
      <c r="H207" s="0" t="n">
        <f aca="false">LOGINV(F207,2.64,1.139)</f>
        <v>2.7950174170376</v>
      </c>
      <c r="I207" s="0" t="n">
        <v>19.5</v>
      </c>
      <c r="J207" s="4" t="n">
        <f aca="true">-LN(RAND())/B207</f>
        <v>11.1851692049064</v>
      </c>
      <c r="K207" s="4" t="n">
        <f aca="false">K206+J207</f>
        <v>2015.92040951833</v>
      </c>
      <c r="L207" s="4" t="n">
        <f aca="false">(1/$J$4)*(1+AB206)</f>
        <v>10</v>
      </c>
      <c r="M207" s="4" t="n">
        <f aca="false">L207+MAX(K207,Y$10:Y206)</f>
        <v>2068.67002850573</v>
      </c>
      <c r="N207" s="4" t="n">
        <f aca="false">K207</f>
        <v>2015.92040951833</v>
      </c>
      <c r="O207" s="4" t="n">
        <f aca="false">M207-K207</f>
        <v>52.7496189874005</v>
      </c>
      <c r="P207" s="4" t="n">
        <f aca="false">N207-K207</f>
        <v>0</v>
      </c>
      <c r="Q207" s="4" t="n">
        <f aca="false">A207-MATCH(K207,$M$9:M206,1)</f>
        <v>5</v>
      </c>
      <c r="R207" s="0" t="n">
        <f aca="false">-G207*(O207/3600)</f>
        <v>-0.12505658641762</v>
      </c>
      <c r="S207" s="0" t="n">
        <f aca="false">-1*I207-(H207*(P207/3600))</f>
        <v>-19.5</v>
      </c>
      <c r="T207" s="0" t="n">
        <f aca="false">-H207*(O207/3600)</f>
        <v>-0.0409544732810782</v>
      </c>
      <c r="U207" s="0" t="n">
        <f aca="false">T207-S207</f>
        <v>19.4590455267189</v>
      </c>
      <c r="V207" s="0" t="n">
        <f aca="false">1/(1+EXP(U207))</f>
        <v>3.54033128707743E-009</v>
      </c>
      <c r="W207" s="0" t="n">
        <f aca="true">RAND()</f>
        <v>0.991799697130151</v>
      </c>
      <c r="X207" s="0" t="n">
        <f aca="false">IF(W207&lt;V207,1,0)</f>
        <v>0</v>
      </c>
      <c r="Y207" s="0" t="n">
        <f aca="false">(M207*(1-X207)+N207*X207)*D207+M207*E207</f>
        <v>2068.67002850573</v>
      </c>
      <c r="Z207" s="0" t="n">
        <f aca="false">((1-X207)*O207+X207*P207)*D207+E207*O207</f>
        <v>52.7496189874005</v>
      </c>
      <c r="AA207" s="0" t="n">
        <f aca="false">IF(D207*X207&gt;0,AA206,Q207)</f>
        <v>5</v>
      </c>
      <c r="AB207" s="0" t="n">
        <f aca="false">(X207*D207)</f>
        <v>0</v>
      </c>
      <c r="AC207" s="0" t="n">
        <f aca="false">SUM(AB$10:AB206)/K207</f>
        <v>0</v>
      </c>
      <c r="AD207" s="0" t="n">
        <f aca="false">R207*E207+D207*(X207*S207+(1-X207)*T207)</f>
        <v>-0.12505658641762</v>
      </c>
      <c r="AE207" s="0" t="n">
        <f aca="false">Z207</f>
        <v>52.7496189874005</v>
      </c>
      <c r="AF207" s="0" t="n">
        <f aca="false">E207*O207</f>
        <v>52.7496189874005</v>
      </c>
      <c r="AG207" s="0" t="n">
        <f aca="false">((1-X207)*O207+X207*P207)*D207</f>
        <v>0</v>
      </c>
      <c r="AH207" s="0" t="n">
        <f aca="false">D207*(LN(EXP(S207)+EXP(T207)))</f>
        <v>-0</v>
      </c>
      <c r="AJ207" s="0" t="n">
        <f aca="false">$J$5</f>
        <v>10</v>
      </c>
      <c r="AK207" s="4" t="n">
        <f aca="false">AJ207+MAX(K207,AK$10:AK206)</f>
        <v>2068.67002850573</v>
      </c>
      <c r="AL207" s="5" t="n">
        <f aca="false">AK207-K207</f>
        <v>52.7496189874005</v>
      </c>
      <c r="AM207" s="0" t="n">
        <f aca="false">-G207*AL207/3600</f>
        <v>-0.12505658641762</v>
      </c>
      <c r="AN207" s="0" t="n">
        <f aca="false">-H207*AL207/3600</f>
        <v>-0.0409544732810782</v>
      </c>
      <c r="AO207" s="0" t="n">
        <f aca="false">AM207*E207+AN207*D207</f>
        <v>-0.12505658641762</v>
      </c>
      <c r="AP207" s="0" t="n">
        <f aca="false">AL207*D207</f>
        <v>0</v>
      </c>
      <c r="AR207" s="0" t="n">
        <f aca="false">AN207*D207</f>
        <v>-0</v>
      </c>
      <c r="AS207" s="0" t="n">
        <f aca="false">AH207-AR207</f>
        <v>0</v>
      </c>
    </row>
    <row r="208" customFormat="false" ht="12" hidden="false" customHeight="false" outlineLevel="0" collapsed="false">
      <c r="A208" s="3" t="n">
        <f aca="false">A207+1</f>
        <v>199</v>
      </c>
      <c r="B208" s="3" t="n">
        <f aca="false">IF(A208&lt;$N$4/3,0.1,(IF(A208&gt;2*$N$4/3,0.05,0.12)))</f>
        <v>0.1</v>
      </c>
      <c r="C208" s="4" t="n">
        <f aca="true">RAND()</f>
        <v>0.227511621372274</v>
      </c>
      <c r="D208" s="0" t="n">
        <f aca="false">IF((C208&gt;$M$2),1,0)</f>
        <v>0</v>
      </c>
      <c r="E208" s="0" t="n">
        <f aca="false">1-D208</f>
        <v>1</v>
      </c>
      <c r="F208" s="0" t="n">
        <f aca="true">RAND()</f>
        <v>0.599697075733601</v>
      </c>
      <c r="G208" s="0" t="n">
        <f aca="false">7.75+F208*10</f>
        <v>13.746970757336</v>
      </c>
      <c r="H208" s="0" t="n">
        <f aca="false">LOGINV(F208,2.64,1.139)</f>
        <v>18.6840341340996</v>
      </c>
      <c r="I208" s="0" t="n">
        <v>19.5</v>
      </c>
      <c r="J208" s="4" t="n">
        <f aca="true">-LN(RAND())/B208</f>
        <v>10.4392274147989</v>
      </c>
      <c r="K208" s="4" t="n">
        <f aca="false">K207+J208</f>
        <v>2026.35963693313</v>
      </c>
      <c r="L208" s="4" t="n">
        <f aca="false">(1/$J$4)*(1+AB207)</f>
        <v>10</v>
      </c>
      <c r="M208" s="4" t="n">
        <f aca="false">L208+MAX(K208,Y$10:Y207)</f>
        <v>2078.67002850573</v>
      </c>
      <c r="N208" s="4" t="n">
        <f aca="false">K208</f>
        <v>2026.35963693313</v>
      </c>
      <c r="O208" s="4" t="n">
        <f aca="false">M208-K208</f>
        <v>52.3103915726015</v>
      </c>
      <c r="P208" s="4" t="n">
        <f aca="false">N208-K208</f>
        <v>0</v>
      </c>
      <c r="Q208" s="4" t="n">
        <f aca="false">A208-MATCH(K208,$M$9:M207,1)</f>
        <v>5</v>
      </c>
      <c r="R208" s="0" t="n">
        <f aca="false">-G208*(O208/3600)</f>
        <v>-0.199752617570375</v>
      </c>
      <c r="S208" s="0" t="n">
        <f aca="false">-1*I208-(H208*(P208/3600))</f>
        <v>-19.5</v>
      </c>
      <c r="T208" s="0" t="n">
        <f aca="false">-H208*(O208/3600)</f>
        <v>-0.271491428252945</v>
      </c>
      <c r="U208" s="0" t="n">
        <f aca="false">T208-S208</f>
        <v>19.2285085717471</v>
      </c>
      <c r="V208" s="0" t="n">
        <f aca="false">1/(1+EXP(U208))</f>
        <v>4.45825422816446E-009</v>
      </c>
      <c r="W208" s="0" t="n">
        <f aca="true">RAND()</f>
        <v>0.793672133929401</v>
      </c>
      <c r="X208" s="0" t="n">
        <f aca="false">IF(W208&lt;V208,1,0)</f>
        <v>0</v>
      </c>
      <c r="Y208" s="0" t="n">
        <f aca="false">(M208*(1-X208)+N208*X208)*D208+M208*E208</f>
        <v>2078.67002850573</v>
      </c>
      <c r="Z208" s="0" t="n">
        <f aca="false">((1-X208)*O208+X208*P208)*D208+E208*O208</f>
        <v>52.3103915726015</v>
      </c>
      <c r="AA208" s="0" t="n">
        <f aca="false">IF(D208*X208&gt;0,AA207,Q208)</f>
        <v>5</v>
      </c>
      <c r="AB208" s="0" t="n">
        <f aca="false">(X208*D208)</f>
        <v>0</v>
      </c>
      <c r="AC208" s="0" t="n">
        <f aca="false">SUM(AB$10:AB207)/K208</f>
        <v>0</v>
      </c>
      <c r="AD208" s="0" t="n">
        <f aca="false">R208*E208+D208*(X208*S208+(1-X208)*T208)</f>
        <v>-0.199752617570375</v>
      </c>
      <c r="AE208" s="0" t="n">
        <f aca="false">Z208</f>
        <v>52.3103915726015</v>
      </c>
      <c r="AF208" s="0" t="n">
        <f aca="false">E208*O208</f>
        <v>52.3103915726015</v>
      </c>
      <c r="AG208" s="0" t="n">
        <f aca="false">((1-X208)*O208+X208*P208)*D208</f>
        <v>0</v>
      </c>
      <c r="AH208" s="0" t="n">
        <f aca="false">D208*(LN(EXP(S208)+EXP(T208)))</f>
        <v>-0</v>
      </c>
      <c r="AJ208" s="0" t="n">
        <f aca="false">$J$5</f>
        <v>10</v>
      </c>
      <c r="AK208" s="4" t="n">
        <f aca="false">AJ208+MAX(K208,AK$10:AK207)</f>
        <v>2078.67002850573</v>
      </c>
      <c r="AL208" s="5" t="n">
        <f aca="false">AK208-K208</f>
        <v>52.3103915726015</v>
      </c>
      <c r="AM208" s="0" t="n">
        <f aca="false">-G208*AL208/3600</f>
        <v>-0.199752617570375</v>
      </c>
      <c r="AN208" s="0" t="n">
        <f aca="false">-H208*AL208/3600</f>
        <v>-0.271491428252945</v>
      </c>
      <c r="AO208" s="0" t="n">
        <f aca="false">AM208*E208+AN208*D208</f>
        <v>-0.199752617570375</v>
      </c>
      <c r="AP208" s="0" t="n">
        <f aca="false">AL208*D208</f>
        <v>0</v>
      </c>
      <c r="AR208" s="0" t="n">
        <f aca="false">AN208*D208</f>
        <v>-0</v>
      </c>
      <c r="AS208" s="0" t="n">
        <f aca="false">AH208-AR208</f>
        <v>0</v>
      </c>
    </row>
    <row r="209" customFormat="false" ht="12" hidden="false" customHeight="false" outlineLevel="0" collapsed="false">
      <c r="A209" s="3" t="n">
        <f aca="false">A208+1</f>
        <v>200</v>
      </c>
      <c r="B209" s="3" t="n">
        <f aca="false">IF(A209&lt;$N$4/3,0.1,(IF(A209&gt;2*$N$4/3,0.05,0.12)))</f>
        <v>0.1</v>
      </c>
      <c r="C209" s="4" t="n">
        <f aca="true">RAND()</f>
        <v>0.866032758228858</v>
      </c>
      <c r="D209" s="0" t="n">
        <f aca="false">IF((C209&gt;$M$2),1,0)</f>
        <v>0</v>
      </c>
      <c r="E209" s="0" t="n">
        <f aca="false">1-D209</f>
        <v>1</v>
      </c>
      <c r="F209" s="0" t="n">
        <f aca="true">RAND()</f>
        <v>0.647209117448314</v>
      </c>
      <c r="G209" s="0" t="n">
        <f aca="false">7.75+F209*10</f>
        <v>14.2220911744831</v>
      </c>
      <c r="H209" s="0" t="n">
        <f aca="false">LOGINV(F209,2.64,1.139)</f>
        <v>21.5485865933965</v>
      </c>
      <c r="I209" s="0" t="n">
        <v>19.5</v>
      </c>
      <c r="J209" s="4" t="n">
        <f aca="true">-LN(RAND())/B209</f>
        <v>4.1163903422289</v>
      </c>
      <c r="K209" s="4" t="n">
        <f aca="false">K208+J209</f>
        <v>2030.47602727536</v>
      </c>
      <c r="L209" s="4" t="n">
        <f aca="false">(1/$J$4)*(1+AB208)</f>
        <v>10</v>
      </c>
      <c r="M209" s="4" t="n">
        <f aca="false">L209+MAX(K209,Y$10:Y208)</f>
        <v>2088.67002850573</v>
      </c>
      <c r="N209" s="4" t="n">
        <f aca="false">K209</f>
        <v>2030.47602727536</v>
      </c>
      <c r="O209" s="4" t="n">
        <f aca="false">M209-K209</f>
        <v>58.1940012303726</v>
      </c>
      <c r="P209" s="4" t="n">
        <f aca="false">N209-K209</f>
        <v>0</v>
      </c>
      <c r="Q209" s="4" t="n">
        <f aca="false">A209-MATCH(K209,$M$9:M208,1)</f>
        <v>5</v>
      </c>
      <c r="R209" s="0" t="n">
        <f aca="false">-G209*(O209/3600)</f>
        <v>-0.229900108696206</v>
      </c>
      <c r="S209" s="0" t="n">
        <f aca="false">-1*I209-(H209*(P209/3600))</f>
        <v>-19.5</v>
      </c>
      <c r="T209" s="0" t="n">
        <f aca="false">-H209*(O209/3600)</f>
        <v>-0.348332909646918</v>
      </c>
      <c r="U209" s="0" t="n">
        <f aca="false">T209-S209</f>
        <v>19.1516670903531</v>
      </c>
      <c r="V209" s="0" t="n">
        <f aca="false">1/(1+EXP(U209))</f>
        <v>4.81433892917135E-009</v>
      </c>
      <c r="W209" s="0" t="n">
        <f aca="true">RAND()</f>
        <v>0.0531816543918191</v>
      </c>
      <c r="X209" s="0" t="n">
        <f aca="false">IF(W209&lt;V209,1,0)</f>
        <v>0</v>
      </c>
      <c r="Y209" s="0" t="n">
        <f aca="false">(M209*(1-X209)+N209*X209)*D209+M209*E209</f>
        <v>2088.67002850573</v>
      </c>
      <c r="Z209" s="0" t="n">
        <f aca="false">((1-X209)*O209+X209*P209)*D209+E209*O209</f>
        <v>58.1940012303726</v>
      </c>
      <c r="AA209" s="0" t="n">
        <f aca="false">IF(D209*X209&gt;0,AA208,Q209)</f>
        <v>5</v>
      </c>
      <c r="AB209" s="0" t="n">
        <f aca="false">(X209*D209)</f>
        <v>0</v>
      </c>
      <c r="AC209" s="0" t="n">
        <f aca="false">SUM(AB$10:AB208)/K209</f>
        <v>0</v>
      </c>
      <c r="AD209" s="0" t="n">
        <f aca="false">R209*E209+D209*(X209*S209+(1-X209)*T209)</f>
        <v>-0.229900108696206</v>
      </c>
      <c r="AE209" s="0" t="n">
        <f aca="false">Z209</f>
        <v>58.1940012303726</v>
      </c>
      <c r="AF209" s="0" t="n">
        <f aca="false">E209*O209</f>
        <v>58.1940012303726</v>
      </c>
      <c r="AG209" s="0" t="n">
        <f aca="false">((1-X209)*O209+X209*P209)*D209</f>
        <v>0</v>
      </c>
      <c r="AH209" s="0" t="n">
        <f aca="false">D209*(LN(EXP(S209)+EXP(T209)))</f>
        <v>-0</v>
      </c>
      <c r="AJ209" s="0" t="n">
        <f aca="false">$J$5</f>
        <v>10</v>
      </c>
      <c r="AK209" s="4" t="n">
        <f aca="false">AJ209+MAX(K209,AK$10:AK208)</f>
        <v>2088.67002850573</v>
      </c>
      <c r="AL209" s="5" t="n">
        <f aca="false">AK209-K209</f>
        <v>58.1940012303726</v>
      </c>
      <c r="AM209" s="0" t="n">
        <f aca="false">-G209*AL209/3600</f>
        <v>-0.229900108696206</v>
      </c>
      <c r="AN209" s="0" t="n">
        <f aca="false">-H209*AL209/3600</f>
        <v>-0.348332909646918</v>
      </c>
      <c r="AO209" s="0" t="n">
        <f aca="false">AM209*E209+AN209*D209</f>
        <v>-0.229900108696206</v>
      </c>
      <c r="AP209" s="0" t="n">
        <f aca="false">AL209*D209</f>
        <v>0</v>
      </c>
      <c r="AR209" s="0" t="n">
        <f aca="false">AN209*D209</f>
        <v>-0</v>
      </c>
      <c r="AS209" s="0" t="n">
        <f aca="false">AH209-AR209</f>
        <v>0</v>
      </c>
    </row>
    <row r="210" customFormat="false" ht="12" hidden="false" customHeight="false" outlineLevel="0" collapsed="false">
      <c r="A210" s="3" t="n">
        <f aca="false">A209+1</f>
        <v>201</v>
      </c>
      <c r="B210" s="3" t="n">
        <f aca="false">IF(A210&lt;$N$4/3,0.1,(IF(A210&gt;2*$N$4/3,0.05,0.12)))</f>
        <v>0.1</v>
      </c>
      <c r="C210" s="4" t="n">
        <f aca="true">RAND()</f>
        <v>0.489762961989082</v>
      </c>
      <c r="D210" s="0" t="n">
        <f aca="false">IF((C210&gt;$M$2),1,0)</f>
        <v>0</v>
      </c>
      <c r="E210" s="0" t="n">
        <f aca="false">1-D210</f>
        <v>1</v>
      </c>
      <c r="F210" s="0" t="n">
        <f aca="true">RAND()</f>
        <v>0.234341918378305</v>
      </c>
      <c r="G210" s="0" t="n">
        <f aca="false">7.75+F210*10</f>
        <v>10.0934191837831</v>
      </c>
      <c r="H210" s="0" t="n">
        <f aca="false">LOGINV(F210,2.64,1.139)</f>
        <v>6.13895981157219</v>
      </c>
      <c r="I210" s="0" t="n">
        <v>19.5</v>
      </c>
      <c r="J210" s="4" t="n">
        <f aca="true">-LN(RAND())/B210</f>
        <v>25.188216500897</v>
      </c>
      <c r="K210" s="4" t="n">
        <f aca="false">K209+J210</f>
        <v>2055.66424377625</v>
      </c>
      <c r="L210" s="4" t="n">
        <f aca="false">(1/$J$4)*(1+AB209)</f>
        <v>10</v>
      </c>
      <c r="M210" s="4" t="n">
        <f aca="false">L210+MAX(K210,Y$10:Y209)</f>
        <v>2098.67002850573</v>
      </c>
      <c r="N210" s="4" t="n">
        <f aca="false">K210</f>
        <v>2055.66424377625</v>
      </c>
      <c r="O210" s="4" t="n">
        <f aca="false">M210-K210</f>
        <v>43.0057847294756</v>
      </c>
      <c r="P210" s="4" t="n">
        <f aca="false">N210-K210</f>
        <v>0</v>
      </c>
      <c r="Q210" s="4" t="n">
        <f aca="false">A210-MATCH(K210,$M$9:M209,1)</f>
        <v>4</v>
      </c>
      <c r="R210" s="0" t="n">
        <f aca="false">-G210*(O210/3600)</f>
        <v>-0.120576503500593</v>
      </c>
      <c r="S210" s="0" t="n">
        <f aca="false">-1*I210-(H210*(P210/3600))</f>
        <v>-19.5</v>
      </c>
      <c r="T210" s="0" t="n">
        <f aca="false">-H210*(O210/3600)</f>
        <v>-0.0733363289220489</v>
      </c>
      <c r="U210" s="0" t="n">
        <f aca="false">T210-S210</f>
        <v>19.426663671078</v>
      </c>
      <c r="V210" s="0" t="n">
        <f aca="false">1/(1+EXP(U210))</f>
        <v>3.65685015034346E-009</v>
      </c>
      <c r="W210" s="0" t="n">
        <f aca="true">RAND()</f>
        <v>0.724065466609739</v>
      </c>
      <c r="X210" s="0" t="n">
        <f aca="false">IF(W210&lt;V210,1,0)</f>
        <v>0</v>
      </c>
      <c r="Y210" s="0" t="n">
        <f aca="false">(M210*(1-X210)+N210*X210)*D210+M210*E210</f>
        <v>2098.67002850573</v>
      </c>
      <c r="Z210" s="0" t="n">
        <f aca="false">((1-X210)*O210+X210*P210)*D210+E210*O210</f>
        <v>43.0057847294756</v>
      </c>
      <c r="AA210" s="0" t="n">
        <f aca="false">IF(D210*X210&gt;0,AA209,Q210)</f>
        <v>4</v>
      </c>
      <c r="AB210" s="0" t="n">
        <f aca="false">(X210*D210)</f>
        <v>0</v>
      </c>
      <c r="AC210" s="0" t="n">
        <f aca="false">SUM(AB$10:AB209)/K210</f>
        <v>0</v>
      </c>
      <c r="AD210" s="0" t="n">
        <f aca="false">R210*E210+D210*(X210*S210+(1-X210)*T210)</f>
        <v>-0.120576503500593</v>
      </c>
      <c r="AE210" s="0" t="n">
        <f aca="false">Z210</f>
        <v>43.0057847294756</v>
      </c>
      <c r="AF210" s="0" t="n">
        <f aca="false">E210*O210</f>
        <v>43.0057847294756</v>
      </c>
      <c r="AG210" s="0" t="n">
        <f aca="false">((1-X210)*O210+X210*P210)*D210</f>
        <v>0</v>
      </c>
      <c r="AH210" s="0" t="n">
        <f aca="false">D210*(LN(EXP(S210)+EXP(T210)))</f>
        <v>-0</v>
      </c>
      <c r="AJ210" s="0" t="n">
        <f aca="false">$J$5</f>
        <v>10</v>
      </c>
      <c r="AK210" s="4" t="n">
        <f aca="false">AJ210+MAX(K210,AK$10:AK209)</f>
        <v>2098.67002850573</v>
      </c>
      <c r="AL210" s="5" t="n">
        <f aca="false">AK210-K210</f>
        <v>43.0057847294756</v>
      </c>
      <c r="AM210" s="0" t="n">
        <f aca="false">-G210*AL210/3600</f>
        <v>-0.120576503500593</v>
      </c>
      <c r="AN210" s="0" t="n">
        <f aca="false">-H210*AL210/3600</f>
        <v>-0.0733363289220489</v>
      </c>
      <c r="AO210" s="0" t="n">
        <f aca="false">AM210*E210+AN210*D210</f>
        <v>-0.120576503500593</v>
      </c>
      <c r="AP210" s="0" t="n">
        <f aca="false">AL210*D210</f>
        <v>0</v>
      </c>
      <c r="AR210" s="0" t="n">
        <f aca="false">AN210*D210</f>
        <v>-0</v>
      </c>
      <c r="AS210" s="0" t="n">
        <f aca="false">AH210-AR210</f>
        <v>0</v>
      </c>
    </row>
    <row r="211" customFormat="false" ht="12" hidden="false" customHeight="false" outlineLevel="0" collapsed="false">
      <c r="A211" s="3" t="n">
        <f aca="false">A210+1</f>
        <v>202</v>
      </c>
      <c r="B211" s="3" t="n">
        <f aca="false">IF(A211&lt;$N$4/3,0.1,(IF(A211&gt;2*$N$4/3,0.05,0.12)))</f>
        <v>0.1</v>
      </c>
      <c r="C211" s="4" t="n">
        <f aca="true">RAND()</f>
        <v>0.84983960188178</v>
      </c>
      <c r="D211" s="0" t="n">
        <f aca="false">IF((C211&gt;$M$2),1,0)</f>
        <v>0</v>
      </c>
      <c r="E211" s="0" t="n">
        <f aca="false">1-D211</f>
        <v>1</v>
      </c>
      <c r="F211" s="0" t="n">
        <f aca="true">RAND()</f>
        <v>0.839109716727032</v>
      </c>
      <c r="G211" s="0" t="n">
        <f aca="false">7.75+F211*10</f>
        <v>16.1410971672703</v>
      </c>
      <c r="H211" s="0" t="n">
        <f aca="false">LOGINV(F211,2.64,1.139)</f>
        <v>43.3162328160056</v>
      </c>
      <c r="I211" s="0" t="n">
        <v>19.5</v>
      </c>
      <c r="J211" s="4" t="n">
        <f aca="true">-LN(RAND())/B211</f>
        <v>27.9563071573471</v>
      </c>
      <c r="K211" s="4" t="n">
        <f aca="false">K210+J211</f>
        <v>2083.6205509336</v>
      </c>
      <c r="L211" s="4" t="n">
        <f aca="false">(1/$J$4)*(1+AB210)</f>
        <v>10</v>
      </c>
      <c r="M211" s="4" t="n">
        <f aca="false">L211+MAX(K211,Y$10:Y210)</f>
        <v>2108.67002850573</v>
      </c>
      <c r="N211" s="4" t="n">
        <f aca="false">K211</f>
        <v>2083.6205509336</v>
      </c>
      <c r="O211" s="4" t="n">
        <f aca="false">M211-K211</f>
        <v>25.0494775721286</v>
      </c>
      <c r="P211" s="4" t="n">
        <f aca="false">N211-K211</f>
        <v>0</v>
      </c>
      <c r="Q211" s="4" t="n">
        <f aca="false">A211-MATCH(K211,$M$9:M210,1)</f>
        <v>2</v>
      </c>
      <c r="R211" s="0" t="n">
        <f aca="false">-G211*(O211/3600)</f>
        <v>-0.11231279207808</v>
      </c>
      <c r="S211" s="0" t="n">
        <f aca="false">-1*I211-(H211*(P211/3600))</f>
        <v>-19.5</v>
      </c>
      <c r="T211" s="0" t="n">
        <f aca="false">-H211*(O211/3600)</f>
        <v>-0.301402500676009</v>
      </c>
      <c r="U211" s="0" t="n">
        <f aca="false">T211-S211</f>
        <v>19.198597499324</v>
      </c>
      <c r="V211" s="0" t="n">
        <f aca="false">1/(1+EXP(U211))</f>
        <v>4.59361976466863E-009</v>
      </c>
      <c r="W211" s="0" t="n">
        <f aca="true">RAND()</f>
        <v>0.54526166270398</v>
      </c>
      <c r="X211" s="0" t="n">
        <f aca="false">IF(W211&lt;V211,1,0)</f>
        <v>0</v>
      </c>
      <c r="Y211" s="0" t="n">
        <f aca="false">(M211*(1-X211)+N211*X211)*D211+M211*E211</f>
        <v>2108.67002850573</v>
      </c>
      <c r="Z211" s="0" t="n">
        <f aca="false">((1-X211)*O211+X211*P211)*D211+E211*O211</f>
        <v>25.0494775721286</v>
      </c>
      <c r="AA211" s="0" t="n">
        <f aca="false">IF(D211*X211&gt;0,AA210,Q211)</f>
        <v>2</v>
      </c>
      <c r="AB211" s="0" t="n">
        <f aca="false">(X211*D211)</f>
        <v>0</v>
      </c>
      <c r="AC211" s="0" t="n">
        <f aca="false">SUM(AB$10:AB210)/K211</f>
        <v>0</v>
      </c>
      <c r="AD211" s="0" t="n">
        <f aca="false">R211*E211+D211*(X211*S211+(1-X211)*T211)</f>
        <v>-0.11231279207808</v>
      </c>
      <c r="AE211" s="0" t="n">
        <f aca="false">Z211</f>
        <v>25.0494775721286</v>
      </c>
      <c r="AF211" s="0" t="n">
        <f aca="false">E211*O211</f>
        <v>25.0494775721286</v>
      </c>
      <c r="AG211" s="0" t="n">
        <f aca="false">((1-X211)*O211+X211*P211)*D211</f>
        <v>0</v>
      </c>
      <c r="AH211" s="0" t="n">
        <f aca="false">D211*(LN(EXP(S211)+EXP(T211)))</f>
        <v>-0</v>
      </c>
      <c r="AJ211" s="0" t="n">
        <f aca="false">$J$5</f>
        <v>10</v>
      </c>
      <c r="AK211" s="4" t="n">
        <f aca="false">AJ211+MAX(K211,AK$10:AK210)</f>
        <v>2108.67002850573</v>
      </c>
      <c r="AL211" s="5" t="n">
        <f aca="false">AK211-K211</f>
        <v>25.0494775721286</v>
      </c>
      <c r="AM211" s="0" t="n">
        <f aca="false">-G211*AL211/3600</f>
        <v>-0.112312792078079</v>
      </c>
      <c r="AN211" s="0" t="n">
        <f aca="false">-H211*AL211/3600</f>
        <v>-0.301402500676009</v>
      </c>
      <c r="AO211" s="0" t="n">
        <f aca="false">AM211*E211+AN211*D211</f>
        <v>-0.112312792078079</v>
      </c>
      <c r="AP211" s="0" t="n">
        <f aca="false">AL211*D211</f>
        <v>0</v>
      </c>
      <c r="AR211" s="0" t="n">
        <f aca="false">AN211*D211</f>
        <v>-0</v>
      </c>
      <c r="AS211" s="0" t="n">
        <f aca="false">AH211-AR211</f>
        <v>0</v>
      </c>
    </row>
    <row r="212" customFormat="false" ht="12" hidden="false" customHeight="false" outlineLevel="0" collapsed="false">
      <c r="A212" s="3" t="n">
        <f aca="false">A211+1</f>
        <v>203</v>
      </c>
      <c r="B212" s="3" t="n">
        <f aca="false">IF(A212&lt;$N$4/3,0.1,(IF(A212&gt;2*$N$4/3,0.05,0.12)))</f>
        <v>0.1</v>
      </c>
      <c r="C212" s="4" t="n">
        <f aca="true">RAND()</f>
        <v>0.66320116524223</v>
      </c>
      <c r="D212" s="0" t="n">
        <f aca="false">IF((C212&gt;$M$2),1,0)</f>
        <v>0</v>
      </c>
      <c r="E212" s="0" t="n">
        <f aca="false">1-D212</f>
        <v>1</v>
      </c>
      <c r="F212" s="0" t="n">
        <f aca="true">RAND()</f>
        <v>0.0876553073783721</v>
      </c>
      <c r="G212" s="0" t="n">
        <f aca="false">7.75+F212*10</f>
        <v>8.62655307378372</v>
      </c>
      <c r="H212" s="0" t="n">
        <f aca="false">LOGINV(F212,2.64,1.139)</f>
        <v>2.99298913422841</v>
      </c>
      <c r="I212" s="0" t="n">
        <v>19.5</v>
      </c>
      <c r="J212" s="4" t="n">
        <f aca="true">-LN(RAND())/B212</f>
        <v>0.744751891615896</v>
      </c>
      <c r="K212" s="4" t="n">
        <f aca="false">K211+J212</f>
        <v>2084.36530282522</v>
      </c>
      <c r="L212" s="4" t="n">
        <f aca="false">(1/$J$4)*(1+AB211)</f>
        <v>10</v>
      </c>
      <c r="M212" s="4" t="n">
        <f aca="false">L212+MAX(K212,Y$10:Y211)</f>
        <v>2118.67002850573</v>
      </c>
      <c r="N212" s="4" t="n">
        <f aca="false">K212</f>
        <v>2084.36530282522</v>
      </c>
      <c r="O212" s="4" t="n">
        <f aca="false">M212-K212</f>
        <v>34.3047256805126</v>
      </c>
      <c r="P212" s="4" t="n">
        <f aca="false">N212-K212</f>
        <v>0</v>
      </c>
      <c r="Q212" s="4" t="n">
        <f aca="false">A212-MATCH(K212,$M$9:M211,1)</f>
        <v>3</v>
      </c>
      <c r="R212" s="0" t="n">
        <f aca="false">-G212*(O212/3600)</f>
        <v>-0.0822032046568147</v>
      </c>
      <c r="S212" s="0" t="n">
        <f aca="false">-1*I212-(H212*(P212/3600))</f>
        <v>-19.5</v>
      </c>
      <c r="T212" s="0" t="n">
        <f aca="false">-H212*(O212/3600)</f>
        <v>-0.028520464226239</v>
      </c>
      <c r="U212" s="0" t="n">
        <f aca="false">T212-S212</f>
        <v>19.4714795357738</v>
      </c>
      <c r="V212" s="0" t="n">
        <f aca="false">1/(1+EXP(U212))</f>
        <v>3.49658332088944E-009</v>
      </c>
      <c r="W212" s="0" t="n">
        <f aca="true">RAND()</f>
        <v>0.898017021942317</v>
      </c>
      <c r="X212" s="0" t="n">
        <f aca="false">IF(W212&lt;V212,1,0)</f>
        <v>0</v>
      </c>
      <c r="Y212" s="0" t="n">
        <f aca="false">(M212*(1-X212)+N212*X212)*D212+M212*E212</f>
        <v>2118.67002850573</v>
      </c>
      <c r="Z212" s="0" t="n">
        <f aca="false">((1-X212)*O212+X212*P212)*D212+E212*O212</f>
        <v>34.3047256805126</v>
      </c>
      <c r="AA212" s="0" t="n">
        <f aca="false">IF(D212*X212&gt;0,AA211,Q212)</f>
        <v>3</v>
      </c>
      <c r="AB212" s="0" t="n">
        <f aca="false">(X212*D212)</f>
        <v>0</v>
      </c>
      <c r="AC212" s="0" t="n">
        <f aca="false">SUM(AB$10:AB211)/K212</f>
        <v>0</v>
      </c>
      <c r="AD212" s="0" t="n">
        <f aca="false">R212*E212+D212*(X212*S212+(1-X212)*T212)</f>
        <v>-0.0822032046568147</v>
      </c>
      <c r="AE212" s="0" t="n">
        <f aca="false">Z212</f>
        <v>34.3047256805126</v>
      </c>
      <c r="AF212" s="0" t="n">
        <f aca="false">E212*O212</f>
        <v>34.3047256805126</v>
      </c>
      <c r="AG212" s="0" t="n">
        <f aca="false">((1-X212)*O212+X212*P212)*D212</f>
        <v>0</v>
      </c>
      <c r="AH212" s="0" t="n">
        <f aca="false">D212*(LN(EXP(S212)+EXP(T212)))</f>
        <v>-0</v>
      </c>
      <c r="AJ212" s="0" t="n">
        <f aca="false">$J$5</f>
        <v>10</v>
      </c>
      <c r="AK212" s="4" t="n">
        <f aca="false">AJ212+MAX(K212,AK$10:AK211)</f>
        <v>2118.67002850573</v>
      </c>
      <c r="AL212" s="5" t="n">
        <f aca="false">AK212-K212</f>
        <v>34.3047256805126</v>
      </c>
      <c r="AM212" s="0" t="n">
        <f aca="false">-G212*AL212/3600</f>
        <v>-0.0822032046568147</v>
      </c>
      <c r="AN212" s="0" t="n">
        <f aca="false">-H212*AL212/3600</f>
        <v>-0.028520464226239</v>
      </c>
      <c r="AO212" s="0" t="n">
        <f aca="false">AM212*E212+AN212*D212</f>
        <v>-0.0822032046568147</v>
      </c>
      <c r="AP212" s="0" t="n">
        <f aca="false">AL212*D212</f>
        <v>0</v>
      </c>
      <c r="AR212" s="0" t="n">
        <f aca="false">AN212*D212</f>
        <v>-0</v>
      </c>
      <c r="AS212" s="0" t="n">
        <f aca="false">AH212-AR212</f>
        <v>0</v>
      </c>
    </row>
    <row r="213" customFormat="false" ht="12" hidden="false" customHeight="false" outlineLevel="0" collapsed="false">
      <c r="A213" s="3" t="n">
        <f aca="false">A212+1</f>
        <v>204</v>
      </c>
      <c r="B213" s="3" t="n">
        <f aca="false">IF(A213&lt;$N$4/3,0.1,(IF(A213&gt;2*$N$4/3,0.05,0.12)))</f>
        <v>0.1</v>
      </c>
      <c r="C213" s="4" t="n">
        <f aca="true">RAND()</f>
        <v>0.460143187814171</v>
      </c>
      <c r="D213" s="0" t="n">
        <f aca="false">IF((C213&gt;$M$2),1,0)</f>
        <v>0</v>
      </c>
      <c r="E213" s="0" t="n">
        <f aca="false">1-D213</f>
        <v>1</v>
      </c>
      <c r="F213" s="0" t="n">
        <f aca="true">RAND()</f>
        <v>0.926145901382642</v>
      </c>
      <c r="G213" s="0" t="n">
        <f aca="false">7.75+F213*10</f>
        <v>17.0114590138264</v>
      </c>
      <c r="H213" s="0" t="n">
        <f aca="false">LOGINV(F213,2.64,1.139)</f>
        <v>72.8863135891418</v>
      </c>
      <c r="I213" s="0" t="n">
        <v>19.5</v>
      </c>
      <c r="J213" s="4" t="n">
        <f aca="true">-LN(RAND())/B213</f>
        <v>2.08476801502316</v>
      </c>
      <c r="K213" s="4" t="n">
        <f aca="false">K212+J213</f>
        <v>2086.45007084024</v>
      </c>
      <c r="L213" s="4" t="n">
        <f aca="false">(1/$J$4)*(1+AB212)</f>
        <v>10</v>
      </c>
      <c r="M213" s="4" t="n">
        <f aca="false">L213+MAX(K213,Y$10:Y212)</f>
        <v>2128.67002850573</v>
      </c>
      <c r="N213" s="4" t="n">
        <f aca="false">K213</f>
        <v>2086.45007084024</v>
      </c>
      <c r="O213" s="4" t="n">
        <f aca="false">M213-K213</f>
        <v>42.2199576654893</v>
      </c>
      <c r="P213" s="4" t="n">
        <f aca="false">N213-K213</f>
        <v>0</v>
      </c>
      <c r="Q213" s="4" t="n">
        <f aca="false">A213-MATCH(K213,$M$9:M212,1)</f>
        <v>4</v>
      </c>
      <c r="R213" s="0" t="n">
        <f aca="false">-G213*(O213/3600)</f>
        <v>-0.199506410942211</v>
      </c>
      <c r="S213" s="0" t="n">
        <f aca="false">-1*I213-(H213*(P213/3600))</f>
        <v>-19.5</v>
      </c>
      <c r="T213" s="0" t="n">
        <f aca="false">-H213*(O213/3600)</f>
        <v>-0.854793631701985</v>
      </c>
      <c r="U213" s="0" t="n">
        <f aca="false">T213-S213</f>
        <v>18.645206368298</v>
      </c>
      <c r="V213" s="0" t="n">
        <f aca="false">1/(1+EXP(U213))</f>
        <v>7.9889509889099E-009</v>
      </c>
      <c r="W213" s="0" t="n">
        <f aca="true">RAND()</f>
        <v>0.179467908436629</v>
      </c>
      <c r="X213" s="0" t="n">
        <f aca="false">IF(W213&lt;V213,1,0)</f>
        <v>0</v>
      </c>
      <c r="Y213" s="0" t="n">
        <f aca="false">(M213*(1-X213)+N213*X213)*D213+M213*E213</f>
        <v>2128.67002850573</v>
      </c>
      <c r="Z213" s="0" t="n">
        <f aca="false">((1-X213)*O213+X213*P213)*D213+E213*O213</f>
        <v>42.2199576654893</v>
      </c>
      <c r="AA213" s="0" t="n">
        <f aca="false">IF(D213*X213&gt;0,AA212,Q213)</f>
        <v>4</v>
      </c>
      <c r="AB213" s="0" t="n">
        <f aca="false">(X213*D213)</f>
        <v>0</v>
      </c>
      <c r="AC213" s="0" t="n">
        <f aca="false">SUM(AB$10:AB212)/K213</f>
        <v>0</v>
      </c>
      <c r="AD213" s="0" t="n">
        <f aca="false">R213*E213+D213*(X213*S213+(1-X213)*T213)</f>
        <v>-0.199506410942211</v>
      </c>
      <c r="AE213" s="0" t="n">
        <f aca="false">Z213</f>
        <v>42.2199576654893</v>
      </c>
      <c r="AF213" s="0" t="n">
        <f aca="false">E213*O213</f>
        <v>42.2199576654893</v>
      </c>
      <c r="AG213" s="0" t="n">
        <f aca="false">((1-X213)*O213+X213*P213)*D213</f>
        <v>0</v>
      </c>
      <c r="AH213" s="0" t="n">
        <f aca="false">D213*(LN(EXP(S213)+EXP(T213)))</f>
        <v>-0</v>
      </c>
      <c r="AJ213" s="0" t="n">
        <f aca="false">$J$5</f>
        <v>10</v>
      </c>
      <c r="AK213" s="4" t="n">
        <f aca="false">AJ213+MAX(K213,AK$10:AK212)</f>
        <v>2128.67002850573</v>
      </c>
      <c r="AL213" s="5" t="n">
        <f aca="false">AK213-K213</f>
        <v>42.2199576654893</v>
      </c>
      <c r="AM213" s="0" t="n">
        <f aca="false">-G213*AL213/3600</f>
        <v>-0.199506410942211</v>
      </c>
      <c r="AN213" s="0" t="n">
        <f aca="false">-H213*AL213/3600</f>
        <v>-0.854793631701985</v>
      </c>
      <c r="AO213" s="0" t="n">
        <f aca="false">AM213*E213+AN213*D213</f>
        <v>-0.199506410942211</v>
      </c>
      <c r="AP213" s="0" t="n">
        <f aca="false">AL213*D213</f>
        <v>0</v>
      </c>
      <c r="AR213" s="0" t="n">
        <f aca="false">AN213*D213</f>
        <v>-0</v>
      </c>
      <c r="AS213" s="0" t="n">
        <f aca="false">AH213-AR213</f>
        <v>0</v>
      </c>
    </row>
    <row r="214" customFormat="false" ht="12" hidden="false" customHeight="false" outlineLevel="0" collapsed="false">
      <c r="A214" s="3" t="n">
        <f aca="false">A213+1</f>
        <v>205</v>
      </c>
      <c r="B214" s="3" t="n">
        <f aca="false">IF(A214&lt;$N$4/3,0.1,(IF(A214&gt;2*$N$4/3,0.05,0.12)))</f>
        <v>0.1</v>
      </c>
      <c r="C214" s="4" t="n">
        <f aca="true">RAND()</f>
        <v>0.697979344745936</v>
      </c>
      <c r="D214" s="0" t="n">
        <f aca="false">IF((C214&gt;$M$2),1,0)</f>
        <v>0</v>
      </c>
      <c r="E214" s="0" t="n">
        <f aca="false">1-D214</f>
        <v>1</v>
      </c>
      <c r="F214" s="0" t="n">
        <f aca="true">RAND()</f>
        <v>0.858380037668608</v>
      </c>
      <c r="G214" s="0" t="n">
        <f aca="false">7.75+F214*10</f>
        <v>16.3338003766861</v>
      </c>
      <c r="H214" s="0" t="n">
        <f aca="false">LOGINV(F214,2.64,1.139)</f>
        <v>47.5711357320027</v>
      </c>
      <c r="I214" s="0" t="n">
        <v>19.5</v>
      </c>
      <c r="J214" s="4" t="n">
        <f aca="true">-LN(RAND())/B214</f>
        <v>8.21659033077695</v>
      </c>
      <c r="K214" s="4" t="n">
        <f aca="false">K213+J214</f>
        <v>2094.66666117102</v>
      </c>
      <c r="L214" s="4" t="n">
        <f aca="false">(1/$J$4)*(1+AB213)</f>
        <v>10</v>
      </c>
      <c r="M214" s="4" t="n">
        <f aca="false">L214+MAX(K214,Y$10:Y213)</f>
        <v>2138.67002850573</v>
      </c>
      <c r="N214" s="4" t="n">
        <f aca="false">K214</f>
        <v>2094.66666117102</v>
      </c>
      <c r="O214" s="4" t="n">
        <f aca="false">M214-K214</f>
        <v>44.0033673347125</v>
      </c>
      <c r="P214" s="4" t="n">
        <f aca="false">N214-K214</f>
        <v>0</v>
      </c>
      <c r="Q214" s="4" t="n">
        <f aca="false">A214-MATCH(K214,$M$9:M213,1)</f>
        <v>4</v>
      </c>
      <c r="R214" s="0" t="n">
        <f aca="false">-G214*(O214/3600)</f>
        <v>-0.19965061609644</v>
      </c>
      <c r="S214" s="0" t="n">
        <f aca="false">-1*I214-(H214*(P214/3600))</f>
        <v>-19.5</v>
      </c>
      <c r="T214" s="0" t="n">
        <f aca="false">-H214*(O214/3600)</f>
        <v>-0.581469488929106</v>
      </c>
      <c r="U214" s="0" t="n">
        <f aca="false">T214-S214</f>
        <v>18.9185305110709</v>
      </c>
      <c r="V214" s="0" t="n">
        <f aca="false">1/(1+EXP(U214))</f>
        <v>6.07836241339331E-009</v>
      </c>
      <c r="W214" s="0" t="n">
        <f aca="true">RAND()</f>
        <v>0.275494235023405</v>
      </c>
      <c r="X214" s="0" t="n">
        <f aca="false">IF(W214&lt;V214,1,0)</f>
        <v>0</v>
      </c>
      <c r="Y214" s="0" t="n">
        <f aca="false">(M214*(1-X214)+N214*X214)*D214+M214*E214</f>
        <v>2138.67002850573</v>
      </c>
      <c r="Z214" s="0" t="n">
        <f aca="false">((1-X214)*O214+X214*P214)*D214+E214*O214</f>
        <v>44.0033673347125</v>
      </c>
      <c r="AA214" s="0" t="n">
        <f aca="false">IF(D214*X214&gt;0,AA213,Q214)</f>
        <v>4</v>
      </c>
      <c r="AB214" s="0" t="n">
        <f aca="false">(X214*D214)</f>
        <v>0</v>
      </c>
      <c r="AC214" s="0" t="n">
        <f aca="false">SUM(AB$10:AB213)/K214</f>
        <v>0</v>
      </c>
      <c r="AD214" s="0" t="n">
        <f aca="false">R214*E214+D214*(X214*S214+(1-X214)*T214)</f>
        <v>-0.19965061609644</v>
      </c>
      <c r="AE214" s="0" t="n">
        <f aca="false">Z214</f>
        <v>44.0033673347125</v>
      </c>
      <c r="AF214" s="0" t="n">
        <f aca="false">E214*O214</f>
        <v>44.0033673347125</v>
      </c>
      <c r="AG214" s="0" t="n">
        <f aca="false">((1-X214)*O214+X214*P214)*D214</f>
        <v>0</v>
      </c>
      <c r="AH214" s="0" t="n">
        <f aca="false">D214*(LN(EXP(S214)+EXP(T214)))</f>
        <v>-0</v>
      </c>
      <c r="AJ214" s="0" t="n">
        <f aca="false">$J$5</f>
        <v>10</v>
      </c>
      <c r="AK214" s="4" t="n">
        <f aca="false">AJ214+MAX(K214,AK$10:AK213)</f>
        <v>2138.67002850573</v>
      </c>
      <c r="AL214" s="5" t="n">
        <f aca="false">AK214-K214</f>
        <v>44.0033673347125</v>
      </c>
      <c r="AM214" s="0" t="n">
        <f aca="false">-G214*AL214/3600</f>
        <v>-0.19965061609644</v>
      </c>
      <c r="AN214" s="0" t="n">
        <f aca="false">-H214*AL214/3600</f>
        <v>-0.581469488929106</v>
      </c>
      <c r="AO214" s="0" t="n">
        <f aca="false">AM214*E214+AN214*D214</f>
        <v>-0.19965061609644</v>
      </c>
      <c r="AP214" s="0" t="n">
        <f aca="false">AL214*D214</f>
        <v>0</v>
      </c>
      <c r="AR214" s="0" t="n">
        <f aca="false">AN214*D214</f>
        <v>-0</v>
      </c>
      <c r="AS214" s="0" t="n">
        <f aca="false">AH214-AR214</f>
        <v>0</v>
      </c>
    </row>
    <row r="215" customFormat="false" ht="12" hidden="false" customHeight="false" outlineLevel="0" collapsed="false">
      <c r="A215" s="3" t="n">
        <f aca="false">A214+1</f>
        <v>206</v>
      </c>
      <c r="B215" s="3" t="n">
        <f aca="false">IF(A215&lt;$N$4/3,0.1,(IF(A215&gt;2*$N$4/3,0.05,0.12)))</f>
        <v>0.1</v>
      </c>
      <c r="C215" s="4" t="n">
        <f aca="true">RAND()</f>
        <v>0.0168799185579958</v>
      </c>
      <c r="D215" s="0" t="n">
        <f aca="false">IF((C215&gt;$M$2),1,0)</f>
        <v>0</v>
      </c>
      <c r="E215" s="0" t="n">
        <f aca="false">1-D215</f>
        <v>1</v>
      </c>
      <c r="F215" s="0" t="n">
        <f aca="true">RAND()</f>
        <v>0.898730711837378</v>
      </c>
      <c r="G215" s="0" t="n">
        <f aca="false">7.75+F215*10</f>
        <v>16.7373071183738</v>
      </c>
      <c r="H215" s="0" t="n">
        <f aca="false">LOGINV(F215,2.64,1.139)</f>
        <v>59.8288095977897</v>
      </c>
      <c r="I215" s="0" t="n">
        <v>19.5</v>
      </c>
      <c r="J215" s="4" t="n">
        <f aca="true">-LN(RAND())/B215</f>
        <v>15.6187896546733</v>
      </c>
      <c r="K215" s="4" t="n">
        <f aca="false">K214+J215</f>
        <v>2110.28545082569</v>
      </c>
      <c r="L215" s="4" t="n">
        <f aca="false">(1/$J$4)*(1+AB214)</f>
        <v>10</v>
      </c>
      <c r="M215" s="4" t="n">
        <f aca="false">L215+MAX(K215,Y$10:Y214)</f>
        <v>2148.67002850573</v>
      </c>
      <c r="N215" s="4" t="n">
        <f aca="false">K215</f>
        <v>2110.28545082569</v>
      </c>
      <c r="O215" s="4" t="n">
        <f aca="false">M215-K215</f>
        <v>38.384577680039</v>
      </c>
      <c r="P215" s="4" t="n">
        <f aca="false">N215-K215</f>
        <v>0</v>
      </c>
      <c r="Q215" s="4" t="n">
        <f aca="false">A215-MATCH(K215,$M$9:M214,1)</f>
        <v>3</v>
      </c>
      <c r="R215" s="0" t="n">
        <f aca="false">-G215*(O215/3600)</f>
        <v>-0.178459573677747</v>
      </c>
      <c r="S215" s="0" t="n">
        <f aca="false">-1*I215-(H215*(P215/3600))</f>
        <v>-19.5</v>
      </c>
      <c r="T215" s="0" t="n">
        <f aca="false">-H215*(O215/3600)</f>
        <v>-0.637917663752951</v>
      </c>
      <c r="U215" s="0" t="n">
        <f aca="false">T215-S215</f>
        <v>18.8620823362471</v>
      </c>
      <c r="V215" s="0" t="n">
        <f aca="false">1/(1+EXP(U215))</f>
        <v>6.43134372758399E-009</v>
      </c>
      <c r="W215" s="0" t="n">
        <f aca="true">RAND()</f>
        <v>0.801422084355134</v>
      </c>
      <c r="X215" s="0" t="n">
        <f aca="false">IF(W215&lt;V215,1,0)</f>
        <v>0</v>
      </c>
      <c r="Y215" s="0" t="n">
        <f aca="false">(M215*(1-X215)+N215*X215)*D215+M215*E215</f>
        <v>2148.67002850573</v>
      </c>
      <c r="Z215" s="0" t="n">
        <f aca="false">((1-X215)*O215+X215*P215)*D215+E215*O215</f>
        <v>38.384577680039</v>
      </c>
      <c r="AA215" s="0" t="n">
        <f aca="false">IF(D215*X215&gt;0,AA214,Q215)</f>
        <v>3</v>
      </c>
      <c r="AB215" s="0" t="n">
        <f aca="false">(X215*D215)</f>
        <v>0</v>
      </c>
      <c r="AC215" s="0" t="n">
        <f aca="false">SUM(AB$10:AB214)/K215</f>
        <v>0</v>
      </c>
      <c r="AD215" s="0" t="n">
        <f aca="false">R215*E215+D215*(X215*S215+(1-X215)*T215)</f>
        <v>-0.178459573677747</v>
      </c>
      <c r="AE215" s="0" t="n">
        <f aca="false">Z215</f>
        <v>38.384577680039</v>
      </c>
      <c r="AF215" s="0" t="n">
        <f aca="false">E215*O215</f>
        <v>38.384577680039</v>
      </c>
      <c r="AG215" s="0" t="n">
        <f aca="false">((1-X215)*O215+X215*P215)*D215</f>
        <v>0</v>
      </c>
      <c r="AH215" s="0" t="n">
        <f aca="false">D215*(LN(EXP(S215)+EXP(T215)))</f>
        <v>-0</v>
      </c>
      <c r="AJ215" s="0" t="n">
        <f aca="false">$J$5</f>
        <v>10</v>
      </c>
      <c r="AK215" s="4" t="n">
        <f aca="false">AJ215+MAX(K215,AK$10:AK214)</f>
        <v>2148.67002850573</v>
      </c>
      <c r="AL215" s="5" t="n">
        <f aca="false">AK215-K215</f>
        <v>38.384577680039</v>
      </c>
      <c r="AM215" s="0" t="n">
        <f aca="false">-G215*AL215/3600</f>
        <v>-0.178459573677747</v>
      </c>
      <c r="AN215" s="0" t="n">
        <f aca="false">-H215*AL215/3600</f>
        <v>-0.637917663752951</v>
      </c>
      <c r="AO215" s="0" t="n">
        <f aca="false">AM215*E215+AN215*D215</f>
        <v>-0.178459573677747</v>
      </c>
      <c r="AP215" s="0" t="n">
        <f aca="false">AL215*D215</f>
        <v>0</v>
      </c>
      <c r="AR215" s="0" t="n">
        <f aca="false">AN215*D215</f>
        <v>-0</v>
      </c>
      <c r="AS215" s="0" t="n">
        <f aca="false">AH215-AR215</f>
        <v>0</v>
      </c>
    </row>
    <row r="216" customFormat="false" ht="12" hidden="false" customHeight="false" outlineLevel="0" collapsed="false">
      <c r="A216" s="3" t="n">
        <f aca="false">A215+1</f>
        <v>207</v>
      </c>
      <c r="B216" s="3" t="n">
        <f aca="false">IF(A216&lt;$N$4/3,0.1,(IF(A216&gt;2*$N$4/3,0.05,0.12)))</f>
        <v>0.1</v>
      </c>
      <c r="C216" s="4" t="n">
        <f aca="true">RAND()</f>
        <v>0.389187246056855</v>
      </c>
      <c r="D216" s="0" t="n">
        <f aca="false">IF((C216&gt;$M$2),1,0)</f>
        <v>0</v>
      </c>
      <c r="E216" s="0" t="n">
        <f aca="false">1-D216</f>
        <v>1</v>
      </c>
      <c r="F216" s="0" t="n">
        <f aca="true">RAND()</f>
        <v>0.548041056041001</v>
      </c>
      <c r="G216" s="0" t="n">
        <f aca="false">7.75+F216*10</f>
        <v>13.23041056041</v>
      </c>
      <c r="H216" s="0" t="n">
        <f aca="false">LOGINV(F216,2.64,1.139)</f>
        <v>16.0786577724729</v>
      </c>
      <c r="I216" s="0" t="n">
        <v>19.5</v>
      </c>
      <c r="J216" s="4" t="n">
        <f aca="true">-LN(RAND())/B216</f>
        <v>25.1678571271133</v>
      </c>
      <c r="K216" s="4" t="n">
        <f aca="false">K215+J216</f>
        <v>2135.4533079528</v>
      </c>
      <c r="L216" s="4" t="n">
        <f aca="false">(1/$J$4)*(1+AB215)</f>
        <v>10</v>
      </c>
      <c r="M216" s="4" t="n">
        <f aca="false">L216+MAX(K216,Y$10:Y215)</f>
        <v>2158.67002850573</v>
      </c>
      <c r="N216" s="4" t="n">
        <f aca="false">K216</f>
        <v>2135.4533079528</v>
      </c>
      <c r="O216" s="4" t="n">
        <f aca="false">M216-K216</f>
        <v>23.2167205529258</v>
      </c>
      <c r="P216" s="4" t="n">
        <f aca="false">N216-K216</f>
        <v>0</v>
      </c>
      <c r="Q216" s="4" t="n">
        <f aca="false">A216-MATCH(K216,$M$9:M215,1)</f>
        <v>2</v>
      </c>
      <c r="R216" s="0" t="n">
        <f aca="false">-G216*(O216/3600)</f>
        <v>-0.0853240957726439</v>
      </c>
      <c r="S216" s="0" t="n">
        <f aca="false">-1*I216-(H216*(P216/3600))</f>
        <v>-19.5</v>
      </c>
      <c r="T216" s="0" t="n">
        <f aca="false">-H216*(O216/3600)</f>
        <v>-0.103692695658231</v>
      </c>
      <c r="U216" s="0" t="n">
        <f aca="false">T216-S216</f>
        <v>19.3963073043418</v>
      </c>
      <c r="V216" s="0" t="n">
        <f aca="false">1/(1+EXP(U216))</f>
        <v>3.76956092377504E-009</v>
      </c>
      <c r="W216" s="0" t="n">
        <f aca="true">RAND()</f>
        <v>0.497143558082886</v>
      </c>
      <c r="X216" s="0" t="n">
        <f aca="false">IF(W216&lt;V216,1,0)</f>
        <v>0</v>
      </c>
      <c r="Y216" s="0" t="n">
        <f aca="false">(M216*(1-X216)+N216*X216)*D216+M216*E216</f>
        <v>2158.67002850573</v>
      </c>
      <c r="Z216" s="0" t="n">
        <f aca="false">((1-X216)*O216+X216*P216)*D216+E216*O216</f>
        <v>23.2167205529258</v>
      </c>
      <c r="AA216" s="0" t="n">
        <f aca="false">IF(D216*X216&gt;0,AA215,Q216)</f>
        <v>2</v>
      </c>
      <c r="AB216" s="0" t="n">
        <f aca="false">(X216*D216)</f>
        <v>0</v>
      </c>
      <c r="AC216" s="0" t="n">
        <f aca="false">SUM(AB$10:AB215)/K216</f>
        <v>0</v>
      </c>
      <c r="AD216" s="0" t="n">
        <f aca="false">R216*E216+D216*(X216*S216+(1-X216)*T216)</f>
        <v>-0.0853240957726439</v>
      </c>
      <c r="AE216" s="0" t="n">
        <f aca="false">Z216</f>
        <v>23.2167205529258</v>
      </c>
      <c r="AF216" s="0" t="n">
        <f aca="false">E216*O216</f>
        <v>23.2167205529258</v>
      </c>
      <c r="AG216" s="0" t="n">
        <f aca="false">((1-X216)*O216+X216*P216)*D216</f>
        <v>0</v>
      </c>
      <c r="AH216" s="0" t="n">
        <f aca="false">D216*(LN(EXP(S216)+EXP(T216)))</f>
        <v>-0</v>
      </c>
      <c r="AJ216" s="0" t="n">
        <f aca="false">$J$5</f>
        <v>10</v>
      </c>
      <c r="AK216" s="4" t="n">
        <f aca="false">AJ216+MAX(K216,AK$10:AK215)</f>
        <v>2158.67002850573</v>
      </c>
      <c r="AL216" s="5" t="n">
        <f aca="false">AK216-K216</f>
        <v>23.2167205529258</v>
      </c>
      <c r="AM216" s="0" t="n">
        <f aca="false">-G216*AL216/3600</f>
        <v>-0.085324095772644</v>
      </c>
      <c r="AN216" s="0" t="n">
        <f aca="false">-H216*AL216/3600</f>
        <v>-0.103692695658231</v>
      </c>
      <c r="AO216" s="0" t="n">
        <f aca="false">AM216*E216+AN216*D216</f>
        <v>-0.085324095772644</v>
      </c>
      <c r="AP216" s="0" t="n">
        <f aca="false">AL216*D216</f>
        <v>0</v>
      </c>
      <c r="AR216" s="0" t="n">
        <f aca="false">AN216*D216</f>
        <v>-0</v>
      </c>
      <c r="AS216" s="0" t="n">
        <f aca="false">AH216-AR216</f>
        <v>0</v>
      </c>
    </row>
    <row r="217" customFormat="false" ht="12" hidden="false" customHeight="false" outlineLevel="0" collapsed="false">
      <c r="A217" s="3" t="n">
        <f aca="false">A216+1</f>
        <v>208</v>
      </c>
      <c r="B217" s="3" t="n">
        <f aca="false">IF(A217&lt;$N$4/3,0.1,(IF(A217&gt;2*$N$4/3,0.05,0.12)))</f>
        <v>0.1</v>
      </c>
      <c r="C217" s="4" t="n">
        <f aca="true">RAND()</f>
        <v>0.461380635458609</v>
      </c>
      <c r="D217" s="0" t="n">
        <f aca="false">IF((C217&gt;$M$2),1,0)</f>
        <v>0</v>
      </c>
      <c r="E217" s="0" t="n">
        <f aca="false">1-D217</f>
        <v>1</v>
      </c>
      <c r="F217" s="0" t="n">
        <f aca="true">RAND()</f>
        <v>0.790402101349728</v>
      </c>
      <c r="G217" s="0" t="n">
        <f aca="false">7.75+F217*10</f>
        <v>15.6540210134973</v>
      </c>
      <c r="H217" s="0" t="n">
        <f aca="false">LOGINV(F217,2.64,1.139)</f>
        <v>35.1668486768778</v>
      </c>
      <c r="I217" s="0" t="n">
        <v>19.5</v>
      </c>
      <c r="J217" s="4" t="n">
        <f aca="true">-LN(RAND())/B217</f>
        <v>4.34735433496572</v>
      </c>
      <c r="K217" s="4" t="n">
        <f aca="false">K216+J217</f>
        <v>2139.80066228777</v>
      </c>
      <c r="L217" s="4" t="n">
        <f aca="false">(1/$J$4)*(1+AB216)</f>
        <v>10</v>
      </c>
      <c r="M217" s="4" t="n">
        <f aca="false">L217+MAX(K217,Y$10:Y216)</f>
        <v>2168.67002850573</v>
      </c>
      <c r="N217" s="4" t="n">
        <f aca="false">K217</f>
        <v>2139.80066228777</v>
      </c>
      <c r="O217" s="4" t="n">
        <f aca="false">M217-K217</f>
        <v>28.8693662179603</v>
      </c>
      <c r="P217" s="4" t="n">
        <f aca="false">N217-K217</f>
        <v>0</v>
      </c>
      <c r="Q217" s="4" t="n">
        <f aca="false">A217-MATCH(K217,$M$9:M216,1)</f>
        <v>2</v>
      </c>
      <c r="R217" s="0" t="n">
        <f aca="false">-G217*(O217/3600)</f>
        <v>-0.125533795950639</v>
      </c>
      <c r="S217" s="0" t="n">
        <f aca="false">-1*I217-(H217*(P217/3600))</f>
        <v>-19.5</v>
      </c>
      <c r="T217" s="0" t="n">
        <f aca="false">-H217*(O217/3600)</f>
        <v>-0.282012398106771</v>
      </c>
      <c r="U217" s="0" t="n">
        <f aca="false">T217-S217</f>
        <v>19.2179876018932</v>
      </c>
      <c r="V217" s="0" t="n">
        <f aca="false">1/(1+EXP(U217))</f>
        <v>4.50540699777478E-009</v>
      </c>
      <c r="W217" s="0" t="n">
        <f aca="true">RAND()</f>
        <v>0.393851046367323</v>
      </c>
      <c r="X217" s="0" t="n">
        <f aca="false">IF(W217&lt;V217,1,0)</f>
        <v>0</v>
      </c>
      <c r="Y217" s="0" t="n">
        <f aca="false">(M217*(1-X217)+N217*X217)*D217+M217*E217</f>
        <v>2168.67002850573</v>
      </c>
      <c r="Z217" s="0" t="n">
        <f aca="false">((1-X217)*O217+X217*P217)*D217+E217*O217</f>
        <v>28.8693662179603</v>
      </c>
      <c r="AA217" s="0" t="n">
        <f aca="false">IF(D217*X217&gt;0,AA216,Q217)</f>
        <v>2</v>
      </c>
      <c r="AB217" s="0" t="n">
        <f aca="false">(X217*D217)</f>
        <v>0</v>
      </c>
      <c r="AC217" s="0" t="n">
        <f aca="false">SUM(AB$10:AB216)/K217</f>
        <v>0</v>
      </c>
      <c r="AD217" s="0" t="n">
        <f aca="false">R217*E217+D217*(X217*S217+(1-X217)*T217)</f>
        <v>-0.125533795950639</v>
      </c>
      <c r="AE217" s="0" t="n">
        <f aca="false">Z217</f>
        <v>28.8693662179603</v>
      </c>
      <c r="AF217" s="0" t="n">
        <f aca="false">E217*O217</f>
        <v>28.8693662179603</v>
      </c>
      <c r="AG217" s="0" t="n">
        <f aca="false">((1-X217)*O217+X217*P217)*D217</f>
        <v>0</v>
      </c>
      <c r="AH217" s="0" t="n">
        <f aca="false">D217*(LN(EXP(S217)+EXP(T217)))</f>
        <v>-0</v>
      </c>
      <c r="AJ217" s="0" t="n">
        <f aca="false">$J$5</f>
        <v>10</v>
      </c>
      <c r="AK217" s="4" t="n">
        <f aca="false">AJ217+MAX(K217,AK$10:AK216)</f>
        <v>2168.67002850573</v>
      </c>
      <c r="AL217" s="5" t="n">
        <f aca="false">AK217-K217</f>
        <v>28.8693662179603</v>
      </c>
      <c r="AM217" s="0" t="n">
        <f aca="false">-G217*AL217/3600</f>
        <v>-0.125533795950639</v>
      </c>
      <c r="AN217" s="0" t="n">
        <f aca="false">-H217*AL217/3600</f>
        <v>-0.282012398106771</v>
      </c>
      <c r="AO217" s="0" t="n">
        <f aca="false">AM217*E217+AN217*D217</f>
        <v>-0.125533795950639</v>
      </c>
      <c r="AP217" s="0" t="n">
        <f aca="false">AL217*D217</f>
        <v>0</v>
      </c>
      <c r="AR217" s="0" t="n">
        <f aca="false">AN217*D217</f>
        <v>-0</v>
      </c>
      <c r="AS217" s="0" t="n">
        <f aca="false">AH217-AR217</f>
        <v>0</v>
      </c>
    </row>
    <row r="218" customFormat="false" ht="12" hidden="false" customHeight="false" outlineLevel="0" collapsed="false">
      <c r="A218" s="3" t="n">
        <f aca="false">A217+1</f>
        <v>209</v>
      </c>
      <c r="B218" s="3" t="n">
        <f aca="false">IF(A218&lt;$N$4/3,0.1,(IF(A218&gt;2*$N$4/3,0.05,0.12)))</f>
        <v>0.1</v>
      </c>
      <c r="C218" s="4" t="n">
        <f aca="true">RAND()</f>
        <v>0.792925000496957</v>
      </c>
      <c r="D218" s="0" t="n">
        <f aca="false">IF((C218&gt;$M$2),1,0)</f>
        <v>0</v>
      </c>
      <c r="E218" s="0" t="n">
        <f aca="false">1-D218</f>
        <v>1</v>
      </c>
      <c r="F218" s="0" t="n">
        <f aca="true">RAND()</f>
        <v>0.910331151855109</v>
      </c>
      <c r="G218" s="0" t="n">
        <f aca="false">7.75+F218*10</f>
        <v>16.8533115185511</v>
      </c>
      <c r="H218" s="0" t="n">
        <f aca="false">LOGINV(F218,2.64,1.139)</f>
        <v>64.6795999160271</v>
      </c>
      <c r="I218" s="0" t="n">
        <v>19.5</v>
      </c>
      <c r="J218" s="4" t="n">
        <f aca="true">-LN(RAND())/B218</f>
        <v>7.0045300149153</v>
      </c>
      <c r="K218" s="4" t="n">
        <f aca="false">K217+J218</f>
        <v>2146.80519230268</v>
      </c>
      <c r="L218" s="4" t="n">
        <f aca="false">(1/$J$4)*(1+AB217)</f>
        <v>10</v>
      </c>
      <c r="M218" s="4" t="n">
        <f aca="false">L218+MAX(K218,Y$10:Y217)</f>
        <v>2178.67002850573</v>
      </c>
      <c r="N218" s="4" t="n">
        <f aca="false">K218</f>
        <v>2146.80519230268</v>
      </c>
      <c r="O218" s="4" t="n">
        <f aca="false">M218-K218</f>
        <v>31.8648362030449</v>
      </c>
      <c r="P218" s="4" t="n">
        <f aca="false">N218-K218</f>
        <v>0</v>
      </c>
      <c r="Q218" s="4" t="n">
        <f aca="false">A218-MATCH(K218,$M$9:M217,1)</f>
        <v>3</v>
      </c>
      <c r="R218" s="0" t="n">
        <f aca="false">-G218*(O218/3600)</f>
        <v>-0.149174447504867</v>
      </c>
      <c r="S218" s="0" t="n">
        <f aca="false">-1*I218-(H218*(P218/3600))</f>
        <v>-19.5</v>
      </c>
      <c r="T218" s="0" t="n">
        <f aca="false">-H218*(O218/3600)</f>
        <v>-0.572501349167411</v>
      </c>
      <c r="U218" s="0" t="n">
        <f aca="false">T218-S218</f>
        <v>18.9274986508326</v>
      </c>
      <c r="V218" s="0" t="n">
        <f aca="false">1/(1+EXP(U218))</f>
        <v>6.02409451484447E-009</v>
      </c>
      <c r="W218" s="0" t="n">
        <f aca="true">RAND()</f>
        <v>0.142131193902805</v>
      </c>
      <c r="X218" s="0" t="n">
        <f aca="false">IF(W218&lt;V218,1,0)</f>
        <v>0</v>
      </c>
      <c r="Y218" s="0" t="n">
        <f aca="false">(M218*(1-X218)+N218*X218)*D218+M218*E218</f>
        <v>2178.67002850573</v>
      </c>
      <c r="Z218" s="0" t="n">
        <f aca="false">((1-X218)*O218+X218*P218)*D218+E218*O218</f>
        <v>31.8648362030449</v>
      </c>
      <c r="AA218" s="0" t="n">
        <f aca="false">IF(D218*X218&gt;0,AA217,Q218)</f>
        <v>3</v>
      </c>
      <c r="AB218" s="0" t="n">
        <f aca="false">(X218*D218)</f>
        <v>0</v>
      </c>
      <c r="AC218" s="0" t="n">
        <f aca="false">SUM(AB$10:AB217)/K218</f>
        <v>0</v>
      </c>
      <c r="AD218" s="0" t="n">
        <f aca="false">R218*E218+D218*(X218*S218+(1-X218)*T218)</f>
        <v>-0.149174447504867</v>
      </c>
      <c r="AE218" s="0" t="n">
        <f aca="false">Z218</f>
        <v>31.8648362030449</v>
      </c>
      <c r="AF218" s="0" t="n">
        <f aca="false">E218*O218</f>
        <v>31.8648362030449</v>
      </c>
      <c r="AG218" s="0" t="n">
        <f aca="false">((1-X218)*O218+X218*P218)*D218</f>
        <v>0</v>
      </c>
      <c r="AH218" s="0" t="n">
        <f aca="false">D218*(LN(EXP(S218)+EXP(T218)))</f>
        <v>-0</v>
      </c>
      <c r="AJ218" s="0" t="n">
        <f aca="false">$J$5</f>
        <v>10</v>
      </c>
      <c r="AK218" s="4" t="n">
        <f aca="false">AJ218+MAX(K218,AK$10:AK217)</f>
        <v>2178.67002850573</v>
      </c>
      <c r="AL218" s="5" t="n">
        <f aca="false">AK218-K218</f>
        <v>31.8648362030449</v>
      </c>
      <c r="AM218" s="0" t="n">
        <f aca="false">-G218*AL218/3600</f>
        <v>-0.149174447504867</v>
      </c>
      <c r="AN218" s="0" t="n">
        <f aca="false">-H218*AL218/3600</f>
        <v>-0.572501349167411</v>
      </c>
      <c r="AO218" s="0" t="n">
        <f aca="false">AM218*E218+AN218*D218</f>
        <v>-0.149174447504867</v>
      </c>
      <c r="AP218" s="0" t="n">
        <f aca="false">AL218*D218</f>
        <v>0</v>
      </c>
      <c r="AR218" s="0" t="n">
        <f aca="false">AN218*D218</f>
        <v>-0</v>
      </c>
      <c r="AS218" s="0" t="n">
        <f aca="false">AH218-AR218</f>
        <v>0</v>
      </c>
    </row>
    <row r="219" customFormat="false" ht="12" hidden="false" customHeight="false" outlineLevel="0" collapsed="false">
      <c r="A219" s="3" t="n">
        <f aca="false">A218+1</f>
        <v>210</v>
      </c>
      <c r="B219" s="3" t="n">
        <f aca="false">IF(A219&lt;$N$4/3,0.1,(IF(A219&gt;2*$N$4/3,0.05,0.12)))</f>
        <v>0.1</v>
      </c>
      <c r="C219" s="4" t="n">
        <f aca="true">RAND()</f>
        <v>0.613904534404527</v>
      </c>
      <c r="D219" s="0" t="n">
        <f aca="false">IF((C219&gt;$M$2),1,0)</f>
        <v>0</v>
      </c>
      <c r="E219" s="0" t="n">
        <f aca="false">1-D219</f>
        <v>1</v>
      </c>
      <c r="F219" s="0" t="n">
        <f aca="true">RAND()</f>
        <v>0.459940567237373</v>
      </c>
      <c r="G219" s="0" t="n">
        <f aca="false">7.75+F219*10</f>
        <v>12.3494056723737</v>
      </c>
      <c r="H219" s="0" t="n">
        <f aca="false">LOGINV(F219,2.64,1.139)</f>
        <v>12.4963356035442</v>
      </c>
      <c r="I219" s="0" t="n">
        <v>19.5</v>
      </c>
      <c r="J219" s="4" t="n">
        <f aca="true">-LN(RAND())/B219</f>
        <v>4.9424890089944</v>
      </c>
      <c r="K219" s="4" t="n">
        <f aca="false">K218+J219</f>
        <v>2151.74768131168</v>
      </c>
      <c r="L219" s="4" t="n">
        <f aca="false">(1/$J$4)*(1+AB218)</f>
        <v>10</v>
      </c>
      <c r="M219" s="4" t="n">
        <f aca="false">L219+MAX(K219,Y$10:Y218)</f>
        <v>2188.67002850573</v>
      </c>
      <c r="N219" s="4" t="n">
        <f aca="false">K219</f>
        <v>2151.74768131168</v>
      </c>
      <c r="O219" s="4" t="n">
        <f aca="false">M219-K219</f>
        <v>36.9223471940504</v>
      </c>
      <c r="P219" s="4" t="n">
        <f aca="false">N219-K219</f>
        <v>0</v>
      </c>
      <c r="Q219" s="4" t="n">
        <f aca="false">A219-MATCH(K219,$M$9:M218,1)</f>
        <v>3</v>
      </c>
      <c r="R219" s="0" t="n">
        <f aca="false">-G219*(O219/3600)</f>
        <v>-0.126658067743211</v>
      </c>
      <c r="S219" s="0" t="n">
        <f aca="false">-1*I219-(H219*(P219/3600))</f>
        <v>-19.5</v>
      </c>
      <c r="T219" s="0" t="n">
        <f aca="false">-H219*(O219/3600)</f>
        <v>-0.128165011613176</v>
      </c>
      <c r="U219" s="0" t="n">
        <f aca="false">T219-S219</f>
        <v>19.3718349883868</v>
      </c>
      <c r="V219" s="0" t="n">
        <f aca="false">1/(1+EXP(U219))</f>
        <v>3.8629488581298E-009</v>
      </c>
      <c r="W219" s="0" t="n">
        <f aca="true">RAND()</f>
        <v>0.925187946294635</v>
      </c>
      <c r="X219" s="0" t="n">
        <f aca="false">IF(W219&lt;V219,1,0)</f>
        <v>0</v>
      </c>
      <c r="Y219" s="0" t="n">
        <f aca="false">(M219*(1-X219)+N219*X219)*D219+M219*E219</f>
        <v>2188.67002850573</v>
      </c>
      <c r="Z219" s="0" t="n">
        <f aca="false">((1-X219)*O219+X219*P219)*D219+E219*O219</f>
        <v>36.9223471940504</v>
      </c>
      <c r="AA219" s="0" t="n">
        <f aca="false">IF(D219*X219&gt;0,AA218,Q219)</f>
        <v>3</v>
      </c>
      <c r="AB219" s="0" t="n">
        <f aca="false">(X219*D219)</f>
        <v>0</v>
      </c>
      <c r="AC219" s="0" t="n">
        <f aca="false">SUM(AB$10:AB218)/K219</f>
        <v>0</v>
      </c>
      <c r="AD219" s="0" t="n">
        <f aca="false">R219*E219+D219*(X219*S219+(1-X219)*T219)</f>
        <v>-0.126658067743211</v>
      </c>
      <c r="AE219" s="0" t="n">
        <f aca="false">Z219</f>
        <v>36.9223471940504</v>
      </c>
      <c r="AF219" s="0" t="n">
        <f aca="false">E219*O219</f>
        <v>36.9223471940504</v>
      </c>
      <c r="AG219" s="0" t="n">
        <f aca="false">((1-X219)*O219+X219*P219)*D219</f>
        <v>0</v>
      </c>
      <c r="AH219" s="0" t="n">
        <f aca="false">D219*(LN(EXP(S219)+EXP(T219)))</f>
        <v>-0</v>
      </c>
      <c r="AJ219" s="0" t="n">
        <f aca="false">$J$5</f>
        <v>10</v>
      </c>
      <c r="AK219" s="4" t="n">
        <f aca="false">AJ219+MAX(K219,AK$10:AK218)</f>
        <v>2188.67002850573</v>
      </c>
      <c r="AL219" s="5" t="n">
        <f aca="false">AK219-K219</f>
        <v>36.9223471940504</v>
      </c>
      <c r="AM219" s="0" t="n">
        <f aca="false">-G219*AL219/3600</f>
        <v>-0.126658067743211</v>
      </c>
      <c r="AN219" s="0" t="n">
        <f aca="false">-H219*AL219/3600</f>
        <v>-0.128165011613176</v>
      </c>
      <c r="AO219" s="0" t="n">
        <f aca="false">AM219*E219+AN219*D219</f>
        <v>-0.126658067743211</v>
      </c>
      <c r="AP219" s="0" t="n">
        <f aca="false">AL219*D219</f>
        <v>0</v>
      </c>
      <c r="AR219" s="0" t="n">
        <f aca="false">AN219*D219</f>
        <v>-0</v>
      </c>
      <c r="AS219" s="0" t="n">
        <f aca="false">AH219-AR219</f>
        <v>0</v>
      </c>
    </row>
    <row r="220" customFormat="false" ht="12" hidden="false" customHeight="false" outlineLevel="0" collapsed="false">
      <c r="A220" s="3" t="n">
        <f aca="false">A219+1</f>
        <v>211</v>
      </c>
      <c r="B220" s="3" t="n">
        <f aca="false">IF(A220&lt;$N$4/3,0.1,(IF(A220&gt;2*$N$4/3,0.05,0.12)))</f>
        <v>0.1</v>
      </c>
      <c r="C220" s="4" t="n">
        <f aca="true">RAND()</f>
        <v>0.0498718163891049</v>
      </c>
      <c r="D220" s="0" t="n">
        <f aca="false">IF((C220&gt;$M$2),1,0)</f>
        <v>0</v>
      </c>
      <c r="E220" s="0" t="n">
        <f aca="false">1-D220</f>
        <v>1</v>
      </c>
      <c r="F220" s="0" t="n">
        <f aca="true">RAND()</f>
        <v>0.417443861581433</v>
      </c>
      <c r="G220" s="0" t="n">
        <f aca="false">7.75+F220*10</f>
        <v>11.9244386158143</v>
      </c>
      <c r="H220" s="0" t="n">
        <f aca="false">LOGINV(F220,2.64,1.139)</f>
        <v>11.0517655150094</v>
      </c>
      <c r="I220" s="0" t="n">
        <v>19.5</v>
      </c>
      <c r="J220" s="4" t="n">
        <f aca="true">-LN(RAND())/B220</f>
        <v>2.36995317904693</v>
      </c>
      <c r="K220" s="4" t="n">
        <f aca="false">K219+J220</f>
        <v>2154.11763449073</v>
      </c>
      <c r="L220" s="4" t="n">
        <f aca="false">(1/$J$4)*(1+AB219)</f>
        <v>10</v>
      </c>
      <c r="M220" s="4" t="n">
        <f aca="false">L220+MAX(K220,Y$10:Y219)</f>
        <v>2198.67002850573</v>
      </c>
      <c r="N220" s="4" t="n">
        <f aca="false">K220</f>
        <v>2154.11763449073</v>
      </c>
      <c r="O220" s="4" t="n">
        <f aca="false">M220-K220</f>
        <v>44.5523940150033</v>
      </c>
      <c r="P220" s="4" t="n">
        <f aca="false">N220-K220</f>
        <v>0</v>
      </c>
      <c r="Q220" s="4" t="n">
        <f aca="false">A220-MATCH(K220,$M$9:M219,1)</f>
        <v>4</v>
      </c>
      <c r="R220" s="0" t="n">
        <f aca="false">-G220*(O220/3600)</f>
        <v>-0.147572857672078</v>
      </c>
      <c r="S220" s="0" t="n">
        <f aca="false">-1*I220-(H220*(P220/3600))</f>
        <v>-19.5</v>
      </c>
      <c r="T220" s="0" t="n">
        <f aca="false">-H220*(O220/3600)</f>
        <v>-0.136772947718367</v>
      </c>
      <c r="U220" s="0" t="n">
        <f aca="false">T220-S220</f>
        <v>19.3632270522816</v>
      </c>
      <c r="V220" s="0" t="n">
        <f aca="false">1/(1+EXP(U220))</f>
        <v>3.8963444020953E-009</v>
      </c>
      <c r="W220" s="0" t="n">
        <f aca="true">RAND()</f>
        <v>0.283035110370537</v>
      </c>
      <c r="X220" s="0" t="n">
        <f aca="false">IF(W220&lt;V220,1,0)</f>
        <v>0</v>
      </c>
      <c r="Y220" s="0" t="n">
        <f aca="false">(M220*(1-X220)+N220*X220)*D220+M220*E220</f>
        <v>2198.67002850573</v>
      </c>
      <c r="Z220" s="0" t="n">
        <f aca="false">((1-X220)*O220+X220*P220)*D220+E220*O220</f>
        <v>44.5523940150033</v>
      </c>
      <c r="AA220" s="0" t="n">
        <f aca="false">IF(D220*X220&gt;0,AA219,Q220)</f>
        <v>4</v>
      </c>
      <c r="AB220" s="0" t="n">
        <f aca="false">(X220*D220)</f>
        <v>0</v>
      </c>
      <c r="AC220" s="0" t="n">
        <f aca="false">SUM(AB$10:AB219)/K220</f>
        <v>0</v>
      </c>
      <c r="AD220" s="0" t="n">
        <f aca="false">R220*E220+D220*(X220*S220+(1-X220)*T220)</f>
        <v>-0.147572857672078</v>
      </c>
      <c r="AE220" s="0" t="n">
        <f aca="false">Z220</f>
        <v>44.5523940150033</v>
      </c>
      <c r="AF220" s="0" t="n">
        <f aca="false">E220*O220</f>
        <v>44.5523940150033</v>
      </c>
      <c r="AG220" s="0" t="n">
        <f aca="false">((1-X220)*O220+X220*P220)*D220</f>
        <v>0</v>
      </c>
      <c r="AH220" s="0" t="n">
        <f aca="false">D220*(LN(EXP(S220)+EXP(T220)))</f>
        <v>-0</v>
      </c>
      <c r="AJ220" s="0" t="n">
        <f aca="false">$J$5</f>
        <v>10</v>
      </c>
      <c r="AK220" s="4" t="n">
        <f aca="false">AJ220+MAX(K220,AK$10:AK219)</f>
        <v>2198.67002850573</v>
      </c>
      <c r="AL220" s="5" t="n">
        <f aca="false">AK220-K220</f>
        <v>44.5523940150033</v>
      </c>
      <c r="AM220" s="0" t="n">
        <f aca="false">-G220*AL220/3600</f>
        <v>-0.147572857672078</v>
      </c>
      <c r="AN220" s="0" t="n">
        <f aca="false">-H220*AL220/3600</f>
        <v>-0.136772947718367</v>
      </c>
      <c r="AO220" s="0" t="n">
        <f aca="false">AM220*E220+AN220*D220</f>
        <v>-0.147572857672078</v>
      </c>
      <c r="AP220" s="0" t="n">
        <f aca="false">AL220*D220</f>
        <v>0</v>
      </c>
      <c r="AR220" s="0" t="n">
        <f aca="false">AN220*D220</f>
        <v>-0</v>
      </c>
      <c r="AS220" s="0" t="n">
        <f aca="false">AH220-AR220</f>
        <v>0</v>
      </c>
    </row>
    <row r="221" customFormat="false" ht="12" hidden="false" customHeight="false" outlineLevel="0" collapsed="false">
      <c r="A221" s="3" t="n">
        <f aca="false">A220+1</f>
        <v>212</v>
      </c>
      <c r="B221" s="3" t="n">
        <f aca="false">IF(A221&lt;$N$4/3,0.1,(IF(A221&gt;2*$N$4/3,0.05,0.12)))</f>
        <v>0.1</v>
      </c>
      <c r="C221" s="4" t="n">
        <f aca="true">RAND()</f>
        <v>0.121820788407849</v>
      </c>
      <c r="D221" s="0" t="n">
        <f aca="false">IF((C221&gt;$M$2),1,0)</f>
        <v>0</v>
      </c>
      <c r="E221" s="0" t="n">
        <f aca="false">1-D221</f>
        <v>1</v>
      </c>
      <c r="F221" s="0" t="n">
        <f aca="true">RAND()</f>
        <v>0.970392061690312</v>
      </c>
      <c r="G221" s="0" t="n">
        <f aca="false">7.75+F221*10</f>
        <v>17.4539206169031</v>
      </c>
      <c r="H221" s="0" t="n">
        <f aca="false">LOGINV(F221,2.64,1.139)</f>
        <v>120.159828705145</v>
      </c>
      <c r="I221" s="0" t="n">
        <v>19.5</v>
      </c>
      <c r="J221" s="4" t="n">
        <f aca="true">-LN(RAND())/B221</f>
        <v>1.93098536023533</v>
      </c>
      <c r="K221" s="4" t="n">
        <f aca="false">K220+J221</f>
        <v>2156.04861985096</v>
      </c>
      <c r="L221" s="4" t="n">
        <f aca="false">(1/$J$4)*(1+AB220)</f>
        <v>10</v>
      </c>
      <c r="M221" s="4" t="n">
        <f aca="false">L221+MAX(K221,Y$10:Y220)</f>
        <v>2208.67002850573</v>
      </c>
      <c r="N221" s="4" t="n">
        <f aca="false">K221</f>
        <v>2156.04861985096</v>
      </c>
      <c r="O221" s="4" t="n">
        <f aca="false">M221-K221</f>
        <v>52.621408654768</v>
      </c>
      <c r="P221" s="4" t="n">
        <f aca="false">N221-K221</f>
        <v>0</v>
      </c>
      <c r="Q221" s="4" t="n">
        <f aca="false">A221-MATCH(K221,$M$9:M220,1)</f>
        <v>5</v>
      </c>
      <c r="R221" s="0" t="n">
        <f aca="false">-G221*(O221/3600)</f>
        <v>-0.255124969280538</v>
      </c>
      <c r="S221" s="0" t="n">
        <f aca="false">-1*I221-(H221*(P221/3600))</f>
        <v>-19.5</v>
      </c>
      <c r="T221" s="0" t="n">
        <f aca="false">-H221*(O221/3600)</f>
        <v>-1.75638318060565</v>
      </c>
      <c r="U221" s="0" t="n">
        <f aca="false">T221-S221</f>
        <v>17.7436168193943</v>
      </c>
      <c r="V221" s="0" t="n">
        <f aca="false">1/(1+EXP(U221))</f>
        <v>1.968090739186E-008</v>
      </c>
      <c r="W221" s="0" t="n">
        <f aca="true">RAND()</f>
        <v>0.533247563582661</v>
      </c>
      <c r="X221" s="0" t="n">
        <f aca="false">IF(W221&lt;V221,1,0)</f>
        <v>0</v>
      </c>
      <c r="Y221" s="0" t="n">
        <f aca="false">(M221*(1-X221)+N221*X221)*D221+M221*E221</f>
        <v>2208.67002850573</v>
      </c>
      <c r="Z221" s="0" t="n">
        <f aca="false">((1-X221)*O221+X221*P221)*D221+E221*O221</f>
        <v>52.621408654768</v>
      </c>
      <c r="AA221" s="0" t="n">
        <f aca="false">IF(D221*X221&gt;0,AA220,Q221)</f>
        <v>5</v>
      </c>
      <c r="AB221" s="0" t="n">
        <f aca="false">(X221*D221)</f>
        <v>0</v>
      </c>
      <c r="AC221" s="0" t="n">
        <f aca="false">SUM(AB$10:AB220)/K221</f>
        <v>0</v>
      </c>
      <c r="AD221" s="0" t="n">
        <f aca="false">R221*E221+D221*(X221*S221+(1-X221)*T221)</f>
        <v>-0.255124969280538</v>
      </c>
      <c r="AE221" s="0" t="n">
        <f aca="false">Z221</f>
        <v>52.621408654768</v>
      </c>
      <c r="AF221" s="0" t="n">
        <f aca="false">E221*O221</f>
        <v>52.621408654768</v>
      </c>
      <c r="AG221" s="0" t="n">
        <f aca="false">((1-X221)*O221+X221*P221)*D221</f>
        <v>0</v>
      </c>
      <c r="AH221" s="0" t="n">
        <f aca="false">D221*(LN(EXP(S221)+EXP(T221)))</f>
        <v>-0</v>
      </c>
      <c r="AJ221" s="0" t="n">
        <f aca="false">$J$5</f>
        <v>10</v>
      </c>
      <c r="AK221" s="4" t="n">
        <f aca="false">AJ221+MAX(K221,AK$10:AK220)</f>
        <v>2208.67002850573</v>
      </c>
      <c r="AL221" s="5" t="n">
        <f aca="false">AK221-K221</f>
        <v>52.621408654768</v>
      </c>
      <c r="AM221" s="0" t="n">
        <f aca="false">-G221*AL221/3600</f>
        <v>-0.255124969280538</v>
      </c>
      <c r="AN221" s="0" t="n">
        <f aca="false">-H221*AL221/3600</f>
        <v>-1.75638318060565</v>
      </c>
      <c r="AO221" s="0" t="n">
        <f aca="false">AM221*E221+AN221*D221</f>
        <v>-0.255124969280538</v>
      </c>
      <c r="AP221" s="0" t="n">
        <f aca="false">AL221*D221</f>
        <v>0</v>
      </c>
      <c r="AR221" s="0" t="n">
        <f aca="false">AN221*D221</f>
        <v>-0</v>
      </c>
      <c r="AS221" s="0" t="n">
        <f aca="false">AH221-AR221</f>
        <v>0</v>
      </c>
    </row>
    <row r="222" customFormat="false" ht="12" hidden="false" customHeight="false" outlineLevel="0" collapsed="false">
      <c r="A222" s="3" t="n">
        <f aca="false">A221+1</f>
        <v>213</v>
      </c>
      <c r="B222" s="3" t="n">
        <f aca="false">IF(A222&lt;$N$4/3,0.1,(IF(A222&gt;2*$N$4/3,0.05,0.12)))</f>
        <v>0.1</v>
      </c>
      <c r="C222" s="4" t="n">
        <f aca="true">RAND()</f>
        <v>0.265492770082147</v>
      </c>
      <c r="D222" s="0" t="n">
        <f aca="false">IF((C222&gt;$M$2),1,0)</f>
        <v>0</v>
      </c>
      <c r="E222" s="0" t="n">
        <f aca="false">1-D222</f>
        <v>1</v>
      </c>
      <c r="F222" s="0" t="n">
        <f aca="true">RAND()</f>
        <v>0.405895073843316</v>
      </c>
      <c r="G222" s="0" t="n">
        <f aca="false">7.75+F222*10</f>
        <v>11.8089507384332</v>
      </c>
      <c r="H222" s="0" t="n">
        <f aca="false">LOGINV(F222,2.64,1.139)</f>
        <v>10.6843968636548</v>
      </c>
      <c r="I222" s="0" t="n">
        <v>19.5</v>
      </c>
      <c r="J222" s="4" t="n">
        <f aca="true">-LN(RAND())/B222</f>
        <v>9.87443841065864</v>
      </c>
      <c r="K222" s="4" t="n">
        <f aca="false">K221+J222</f>
        <v>2165.92305826162</v>
      </c>
      <c r="L222" s="4" t="n">
        <f aca="false">(1/$J$4)*(1+AB221)</f>
        <v>10</v>
      </c>
      <c r="M222" s="4" t="n">
        <f aca="false">L222+MAX(K222,Y$10:Y221)</f>
        <v>2218.67002850573</v>
      </c>
      <c r="N222" s="4" t="n">
        <f aca="false">K222</f>
        <v>2165.92305826162</v>
      </c>
      <c r="O222" s="4" t="n">
        <f aca="false">M222-K222</f>
        <v>52.7469702441094</v>
      </c>
      <c r="P222" s="4" t="n">
        <f aca="false">N222-K222</f>
        <v>0</v>
      </c>
      <c r="Q222" s="4" t="n">
        <f aca="false">A222-MATCH(K222,$M$9:M221,1)</f>
        <v>5</v>
      </c>
      <c r="R222" s="0" t="n">
        <f aca="false">-G222*(O222/3600)</f>
        <v>-0.173023992559524</v>
      </c>
      <c r="S222" s="0" t="n">
        <f aca="false">-1*I222-(H222*(P222/3600))</f>
        <v>-19.5</v>
      </c>
      <c r="T222" s="0" t="n">
        <f aca="false">-H222*(O222/3600)</f>
        <v>-0.156547100956516</v>
      </c>
      <c r="U222" s="0" t="n">
        <f aca="false">T222-S222</f>
        <v>19.3434528990435</v>
      </c>
      <c r="V222" s="0" t="n">
        <f aca="false">1/(1+EXP(U222))</f>
        <v>3.97415812780771E-009</v>
      </c>
      <c r="W222" s="0" t="n">
        <f aca="true">RAND()</f>
        <v>0.194198982672892</v>
      </c>
      <c r="X222" s="0" t="n">
        <f aca="false">IF(W222&lt;V222,1,0)</f>
        <v>0</v>
      </c>
      <c r="Y222" s="0" t="n">
        <f aca="false">(M222*(1-X222)+N222*X222)*D222+M222*E222</f>
        <v>2218.67002850573</v>
      </c>
      <c r="Z222" s="0" t="n">
        <f aca="false">((1-X222)*O222+X222*P222)*D222+E222*O222</f>
        <v>52.7469702441094</v>
      </c>
      <c r="AA222" s="0" t="n">
        <f aca="false">IF(D222*X222&gt;0,AA221,Q222)</f>
        <v>5</v>
      </c>
      <c r="AB222" s="0" t="n">
        <f aca="false">(X222*D222)</f>
        <v>0</v>
      </c>
      <c r="AC222" s="0" t="n">
        <f aca="false">SUM(AB$10:AB221)/K222</f>
        <v>0</v>
      </c>
      <c r="AD222" s="0" t="n">
        <f aca="false">R222*E222+D222*(X222*S222+(1-X222)*T222)</f>
        <v>-0.173023992559524</v>
      </c>
      <c r="AE222" s="0" t="n">
        <f aca="false">Z222</f>
        <v>52.7469702441094</v>
      </c>
      <c r="AF222" s="0" t="n">
        <f aca="false">E222*O222</f>
        <v>52.7469702441094</v>
      </c>
      <c r="AG222" s="0" t="n">
        <f aca="false">((1-X222)*O222+X222*P222)*D222</f>
        <v>0</v>
      </c>
      <c r="AH222" s="0" t="n">
        <f aca="false">D222*(LN(EXP(S222)+EXP(T222)))</f>
        <v>-0</v>
      </c>
      <c r="AJ222" s="0" t="n">
        <f aca="false">$J$5</f>
        <v>10</v>
      </c>
      <c r="AK222" s="4" t="n">
        <f aca="false">AJ222+MAX(K222,AK$10:AK221)</f>
        <v>2218.67002850573</v>
      </c>
      <c r="AL222" s="5" t="n">
        <f aca="false">AK222-K222</f>
        <v>52.7469702441094</v>
      </c>
      <c r="AM222" s="0" t="n">
        <f aca="false">-G222*AL222/3600</f>
        <v>-0.173023992559524</v>
      </c>
      <c r="AN222" s="0" t="n">
        <f aca="false">-H222*AL222/3600</f>
        <v>-0.156547100956516</v>
      </c>
      <c r="AO222" s="0" t="n">
        <f aca="false">AM222*E222+AN222*D222</f>
        <v>-0.173023992559524</v>
      </c>
      <c r="AP222" s="0" t="n">
        <f aca="false">AL222*D222</f>
        <v>0</v>
      </c>
      <c r="AR222" s="0" t="n">
        <f aca="false">AN222*D222</f>
        <v>-0</v>
      </c>
      <c r="AS222" s="0" t="n">
        <f aca="false">AH222-AR222</f>
        <v>0</v>
      </c>
    </row>
    <row r="223" customFormat="false" ht="12" hidden="false" customHeight="false" outlineLevel="0" collapsed="false">
      <c r="A223" s="3" t="n">
        <f aca="false">A222+1</f>
        <v>214</v>
      </c>
      <c r="B223" s="3" t="n">
        <f aca="false">IF(A223&lt;$N$4/3,0.1,(IF(A223&gt;2*$N$4/3,0.05,0.12)))</f>
        <v>0.1</v>
      </c>
      <c r="C223" s="4" t="n">
        <f aca="true">RAND()</f>
        <v>0.818471904753522</v>
      </c>
      <c r="D223" s="0" t="n">
        <f aca="false">IF((C223&gt;$M$2),1,0)</f>
        <v>0</v>
      </c>
      <c r="E223" s="0" t="n">
        <f aca="false">1-D223</f>
        <v>1</v>
      </c>
      <c r="F223" s="0" t="n">
        <f aca="true">RAND()</f>
        <v>0.225391671530281</v>
      </c>
      <c r="G223" s="0" t="n">
        <f aca="false">7.75+F223*10</f>
        <v>10.0039167153028</v>
      </c>
      <c r="H223" s="0" t="n">
        <f aca="false">LOGINV(F223,2.64,1.139)</f>
        <v>5.93619901549152</v>
      </c>
      <c r="I223" s="0" t="n">
        <v>19.5</v>
      </c>
      <c r="J223" s="4" t="n">
        <f aca="true">-LN(RAND())/B223</f>
        <v>3.32362206707025</v>
      </c>
      <c r="K223" s="4" t="n">
        <f aca="false">K222+J223</f>
        <v>2169.24668032869</v>
      </c>
      <c r="L223" s="4" t="n">
        <f aca="false">(1/$J$4)*(1+AB222)</f>
        <v>10</v>
      </c>
      <c r="M223" s="4" t="n">
        <f aca="false">L223+MAX(K223,Y$10:Y222)</f>
        <v>2228.67002850573</v>
      </c>
      <c r="N223" s="4" t="n">
        <f aca="false">K223</f>
        <v>2169.24668032869</v>
      </c>
      <c r="O223" s="4" t="n">
        <f aca="false">M223-K223</f>
        <v>59.4233481770393</v>
      </c>
      <c r="P223" s="4" t="n">
        <f aca="false">N223-K223</f>
        <v>0</v>
      </c>
      <c r="Q223" s="4" t="n">
        <f aca="false">A223-MATCH(K223,$M$9:M222,1)</f>
        <v>5</v>
      </c>
      <c r="R223" s="0" t="n">
        <f aca="false">-G223*(O223/3600)</f>
        <v>-0.165129507252095</v>
      </c>
      <c r="S223" s="0" t="n">
        <f aca="false">-1*I223-(H223*(P223/3600))</f>
        <v>-19.5</v>
      </c>
      <c r="T223" s="0" t="n">
        <f aca="false">-H223*(O223/3600)</f>
        <v>-0.0979857835960418</v>
      </c>
      <c r="U223" s="0" t="n">
        <f aca="false">T223-S223</f>
        <v>19.402014216404</v>
      </c>
      <c r="V223" s="0" t="n">
        <f aca="false">1/(1+EXP(U223))</f>
        <v>3.74810963966689E-009</v>
      </c>
      <c r="W223" s="0" t="n">
        <f aca="true">RAND()</f>
        <v>0.137419962676696</v>
      </c>
      <c r="X223" s="0" t="n">
        <f aca="false">IF(W223&lt;V223,1,0)</f>
        <v>0</v>
      </c>
      <c r="Y223" s="0" t="n">
        <f aca="false">(M223*(1-X223)+N223*X223)*D223+M223*E223</f>
        <v>2228.67002850573</v>
      </c>
      <c r="Z223" s="0" t="n">
        <f aca="false">((1-X223)*O223+X223*P223)*D223+E223*O223</f>
        <v>59.4233481770393</v>
      </c>
      <c r="AA223" s="0" t="n">
        <f aca="false">IF(D223*X223&gt;0,AA222,Q223)</f>
        <v>5</v>
      </c>
      <c r="AB223" s="0" t="n">
        <f aca="false">(X223*D223)</f>
        <v>0</v>
      </c>
      <c r="AC223" s="0" t="n">
        <f aca="false">SUM(AB$10:AB222)/K223</f>
        <v>0</v>
      </c>
      <c r="AD223" s="0" t="n">
        <f aca="false">R223*E223+D223*(X223*S223+(1-X223)*T223)</f>
        <v>-0.165129507252095</v>
      </c>
      <c r="AE223" s="0" t="n">
        <f aca="false">Z223</f>
        <v>59.4233481770393</v>
      </c>
      <c r="AF223" s="0" t="n">
        <f aca="false">E223*O223</f>
        <v>59.4233481770393</v>
      </c>
      <c r="AG223" s="0" t="n">
        <f aca="false">((1-X223)*O223+X223*P223)*D223</f>
        <v>0</v>
      </c>
      <c r="AH223" s="0" t="n">
        <f aca="false">D223*(LN(EXP(S223)+EXP(T223)))</f>
        <v>-0</v>
      </c>
      <c r="AJ223" s="0" t="n">
        <f aca="false">$J$5</f>
        <v>10</v>
      </c>
      <c r="AK223" s="4" t="n">
        <f aca="false">AJ223+MAX(K223,AK$10:AK222)</f>
        <v>2228.67002850573</v>
      </c>
      <c r="AL223" s="5" t="n">
        <f aca="false">AK223-K223</f>
        <v>59.4233481770393</v>
      </c>
      <c r="AM223" s="0" t="n">
        <f aca="false">-G223*AL223/3600</f>
        <v>-0.165129507252095</v>
      </c>
      <c r="AN223" s="0" t="n">
        <f aca="false">-H223*AL223/3600</f>
        <v>-0.0979857835960418</v>
      </c>
      <c r="AO223" s="0" t="n">
        <f aca="false">AM223*E223+AN223*D223</f>
        <v>-0.165129507252095</v>
      </c>
      <c r="AP223" s="0" t="n">
        <f aca="false">AL223*D223</f>
        <v>0</v>
      </c>
      <c r="AR223" s="0" t="n">
        <f aca="false">AN223*D223</f>
        <v>-0</v>
      </c>
      <c r="AS223" s="0" t="n">
        <f aca="false">AH223-AR223</f>
        <v>0</v>
      </c>
    </row>
    <row r="224" customFormat="false" ht="12" hidden="false" customHeight="false" outlineLevel="0" collapsed="false">
      <c r="A224" s="3" t="n">
        <f aca="false">A223+1</f>
        <v>215</v>
      </c>
      <c r="B224" s="3" t="n">
        <f aca="false">IF(A224&lt;$N$4/3,0.1,(IF(A224&gt;2*$N$4/3,0.05,0.12)))</f>
        <v>0.1</v>
      </c>
      <c r="C224" s="4" t="n">
        <f aca="true">RAND()</f>
        <v>0.571606167442646</v>
      </c>
      <c r="D224" s="0" t="n">
        <f aca="false">IF((C224&gt;$M$2),1,0)</f>
        <v>0</v>
      </c>
      <c r="E224" s="0" t="n">
        <f aca="false">1-D224</f>
        <v>1</v>
      </c>
      <c r="F224" s="0" t="n">
        <f aca="true">RAND()</f>
        <v>0.3017540910617</v>
      </c>
      <c r="G224" s="0" t="n">
        <f aca="false">7.75+F224*10</f>
        <v>10.767540910617</v>
      </c>
      <c r="H224" s="0" t="n">
        <f aca="false">LOGINV(F224,2.64,1.139)</f>
        <v>7.75584263818454</v>
      </c>
      <c r="I224" s="0" t="n">
        <v>19.5</v>
      </c>
      <c r="J224" s="4" t="n">
        <f aca="true">-LN(RAND())/B224</f>
        <v>16.2994125144976</v>
      </c>
      <c r="K224" s="4" t="n">
        <f aca="false">K223+J224</f>
        <v>2185.54609284319</v>
      </c>
      <c r="L224" s="4" t="n">
        <f aca="false">(1/$J$4)*(1+AB223)</f>
        <v>10</v>
      </c>
      <c r="M224" s="4" t="n">
        <f aca="false">L224+MAX(K224,Y$10:Y223)</f>
        <v>2238.67002850573</v>
      </c>
      <c r="N224" s="4" t="n">
        <f aca="false">K224</f>
        <v>2185.54609284319</v>
      </c>
      <c r="O224" s="4" t="n">
        <f aca="false">M224-K224</f>
        <v>53.1239356625415</v>
      </c>
      <c r="P224" s="4" t="n">
        <f aca="false">N224-K224</f>
        <v>0</v>
      </c>
      <c r="Q224" s="4" t="n">
        <f aca="false">A224-MATCH(K224,$M$9:M223,1)</f>
        <v>5</v>
      </c>
      <c r="R224" s="0" t="n">
        <f aca="false">-G224*(O224/3600)</f>
        <v>-0.158892819605389</v>
      </c>
      <c r="S224" s="0" t="n">
        <f aca="false">-1*I224-(H224*(P224/3600))</f>
        <v>-19.5</v>
      </c>
      <c r="T224" s="0" t="n">
        <f aca="false">-H224*(O224/3600)</f>
        <v>-0.114450245922142</v>
      </c>
      <c r="U224" s="0" t="n">
        <f aca="false">T224-S224</f>
        <v>19.3855497540779</v>
      </c>
      <c r="V224" s="0" t="n">
        <f aca="false">1/(1+EXP(U224))</f>
        <v>3.81033106497662E-009</v>
      </c>
      <c r="W224" s="0" t="n">
        <f aca="true">RAND()</f>
        <v>0.0405675041781934</v>
      </c>
      <c r="X224" s="0" t="n">
        <f aca="false">IF(W224&lt;V224,1,0)</f>
        <v>0</v>
      </c>
      <c r="Y224" s="0" t="n">
        <f aca="false">(M224*(1-X224)+N224*X224)*D224+M224*E224</f>
        <v>2238.67002850573</v>
      </c>
      <c r="Z224" s="0" t="n">
        <f aca="false">((1-X224)*O224+X224*P224)*D224+E224*O224</f>
        <v>53.1239356625415</v>
      </c>
      <c r="AA224" s="0" t="n">
        <f aca="false">IF(D224*X224&gt;0,AA223,Q224)</f>
        <v>5</v>
      </c>
      <c r="AB224" s="0" t="n">
        <f aca="false">(X224*D224)</f>
        <v>0</v>
      </c>
      <c r="AC224" s="0" t="n">
        <f aca="false">SUM(AB$10:AB223)/K224</f>
        <v>0</v>
      </c>
      <c r="AD224" s="0" t="n">
        <f aca="false">R224*E224+D224*(X224*S224+(1-X224)*T224)</f>
        <v>-0.158892819605389</v>
      </c>
      <c r="AE224" s="0" t="n">
        <f aca="false">Z224</f>
        <v>53.1239356625415</v>
      </c>
      <c r="AF224" s="0" t="n">
        <f aca="false">E224*O224</f>
        <v>53.1239356625415</v>
      </c>
      <c r="AG224" s="0" t="n">
        <f aca="false">((1-X224)*O224+X224*P224)*D224</f>
        <v>0</v>
      </c>
      <c r="AH224" s="0" t="n">
        <f aca="false">D224*(LN(EXP(S224)+EXP(T224)))</f>
        <v>-0</v>
      </c>
      <c r="AJ224" s="0" t="n">
        <f aca="false">$J$5</f>
        <v>10</v>
      </c>
      <c r="AK224" s="4" t="n">
        <f aca="false">AJ224+MAX(K224,AK$10:AK223)</f>
        <v>2238.67002850573</v>
      </c>
      <c r="AL224" s="5" t="n">
        <f aca="false">AK224-K224</f>
        <v>53.1239356625415</v>
      </c>
      <c r="AM224" s="0" t="n">
        <f aca="false">-G224*AL224/3600</f>
        <v>-0.158892819605389</v>
      </c>
      <c r="AN224" s="0" t="n">
        <f aca="false">-H224*AL224/3600</f>
        <v>-0.114450245922142</v>
      </c>
      <c r="AO224" s="0" t="n">
        <f aca="false">AM224*E224+AN224*D224</f>
        <v>-0.158892819605389</v>
      </c>
      <c r="AP224" s="0" t="n">
        <f aca="false">AL224*D224</f>
        <v>0</v>
      </c>
      <c r="AR224" s="0" t="n">
        <f aca="false">AN224*D224</f>
        <v>-0</v>
      </c>
      <c r="AS224" s="0" t="n">
        <f aca="false">AH224-AR224</f>
        <v>0</v>
      </c>
    </row>
    <row r="225" customFormat="false" ht="12" hidden="false" customHeight="false" outlineLevel="0" collapsed="false">
      <c r="A225" s="3" t="n">
        <f aca="false">A224+1</f>
        <v>216</v>
      </c>
      <c r="B225" s="3" t="n">
        <f aca="false">IF(A225&lt;$N$4/3,0.1,(IF(A225&gt;2*$N$4/3,0.05,0.12)))</f>
        <v>0.1</v>
      </c>
      <c r="C225" s="4" t="n">
        <f aca="true">RAND()</f>
        <v>0.9194582190661</v>
      </c>
      <c r="D225" s="0" t="n">
        <f aca="false">IF((C225&gt;$M$2),1,0)</f>
        <v>1</v>
      </c>
      <c r="E225" s="0" t="n">
        <f aca="false">1-D225</f>
        <v>0</v>
      </c>
      <c r="F225" s="0" t="n">
        <f aca="true">RAND()</f>
        <v>0.25162474728024</v>
      </c>
      <c r="G225" s="0" t="n">
        <f aca="false">7.75+F225*10</f>
        <v>10.2662474728024</v>
      </c>
      <c r="H225" s="0" t="n">
        <f aca="false">LOGINV(F225,2.64,1.139)</f>
        <v>6.53759740952541</v>
      </c>
      <c r="I225" s="0" t="n">
        <v>19.5</v>
      </c>
      <c r="J225" s="4" t="n">
        <f aca="true">-LN(RAND())/B225</f>
        <v>1.75000540216091</v>
      </c>
      <c r="K225" s="4" t="n">
        <f aca="false">K224+J225</f>
        <v>2187.29609824535</v>
      </c>
      <c r="L225" s="4" t="n">
        <f aca="false">(1/$J$4)*(1+AB224)</f>
        <v>10</v>
      </c>
      <c r="M225" s="4" t="n">
        <f aca="false">L225+MAX(K225,Y$10:Y224)</f>
        <v>2248.67002850573</v>
      </c>
      <c r="N225" s="4" t="n">
        <f aca="false">K225</f>
        <v>2187.29609824535</v>
      </c>
      <c r="O225" s="4" t="n">
        <f aca="false">M225-K225</f>
        <v>61.3739302603808</v>
      </c>
      <c r="P225" s="4" t="n">
        <f aca="false">N225-K225</f>
        <v>0</v>
      </c>
      <c r="Q225" s="4" t="n">
        <f aca="false">A225-MATCH(K225,$M$9:M224,1)</f>
        <v>6</v>
      </c>
      <c r="R225" s="0" t="n">
        <f aca="false">-G225*(O225/3600)</f>
        <v>-0.175022210119885</v>
      </c>
      <c r="S225" s="0" t="n">
        <f aca="false">-1*I225-(H225*(P225/3600))</f>
        <v>-19.5</v>
      </c>
      <c r="T225" s="0" t="n">
        <f aca="false">-H225*(O225/3600)</f>
        <v>-0.111455013189627</v>
      </c>
      <c r="U225" s="0" t="n">
        <f aca="false">T225-S225</f>
        <v>19.3885449868104</v>
      </c>
      <c r="V225" s="0" t="n">
        <f aca="false">1/(1+EXP(U225))</f>
        <v>3.79893531167876E-009</v>
      </c>
      <c r="W225" s="0" t="n">
        <f aca="true">RAND()</f>
        <v>0.043948071385214</v>
      </c>
      <c r="X225" s="0" t="n">
        <f aca="false">IF(W225&lt;V225,1,0)</f>
        <v>0</v>
      </c>
      <c r="Y225" s="0" t="n">
        <f aca="false">(M225*(1-X225)+N225*X225)*D225+M225*E225</f>
        <v>2248.67002850573</v>
      </c>
      <c r="Z225" s="0" t="n">
        <f aca="false">((1-X225)*O225+X225*P225)*D225+E225*O225</f>
        <v>61.3739302603808</v>
      </c>
      <c r="AA225" s="0" t="n">
        <f aca="false">IF(D225*X225&gt;0,AA224,Q225)</f>
        <v>6</v>
      </c>
      <c r="AB225" s="0" t="n">
        <f aca="false">(X225*D225)</f>
        <v>0</v>
      </c>
      <c r="AC225" s="0" t="n">
        <f aca="false">SUM(AB$10:AB224)/K225</f>
        <v>0</v>
      </c>
      <c r="AD225" s="0" t="n">
        <f aca="false">R225*E225+D225*(X225*S225+(1-X225)*T225)</f>
        <v>-0.111455013189627</v>
      </c>
      <c r="AE225" s="0" t="n">
        <f aca="false">Z225</f>
        <v>61.3739302603808</v>
      </c>
      <c r="AF225" s="0" t="n">
        <f aca="false">E225*O225</f>
        <v>0</v>
      </c>
      <c r="AG225" s="0" t="n">
        <f aca="false">((1-X225)*O225+X225*P225)*D225</f>
        <v>61.3739302603808</v>
      </c>
      <c r="AH225" s="0" t="n">
        <f aca="false">D225*(LN(EXP(S225)+EXP(T225)))</f>
        <v>-0.111455009390692</v>
      </c>
      <c r="AJ225" s="0" t="n">
        <f aca="false">$J$5</f>
        <v>10</v>
      </c>
      <c r="AK225" s="4" t="n">
        <f aca="false">AJ225+MAX(K225,AK$10:AK224)</f>
        <v>2248.67002850573</v>
      </c>
      <c r="AL225" s="5" t="n">
        <f aca="false">AK225-K225</f>
        <v>61.3739302603808</v>
      </c>
      <c r="AM225" s="0" t="n">
        <f aca="false">-G225*AL225/3600</f>
        <v>-0.175022210119885</v>
      </c>
      <c r="AN225" s="0" t="n">
        <f aca="false">-H225*AL225/3600</f>
        <v>-0.111455013189627</v>
      </c>
      <c r="AO225" s="0" t="n">
        <f aca="false">AM225*E225+AN225*D225</f>
        <v>-0.111455013189627</v>
      </c>
      <c r="AP225" s="0" t="n">
        <f aca="false">AL225*D225</f>
        <v>61.3739302603808</v>
      </c>
      <c r="AR225" s="0" t="n">
        <f aca="false">AN225*D225</f>
        <v>-0.111455013189627</v>
      </c>
      <c r="AS225" s="0" t="n">
        <f aca="false">AH225-AR225</f>
        <v>3.79893524971031E-009</v>
      </c>
    </row>
    <row r="226" customFormat="false" ht="12" hidden="false" customHeight="false" outlineLevel="0" collapsed="false">
      <c r="A226" s="3" t="n">
        <f aca="false">A225+1</f>
        <v>217</v>
      </c>
      <c r="B226" s="3" t="n">
        <f aca="false">IF(A226&lt;$N$4/3,0.1,(IF(A226&gt;2*$N$4/3,0.05,0.12)))</f>
        <v>0.1</v>
      </c>
      <c r="C226" s="4" t="n">
        <f aca="true">RAND()</f>
        <v>0.540306974812758</v>
      </c>
      <c r="D226" s="0" t="n">
        <f aca="false">IF((C226&gt;$M$2),1,0)</f>
        <v>0</v>
      </c>
      <c r="E226" s="0" t="n">
        <f aca="false">1-D226</f>
        <v>1</v>
      </c>
      <c r="F226" s="0" t="n">
        <f aca="true">RAND()</f>
        <v>0.625712804311752</v>
      </c>
      <c r="G226" s="0" t="n">
        <f aca="false">7.75+F226*10</f>
        <v>14.0071280431175</v>
      </c>
      <c r="H226" s="0" t="n">
        <f aca="false">LOGINV(F226,2.64,1.139)</f>
        <v>20.1876685415474</v>
      </c>
      <c r="I226" s="0" t="n">
        <v>19.5</v>
      </c>
      <c r="J226" s="4" t="n">
        <f aca="true">-LN(RAND())/B226</f>
        <v>11.3758553211302</v>
      </c>
      <c r="K226" s="4" t="n">
        <f aca="false">K225+J226</f>
        <v>2198.67195356648</v>
      </c>
      <c r="L226" s="4" t="n">
        <f aca="false">(1/$J$4)*(1+AB225)</f>
        <v>10</v>
      </c>
      <c r="M226" s="4" t="n">
        <f aca="false">L226+MAX(K226,Y$10:Y225)</f>
        <v>2258.67002850573</v>
      </c>
      <c r="N226" s="4" t="n">
        <f aca="false">K226</f>
        <v>2198.67195356648</v>
      </c>
      <c r="O226" s="4" t="n">
        <f aca="false">M226-K226</f>
        <v>59.9980749392507</v>
      </c>
      <c r="P226" s="4" t="n">
        <f aca="false">N226-K226</f>
        <v>0</v>
      </c>
      <c r="Q226" s="4" t="n">
        <f aca="false">A226-MATCH(K226,$M$9:M225,1)</f>
        <v>5</v>
      </c>
      <c r="R226" s="0" t="n">
        <f aca="false">-G226*(O226/3600)</f>
        <v>-0.233444643892957</v>
      </c>
      <c r="S226" s="0" t="n">
        <f aca="false">-1*I226-(H226*(P226/3600))</f>
        <v>-19.5</v>
      </c>
      <c r="T226" s="0" t="n">
        <f aca="false">-H226*(O226/3600)</f>
        <v>-0.336450347223477</v>
      </c>
      <c r="U226" s="0" t="n">
        <f aca="false">T226-S226</f>
        <v>19.1635496527765</v>
      </c>
      <c r="V226" s="0" t="n">
        <f aca="false">1/(1+EXP(U226))</f>
        <v>4.75747078534906E-009</v>
      </c>
      <c r="W226" s="0" t="n">
        <f aca="true">RAND()</f>
        <v>0.346167763151049</v>
      </c>
      <c r="X226" s="0" t="n">
        <f aca="false">IF(W226&lt;V226,1,0)</f>
        <v>0</v>
      </c>
      <c r="Y226" s="0" t="n">
        <f aca="false">(M226*(1-X226)+N226*X226)*D226+M226*E226</f>
        <v>2258.67002850573</v>
      </c>
      <c r="Z226" s="0" t="n">
        <f aca="false">((1-X226)*O226+X226*P226)*D226+E226*O226</f>
        <v>59.9980749392507</v>
      </c>
      <c r="AA226" s="0" t="n">
        <f aca="false">IF(D226*X226&gt;0,AA225,Q226)</f>
        <v>5</v>
      </c>
      <c r="AB226" s="0" t="n">
        <f aca="false">(X226*D226)</f>
        <v>0</v>
      </c>
      <c r="AC226" s="0" t="n">
        <f aca="false">SUM(AB$10:AB225)/K226</f>
        <v>0</v>
      </c>
      <c r="AD226" s="0" t="n">
        <f aca="false">R226*E226+D226*(X226*S226+(1-X226)*T226)</f>
        <v>-0.233444643892957</v>
      </c>
      <c r="AE226" s="0" t="n">
        <f aca="false">Z226</f>
        <v>59.9980749392507</v>
      </c>
      <c r="AF226" s="0" t="n">
        <f aca="false">E226*O226</f>
        <v>59.9980749392507</v>
      </c>
      <c r="AG226" s="0" t="n">
        <f aca="false">((1-X226)*O226+X226*P226)*D226</f>
        <v>0</v>
      </c>
      <c r="AH226" s="0" t="n">
        <f aca="false">D226*(LN(EXP(S226)+EXP(T226)))</f>
        <v>-0</v>
      </c>
      <c r="AJ226" s="0" t="n">
        <f aca="false">$J$5</f>
        <v>10</v>
      </c>
      <c r="AK226" s="4" t="n">
        <f aca="false">AJ226+MAX(K226,AK$10:AK225)</f>
        <v>2258.67002850573</v>
      </c>
      <c r="AL226" s="5" t="n">
        <f aca="false">AK226-K226</f>
        <v>59.9980749392507</v>
      </c>
      <c r="AM226" s="0" t="n">
        <f aca="false">-G226*AL226/3600</f>
        <v>-0.233444643892957</v>
      </c>
      <c r="AN226" s="0" t="n">
        <f aca="false">-H226*AL226/3600</f>
        <v>-0.336450347223477</v>
      </c>
      <c r="AO226" s="0" t="n">
        <f aca="false">AM226*E226+AN226*D226</f>
        <v>-0.233444643892957</v>
      </c>
      <c r="AP226" s="0" t="n">
        <f aca="false">AL226*D226</f>
        <v>0</v>
      </c>
      <c r="AR226" s="0" t="n">
        <f aca="false">AN226*D226</f>
        <v>-0</v>
      </c>
      <c r="AS226" s="0" t="n">
        <f aca="false">AH226-AR226</f>
        <v>0</v>
      </c>
    </row>
    <row r="227" customFormat="false" ht="12" hidden="false" customHeight="false" outlineLevel="0" collapsed="false">
      <c r="A227" s="3" t="n">
        <f aca="false">A226+1</f>
        <v>218</v>
      </c>
      <c r="B227" s="3" t="n">
        <f aca="false">IF(A227&lt;$N$4/3,0.1,(IF(A227&gt;2*$N$4/3,0.05,0.12)))</f>
        <v>0.1</v>
      </c>
      <c r="C227" s="4" t="n">
        <f aca="true">RAND()</f>
        <v>0.0930546479668865</v>
      </c>
      <c r="D227" s="0" t="n">
        <f aca="false">IF((C227&gt;$M$2),1,0)</f>
        <v>0</v>
      </c>
      <c r="E227" s="0" t="n">
        <f aca="false">1-D227</f>
        <v>1</v>
      </c>
      <c r="F227" s="0" t="n">
        <f aca="true">RAND()</f>
        <v>0.0233492956878979</v>
      </c>
      <c r="G227" s="0" t="n">
        <f aca="false">7.75+F227*10</f>
        <v>7.98349295687898</v>
      </c>
      <c r="H227" s="0" t="n">
        <f aca="false">LOGINV(F227,2.64,1.139)</f>
        <v>1.45426708190936</v>
      </c>
      <c r="I227" s="0" t="n">
        <v>19.5</v>
      </c>
      <c r="J227" s="4" t="n">
        <f aca="true">-LN(RAND())/B227</f>
        <v>17.2761431801804</v>
      </c>
      <c r="K227" s="4" t="n">
        <f aca="false">K226+J227</f>
        <v>2215.94809674666</v>
      </c>
      <c r="L227" s="4" t="n">
        <f aca="false">(1/$J$4)*(1+AB226)</f>
        <v>10</v>
      </c>
      <c r="M227" s="4" t="n">
        <f aca="false">L227+MAX(K227,Y$10:Y226)</f>
        <v>2268.67002850573</v>
      </c>
      <c r="N227" s="4" t="n">
        <f aca="false">K227</f>
        <v>2215.94809674666</v>
      </c>
      <c r="O227" s="4" t="n">
        <f aca="false">M227-K227</f>
        <v>52.7219317590702</v>
      </c>
      <c r="P227" s="4" t="n">
        <f aca="false">N227-K227</f>
        <v>0</v>
      </c>
      <c r="Q227" s="4" t="n">
        <f aca="false">A227-MATCH(K227,$M$9:M226,1)</f>
        <v>5</v>
      </c>
      <c r="R227" s="0" t="n">
        <f aca="false">-G227*(O227/3600)</f>
        <v>-0.116918103019886</v>
      </c>
      <c r="S227" s="0" t="n">
        <f aca="false">-1*I227-(H227*(P227/3600))</f>
        <v>-19.5</v>
      </c>
      <c r="T227" s="0" t="n">
        <f aca="false">-H227*(O227/3600)</f>
        <v>-0.0212977138477465</v>
      </c>
      <c r="U227" s="0" t="n">
        <f aca="false">T227-S227</f>
        <v>19.4787022861523</v>
      </c>
      <c r="V227" s="0" t="n">
        <f aca="false">1/(1+EXP(U227))</f>
        <v>3.47141935837889E-009</v>
      </c>
      <c r="W227" s="0" t="n">
        <f aca="true">RAND()</f>
        <v>0.850600292442473</v>
      </c>
      <c r="X227" s="0" t="n">
        <f aca="false">IF(W227&lt;V227,1,0)</f>
        <v>0</v>
      </c>
      <c r="Y227" s="0" t="n">
        <f aca="false">(M227*(1-X227)+N227*X227)*D227+M227*E227</f>
        <v>2268.67002850573</v>
      </c>
      <c r="Z227" s="0" t="n">
        <f aca="false">((1-X227)*O227+X227*P227)*D227+E227*O227</f>
        <v>52.7219317590702</v>
      </c>
      <c r="AA227" s="0" t="n">
        <f aca="false">IF(D227*X227&gt;0,AA226,Q227)</f>
        <v>5</v>
      </c>
      <c r="AB227" s="0" t="n">
        <f aca="false">(X227*D227)</f>
        <v>0</v>
      </c>
      <c r="AC227" s="0" t="n">
        <f aca="false">SUM(AB$10:AB226)/K227</f>
        <v>0</v>
      </c>
      <c r="AD227" s="0" t="n">
        <f aca="false">R227*E227+D227*(X227*S227+(1-X227)*T227)</f>
        <v>-0.116918103019886</v>
      </c>
      <c r="AE227" s="0" t="n">
        <f aca="false">Z227</f>
        <v>52.7219317590702</v>
      </c>
      <c r="AF227" s="0" t="n">
        <f aca="false">E227*O227</f>
        <v>52.7219317590702</v>
      </c>
      <c r="AG227" s="0" t="n">
        <f aca="false">((1-X227)*O227+X227*P227)*D227</f>
        <v>0</v>
      </c>
      <c r="AH227" s="0" t="n">
        <f aca="false">D227*(LN(EXP(S227)+EXP(T227)))</f>
        <v>-0</v>
      </c>
      <c r="AJ227" s="0" t="n">
        <f aca="false">$J$5</f>
        <v>10</v>
      </c>
      <c r="AK227" s="4" t="n">
        <f aca="false">AJ227+MAX(K227,AK$10:AK226)</f>
        <v>2268.67002850573</v>
      </c>
      <c r="AL227" s="5" t="n">
        <f aca="false">AK227-K227</f>
        <v>52.7219317590702</v>
      </c>
      <c r="AM227" s="0" t="n">
        <f aca="false">-G227*AL227/3600</f>
        <v>-0.116918103019886</v>
      </c>
      <c r="AN227" s="0" t="n">
        <f aca="false">-H227*AL227/3600</f>
        <v>-0.0212977138477465</v>
      </c>
      <c r="AO227" s="0" t="n">
        <f aca="false">AM227*E227+AN227*D227</f>
        <v>-0.116918103019886</v>
      </c>
      <c r="AP227" s="0" t="n">
        <f aca="false">AL227*D227</f>
        <v>0</v>
      </c>
      <c r="AR227" s="0" t="n">
        <f aca="false">AN227*D227</f>
        <v>-0</v>
      </c>
      <c r="AS227" s="0" t="n">
        <f aca="false">AH227-AR227</f>
        <v>0</v>
      </c>
    </row>
    <row r="228" customFormat="false" ht="12" hidden="false" customHeight="false" outlineLevel="0" collapsed="false">
      <c r="A228" s="3" t="n">
        <f aca="false">A227+1</f>
        <v>219</v>
      </c>
      <c r="B228" s="3" t="n">
        <f aca="false">IF(A228&lt;$N$4/3,0.1,(IF(A228&gt;2*$N$4/3,0.05,0.12)))</f>
        <v>0.1</v>
      </c>
      <c r="C228" s="4" t="n">
        <f aca="true">RAND()</f>
        <v>0.839523703821859</v>
      </c>
      <c r="D228" s="0" t="n">
        <f aca="false">IF((C228&gt;$M$2),1,0)</f>
        <v>0</v>
      </c>
      <c r="E228" s="0" t="n">
        <f aca="false">1-D228</f>
        <v>1</v>
      </c>
      <c r="F228" s="0" t="n">
        <f aca="true">RAND()</f>
        <v>0.788297787369865</v>
      </c>
      <c r="G228" s="0" t="n">
        <f aca="false">7.75+F228*10</f>
        <v>15.6329778736986</v>
      </c>
      <c r="H228" s="0" t="n">
        <f aca="false">LOGINV(F228,2.64,1.139)</f>
        <v>34.8761222592173</v>
      </c>
      <c r="I228" s="0" t="n">
        <v>19.5</v>
      </c>
      <c r="J228" s="4" t="n">
        <f aca="true">-LN(RAND())/B228</f>
        <v>0.528903155679383</v>
      </c>
      <c r="K228" s="4" t="n">
        <f aca="false">K227+J228</f>
        <v>2216.47699990234</v>
      </c>
      <c r="L228" s="4" t="n">
        <f aca="false">(1/$J$4)*(1+AB227)</f>
        <v>10</v>
      </c>
      <c r="M228" s="4" t="n">
        <f aca="false">L228+MAX(K228,Y$10:Y227)</f>
        <v>2278.67002850573</v>
      </c>
      <c r="N228" s="4" t="n">
        <f aca="false">K228</f>
        <v>2216.47699990234</v>
      </c>
      <c r="O228" s="4" t="n">
        <f aca="false">M228-K228</f>
        <v>62.1930286033908</v>
      </c>
      <c r="P228" s="4" t="n">
        <f aca="false">N228-K228</f>
        <v>0</v>
      </c>
      <c r="Q228" s="4" t="n">
        <f aca="false">A228-MATCH(K228,$M$9:M227,1)</f>
        <v>6</v>
      </c>
      <c r="R228" s="0" t="n">
        <f aca="false">-G228*(O228/3600)</f>
        <v>-0.270072844459754</v>
      </c>
      <c r="S228" s="0" t="n">
        <f aca="false">-1*I228-(H228*(P228/3600))</f>
        <v>-19.5</v>
      </c>
      <c r="T228" s="0" t="n">
        <f aca="false">-H228*(O228/3600)</f>
        <v>-0.60251435256746</v>
      </c>
      <c r="U228" s="0" t="n">
        <f aca="false">T228-S228</f>
        <v>18.8974856474325</v>
      </c>
      <c r="V228" s="0" t="n">
        <f aca="false">1/(1+EXP(U228))</f>
        <v>6.20763622449902E-009</v>
      </c>
      <c r="W228" s="0" t="n">
        <f aca="true">RAND()</f>
        <v>0.567856361472542</v>
      </c>
      <c r="X228" s="0" t="n">
        <f aca="false">IF(W228&lt;V228,1,0)</f>
        <v>0</v>
      </c>
      <c r="Y228" s="0" t="n">
        <f aca="false">(M228*(1-X228)+N228*X228)*D228+M228*E228</f>
        <v>2278.67002850573</v>
      </c>
      <c r="Z228" s="0" t="n">
        <f aca="false">((1-X228)*O228+X228*P228)*D228+E228*O228</f>
        <v>62.1930286033908</v>
      </c>
      <c r="AA228" s="0" t="n">
        <f aca="false">IF(D228*X228&gt;0,AA227,Q228)</f>
        <v>6</v>
      </c>
      <c r="AB228" s="0" t="n">
        <f aca="false">(X228*D228)</f>
        <v>0</v>
      </c>
      <c r="AC228" s="0" t="n">
        <f aca="false">SUM(AB$10:AB227)/K228</f>
        <v>0</v>
      </c>
      <c r="AD228" s="0" t="n">
        <f aca="false">R228*E228+D228*(X228*S228+(1-X228)*T228)</f>
        <v>-0.270072844459754</v>
      </c>
      <c r="AE228" s="0" t="n">
        <f aca="false">Z228</f>
        <v>62.1930286033908</v>
      </c>
      <c r="AF228" s="0" t="n">
        <f aca="false">E228*O228</f>
        <v>62.1930286033908</v>
      </c>
      <c r="AG228" s="0" t="n">
        <f aca="false">((1-X228)*O228+X228*P228)*D228</f>
        <v>0</v>
      </c>
      <c r="AH228" s="0" t="n">
        <f aca="false">D228*(LN(EXP(S228)+EXP(T228)))</f>
        <v>-0</v>
      </c>
      <c r="AJ228" s="0" t="n">
        <f aca="false">$J$5</f>
        <v>10</v>
      </c>
      <c r="AK228" s="4" t="n">
        <f aca="false">AJ228+MAX(K228,AK$10:AK227)</f>
        <v>2278.67002850573</v>
      </c>
      <c r="AL228" s="5" t="n">
        <f aca="false">AK228-K228</f>
        <v>62.1930286033908</v>
      </c>
      <c r="AM228" s="0" t="n">
        <f aca="false">-G228*AL228/3600</f>
        <v>-0.270072844459754</v>
      </c>
      <c r="AN228" s="0" t="n">
        <f aca="false">-H228*AL228/3600</f>
        <v>-0.60251435256746</v>
      </c>
      <c r="AO228" s="0" t="n">
        <f aca="false">AM228*E228+AN228*D228</f>
        <v>-0.270072844459754</v>
      </c>
      <c r="AP228" s="0" t="n">
        <f aca="false">AL228*D228</f>
        <v>0</v>
      </c>
      <c r="AR228" s="0" t="n">
        <f aca="false">AN228*D228</f>
        <v>-0</v>
      </c>
      <c r="AS228" s="0" t="n">
        <f aca="false">AH228-AR228</f>
        <v>0</v>
      </c>
    </row>
    <row r="229" customFormat="false" ht="12" hidden="false" customHeight="false" outlineLevel="0" collapsed="false">
      <c r="A229" s="3" t="n">
        <f aca="false">A228+1</f>
        <v>220</v>
      </c>
      <c r="B229" s="3" t="n">
        <f aca="false">IF(A229&lt;$N$4/3,0.1,(IF(A229&gt;2*$N$4/3,0.05,0.12)))</f>
        <v>0.1</v>
      </c>
      <c r="C229" s="4" t="n">
        <f aca="true">RAND()</f>
        <v>0.975000172742793</v>
      </c>
      <c r="D229" s="0" t="n">
        <f aca="false">IF((C229&gt;$M$2),1,0)</f>
        <v>1</v>
      </c>
      <c r="E229" s="0" t="n">
        <f aca="false">1-D229</f>
        <v>0</v>
      </c>
      <c r="F229" s="0" t="n">
        <f aca="true">RAND()</f>
        <v>0.0708676451831247</v>
      </c>
      <c r="G229" s="0" t="n">
        <f aca="false">7.75+F229*10</f>
        <v>8.45867645183125</v>
      </c>
      <c r="H229" s="0" t="n">
        <f aca="false">LOGINV(F229,2.64,1.139)</f>
        <v>2.62846352115116</v>
      </c>
      <c r="I229" s="0" t="n">
        <v>19.5</v>
      </c>
      <c r="J229" s="4" t="n">
        <f aca="true">-LN(RAND())/B229</f>
        <v>3.72946132062856</v>
      </c>
      <c r="K229" s="4" t="n">
        <f aca="false">K228+J229</f>
        <v>2220.20646122297</v>
      </c>
      <c r="L229" s="4" t="n">
        <f aca="false">(1/$J$4)*(1+AB228)</f>
        <v>10</v>
      </c>
      <c r="M229" s="4" t="n">
        <f aca="false">L229+MAX(K229,Y$10:Y228)</f>
        <v>2288.67002850573</v>
      </c>
      <c r="N229" s="4" t="n">
        <f aca="false">K229</f>
        <v>2220.20646122297</v>
      </c>
      <c r="O229" s="4" t="n">
        <f aca="false">M229-K229</f>
        <v>68.4635672827621</v>
      </c>
      <c r="P229" s="4" t="n">
        <f aca="false">N229-K229</f>
        <v>0</v>
      </c>
      <c r="Q229" s="4" t="n">
        <f aca="false">A229-MATCH(K229,$M$9:M228,1)</f>
        <v>6</v>
      </c>
      <c r="R229" s="0" t="n">
        <f aca="false">-G229*(O229/3600)</f>
        <v>-0.160864212328629</v>
      </c>
      <c r="S229" s="0" t="n">
        <f aca="false">-1*I229-(H229*(P229/3600))</f>
        <v>-19.5</v>
      </c>
      <c r="T229" s="0" t="n">
        <f aca="false">-H229*(O229/3600)</f>
        <v>-0.0499872192029495</v>
      </c>
      <c r="U229" s="0" t="n">
        <f aca="false">T229-S229</f>
        <v>19.4500127807971</v>
      </c>
      <c r="V229" s="0" t="n">
        <f aca="false">1/(1+EXP(U229))</f>
        <v>3.57245506450242E-009</v>
      </c>
      <c r="W229" s="0" t="n">
        <f aca="true">RAND()</f>
        <v>0.975261900635371</v>
      </c>
      <c r="X229" s="0" t="n">
        <f aca="false">IF(W229&lt;V229,1,0)</f>
        <v>0</v>
      </c>
      <c r="Y229" s="0" t="n">
        <f aca="false">(M229*(1-X229)+N229*X229)*D229+M229*E229</f>
        <v>2288.67002850573</v>
      </c>
      <c r="Z229" s="0" t="n">
        <f aca="false">((1-X229)*O229+X229*P229)*D229+E229*O229</f>
        <v>68.4635672827621</v>
      </c>
      <c r="AA229" s="0" t="n">
        <f aca="false">IF(D229*X229&gt;0,AA228,Q229)</f>
        <v>6</v>
      </c>
      <c r="AB229" s="0" t="n">
        <f aca="false">(X229*D229)</f>
        <v>0</v>
      </c>
      <c r="AC229" s="0" t="n">
        <f aca="false">SUM(AB$10:AB228)/K229</f>
        <v>0</v>
      </c>
      <c r="AD229" s="0" t="n">
        <f aca="false">R229*E229+D229*(X229*S229+(1-X229)*T229)</f>
        <v>-0.0499872192029495</v>
      </c>
      <c r="AE229" s="0" t="n">
        <f aca="false">Z229</f>
        <v>68.4635672827621</v>
      </c>
      <c r="AF229" s="0" t="n">
        <f aca="false">E229*O229</f>
        <v>0</v>
      </c>
      <c r="AG229" s="0" t="n">
        <f aca="false">((1-X229)*O229+X229*P229)*D229</f>
        <v>68.4635672827621</v>
      </c>
      <c r="AH229" s="0" t="n">
        <f aca="false">D229*(LN(EXP(S229)+EXP(T229)))</f>
        <v>-0.0499872156304945</v>
      </c>
      <c r="AJ229" s="0" t="n">
        <f aca="false">$J$5</f>
        <v>10</v>
      </c>
      <c r="AK229" s="4" t="n">
        <f aca="false">AJ229+MAX(K229,AK$10:AK228)</f>
        <v>2288.67002850573</v>
      </c>
      <c r="AL229" s="5" t="n">
        <f aca="false">AK229-K229</f>
        <v>68.4635672827621</v>
      </c>
      <c r="AM229" s="0" t="n">
        <f aca="false">-G229*AL229/3600</f>
        <v>-0.160864212328629</v>
      </c>
      <c r="AN229" s="0" t="n">
        <f aca="false">-H229*AL229/3600</f>
        <v>-0.0499872192029495</v>
      </c>
      <c r="AO229" s="0" t="n">
        <f aca="false">AM229*E229+AN229*D229</f>
        <v>-0.0499872192029495</v>
      </c>
      <c r="AP229" s="0" t="n">
        <f aca="false">AL229*D229</f>
        <v>68.4635672827621</v>
      </c>
      <c r="AR229" s="0" t="n">
        <f aca="false">AN229*D229</f>
        <v>-0.0499872192029495</v>
      </c>
      <c r="AS229" s="0" t="n">
        <f aca="false">AH229-AR229</f>
        <v>3.57245503318504E-009</v>
      </c>
    </row>
    <row r="230" customFormat="false" ht="12" hidden="false" customHeight="false" outlineLevel="0" collapsed="false">
      <c r="A230" s="3" t="n">
        <f aca="false">A229+1</f>
        <v>221</v>
      </c>
      <c r="B230" s="3" t="n">
        <f aca="false">IF(A230&lt;$N$4/3,0.1,(IF(A230&gt;2*$N$4/3,0.05,0.12)))</f>
        <v>0.1</v>
      </c>
      <c r="C230" s="4" t="n">
        <f aca="true">RAND()</f>
        <v>0.771265129296913</v>
      </c>
      <c r="D230" s="0" t="n">
        <f aca="false">IF((C230&gt;$M$2),1,0)</f>
        <v>0</v>
      </c>
      <c r="E230" s="0" t="n">
        <f aca="false">1-D230</f>
        <v>1</v>
      </c>
      <c r="F230" s="0" t="n">
        <f aca="true">RAND()</f>
        <v>0.212953581435873</v>
      </c>
      <c r="G230" s="0" t="n">
        <f aca="false">7.75+F230*10</f>
        <v>9.87953581435873</v>
      </c>
      <c r="H230" s="0" t="n">
        <f aca="false">LOGINV(F230,2.64,1.139)</f>
        <v>5.65823087155068</v>
      </c>
      <c r="I230" s="0" t="n">
        <v>19.5</v>
      </c>
      <c r="J230" s="4" t="n">
        <f aca="true">-LN(RAND())/B230</f>
        <v>7.28230941998144</v>
      </c>
      <c r="K230" s="4" t="n">
        <f aca="false">K229+J230</f>
        <v>2227.48877064295</v>
      </c>
      <c r="L230" s="4" t="n">
        <f aca="false">(1/$J$4)*(1+AB229)</f>
        <v>10</v>
      </c>
      <c r="M230" s="4" t="n">
        <f aca="false">L230+MAX(K230,Y$10:Y229)</f>
        <v>2298.67002850573</v>
      </c>
      <c r="N230" s="4" t="n">
        <f aca="false">K230</f>
        <v>2227.48877064295</v>
      </c>
      <c r="O230" s="4" t="n">
        <f aca="false">M230-K230</f>
        <v>71.1812578627805</v>
      </c>
      <c r="P230" s="4" t="n">
        <f aca="false">N230-K230</f>
        <v>0</v>
      </c>
      <c r="Q230" s="4" t="n">
        <f aca="false">A230-MATCH(K230,$M$9:M229,1)</f>
        <v>7</v>
      </c>
      <c r="R230" s="0" t="n">
        <f aca="false">-G230*(O230/3600)</f>
        <v>-0.195343829546234</v>
      </c>
      <c r="S230" s="0" t="n">
        <f aca="false">-1*I230-(H230*(P230/3600))</f>
        <v>-19.5</v>
      </c>
      <c r="T230" s="0" t="n">
        <f aca="false">-H230*(O230/3600)</f>
        <v>-0.11187777519861</v>
      </c>
      <c r="U230" s="0" t="n">
        <f aca="false">T230-S230</f>
        <v>19.3881222248014</v>
      </c>
      <c r="V230" s="0" t="n">
        <f aca="false">1/(1+EXP(U230))</f>
        <v>3.80054169673238E-009</v>
      </c>
      <c r="W230" s="0" t="n">
        <f aca="true">RAND()</f>
        <v>0.930711543239596</v>
      </c>
      <c r="X230" s="0" t="n">
        <f aca="false">IF(W230&lt;V230,1,0)</f>
        <v>0</v>
      </c>
      <c r="Y230" s="0" t="n">
        <f aca="false">(M230*(1-X230)+N230*X230)*D230+M230*E230</f>
        <v>2298.67002850573</v>
      </c>
      <c r="Z230" s="0" t="n">
        <f aca="false">((1-X230)*O230+X230*P230)*D230+E230*O230</f>
        <v>71.1812578627805</v>
      </c>
      <c r="AA230" s="0" t="n">
        <f aca="false">IF(D230*X230&gt;0,AA229,Q230)</f>
        <v>7</v>
      </c>
      <c r="AB230" s="0" t="n">
        <f aca="false">(X230*D230)</f>
        <v>0</v>
      </c>
      <c r="AC230" s="0" t="n">
        <f aca="false">SUM(AB$10:AB229)/K230</f>
        <v>0</v>
      </c>
      <c r="AD230" s="0" t="n">
        <f aca="false">R230*E230+D230*(X230*S230+(1-X230)*T230)</f>
        <v>-0.195343829546234</v>
      </c>
      <c r="AE230" s="0" t="n">
        <f aca="false">Z230</f>
        <v>71.1812578627805</v>
      </c>
      <c r="AF230" s="0" t="n">
        <f aca="false">E230*O230</f>
        <v>71.1812578627805</v>
      </c>
      <c r="AG230" s="0" t="n">
        <f aca="false">((1-X230)*O230+X230*P230)*D230</f>
        <v>0</v>
      </c>
      <c r="AH230" s="0" t="n">
        <f aca="false">D230*(LN(EXP(S230)+EXP(T230)))</f>
        <v>-0</v>
      </c>
      <c r="AJ230" s="0" t="n">
        <f aca="false">$J$5</f>
        <v>10</v>
      </c>
      <c r="AK230" s="4" t="n">
        <f aca="false">AJ230+MAX(K230,AK$10:AK229)</f>
        <v>2298.67002850573</v>
      </c>
      <c r="AL230" s="5" t="n">
        <f aca="false">AK230-K230</f>
        <v>71.1812578627805</v>
      </c>
      <c r="AM230" s="0" t="n">
        <f aca="false">-G230*AL230/3600</f>
        <v>-0.195343829546234</v>
      </c>
      <c r="AN230" s="0" t="n">
        <f aca="false">-H230*AL230/3600</f>
        <v>-0.11187777519861</v>
      </c>
      <c r="AO230" s="0" t="n">
        <f aca="false">AM230*E230+AN230*D230</f>
        <v>-0.195343829546234</v>
      </c>
      <c r="AP230" s="0" t="n">
        <f aca="false">AL230*D230</f>
        <v>0</v>
      </c>
      <c r="AR230" s="0" t="n">
        <f aca="false">AN230*D230</f>
        <v>-0</v>
      </c>
      <c r="AS230" s="0" t="n">
        <f aca="false">AH230-AR230</f>
        <v>0</v>
      </c>
    </row>
    <row r="231" customFormat="false" ht="12" hidden="false" customHeight="false" outlineLevel="0" collapsed="false">
      <c r="A231" s="3" t="n">
        <f aca="false">A230+1</f>
        <v>222</v>
      </c>
      <c r="B231" s="3" t="n">
        <f aca="false">IF(A231&lt;$N$4/3,0.1,(IF(A231&gt;2*$N$4/3,0.05,0.12)))</f>
        <v>0.1</v>
      </c>
      <c r="C231" s="4" t="n">
        <f aca="true">RAND()</f>
        <v>0.324473870593266</v>
      </c>
      <c r="D231" s="0" t="n">
        <f aca="false">IF((C231&gt;$M$2),1,0)</f>
        <v>0</v>
      </c>
      <c r="E231" s="0" t="n">
        <f aca="false">1-D231</f>
        <v>1</v>
      </c>
      <c r="F231" s="0" t="n">
        <f aca="true">RAND()</f>
        <v>0.866273647806379</v>
      </c>
      <c r="G231" s="0" t="n">
        <f aca="false">7.75+F231*10</f>
        <v>16.4127364780638</v>
      </c>
      <c r="H231" s="0" t="n">
        <f aca="false">LOGINV(F231,2.64,1.139)</f>
        <v>49.5554149038139</v>
      </c>
      <c r="I231" s="0" t="n">
        <v>19.5</v>
      </c>
      <c r="J231" s="4" t="n">
        <f aca="true">-LN(RAND())/B231</f>
        <v>3.39459497408252</v>
      </c>
      <c r="K231" s="4" t="n">
        <f aca="false">K230+J231</f>
        <v>2230.88336561703</v>
      </c>
      <c r="L231" s="4" t="n">
        <f aca="false">(1/$J$4)*(1+AB230)</f>
        <v>10</v>
      </c>
      <c r="M231" s="4" t="n">
        <f aca="false">L231+MAX(K231,Y$10:Y230)</f>
        <v>2308.67002850573</v>
      </c>
      <c r="N231" s="4" t="n">
        <f aca="false">K231</f>
        <v>2230.88336561703</v>
      </c>
      <c r="O231" s="4" t="n">
        <f aca="false">M231-K231</f>
        <v>77.7866628886982</v>
      </c>
      <c r="P231" s="4" t="n">
        <f aca="false">N231-K231</f>
        <v>0</v>
      </c>
      <c r="Q231" s="4" t="n">
        <f aca="false">A231-MATCH(K231,$M$9:M230,1)</f>
        <v>7</v>
      </c>
      <c r="R231" s="0" t="n">
        <f aca="false">-G231*(O231/3600)</f>
        <v>-0.35463666652783</v>
      </c>
      <c r="S231" s="0" t="n">
        <f aca="false">-1*I231-(H231*(P231/3600))</f>
        <v>-19.5</v>
      </c>
      <c r="T231" s="0" t="n">
        <f aca="false">-H231*(O231/3600)</f>
        <v>-1.0707639870646</v>
      </c>
      <c r="U231" s="0" t="n">
        <f aca="false">T231-S231</f>
        <v>18.4292360129354</v>
      </c>
      <c r="V231" s="0" t="n">
        <f aca="false">1/(1+EXP(U231))</f>
        <v>9.91481213359361E-009</v>
      </c>
      <c r="W231" s="0" t="n">
        <f aca="true">RAND()</f>
        <v>0.340125386974703</v>
      </c>
      <c r="X231" s="0" t="n">
        <f aca="false">IF(W231&lt;V231,1,0)</f>
        <v>0</v>
      </c>
      <c r="Y231" s="0" t="n">
        <f aca="false">(M231*(1-X231)+N231*X231)*D231+M231*E231</f>
        <v>2308.67002850573</v>
      </c>
      <c r="Z231" s="0" t="n">
        <f aca="false">((1-X231)*O231+X231*P231)*D231+E231*O231</f>
        <v>77.7866628886982</v>
      </c>
      <c r="AA231" s="0" t="n">
        <f aca="false">IF(D231*X231&gt;0,AA230,Q231)</f>
        <v>7</v>
      </c>
      <c r="AB231" s="0" t="n">
        <f aca="false">(X231*D231)</f>
        <v>0</v>
      </c>
      <c r="AC231" s="0" t="n">
        <f aca="false">SUM(AB$10:AB230)/K231</f>
        <v>0</v>
      </c>
      <c r="AD231" s="0" t="n">
        <f aca="false">R231*E231+D231*(X231*S231+(1-X231)*T231)</f>
        <v>-0.35463666652783</v>
      </c>
      <c r="AE231" s="0" t="n">
        <f aca="false">Z231</f>
        <v>77.7866628886982</v>
      </c>
      <c r="AF231" s="0" t="n">
        <f aca="false">E231*O231</f>
        <v>77.7866628886982</v>
      </c>
      <c r="AG231" s="0" t="n">
        <f aca="false">((1-X231)*O231+X231*P231)*D231</f>
        <v>0</v>
      </c>
      <c r="AH231" s="0" t="n">
        <f aca="false">D231*(LN(EXP(S231)+EXP(T231)))</f>
        <v>-0</v>
      </c>
      <c r="AJ231" s="0" t="n">
        <f aca="false">$J$5</f>
        <v>10</v>
      </c>
      <c r="AK231" s="4" t="n">
        <f aca="false">AJ231+MAX(K231,AK$10:AK230)</f>
        <v>2308.67002850573</v>
      </c>
      <c r="AL231" s="5" t="n">
        <f aca="false">AK231-K231</f>
        <v>77.7866628886982</v>
      </c>
      <c r="AM231" s="0" t="n">
        <f aca="false">-G231*AL231/3600</f>
        <v>-0.35463666652783</v>
      </c>
      <c r="AN231" s="0" t="n">
        <f aca="false">-H231*AL231/3600</f>
        <v>-1.0707639870646</v>
      </c>
      <c r="AO231" s="0" t="n">
        <f aca="false">AM231*E231+AN231*D231</f>
        <v>-0.35463666652783</v>
      </c>
      <c r="AP231" s="0" t="n">
        <f aca="false">AL231*D231</f>
        <v>0</v>
      </c>
      <c r="AR231" s="0" t="n">
        <f aca="false">AN231*D231</f>
        <v>-0</v>
      </c>
      <c r="AS231" s="0" t="n">
        <f aca="false">AH231-AR231</f>
        <v>0</v>
      </c>
    </row>
    <row r="232" customFormat="false" ht="12" hidden="false" customHeight="false" outlineLevel="0" collapsed="false">
      <c r="A232" s="3" t="n">
        <f aca="false">A231+1</f>
        <v>223</v>
      </c>
      <c r="B232" s="3" t="n">
        <f aca="false">IF(A232&lt;$N$4/3,0.1,(IF(A232&gt;2*$N$4/3,0.05,0.12)))</f>
        <v>0.1</v>
      </c>
      <c r="C232" s="4" t="n">
        <f aca="true">RAND()</f>
        <v>0.0232112346986844</v>
      </c>
      <c r="D232" s="0" t="n">
        <f aca="false">IF((C232&gt;$M$2),1,0)</f>
        <v>0</v>
      </c>
      <c r="E232" s="0" t="n">
        <f aca="false">1-D232</f>
        <v>1</v>
      </c>
      <c r="F232" s="0" t="n">
        <f aca="true">RAND()</f>
        <v>0.366107131304226</v>
      </c>
      <c r="G232" s="0" t="n">
        <f aca="false">7.75+F232*10</f>
        <v>11.4110713130423</v>
      </c>
      <c r="H232" s="0" t="n">
        <f aca="false">LOGINV(F232,2.64,1.139)</f>
        <v>9.49015746080272</v>
      </c>
      <c r="I232" s="0" t="n">
        <v>19.5</v>
      </c>
      <c r="J232" s="4" t="n">
        <f aca="true">-LN(RAND())/B232</f>
        <v>26.4360681014672</v>
      </c>
      <c r="K232" s="4" t="n">
        <f aca="false">K231+J232</f>
        <v>2257.3194337185</v>
      </c>
      <c r="L232" s="4" t="n">
        <f aca="false">(1/$J$4)*(1+AB231)</f>
        <v>10</v>
      </c>
      <c r="M232" s="4" t="n">
        <f aca="false">L232+MAX(K232,Y$10:Y231)</f>
        <v>2318.67002850573</v>
      </c>
      <c r="N232" s="4" t="n">
        <f aca="false">K232</f>
        <v>2257.3194337185</v>
      </c>
      <c r="O232" s="4" t="n">
        <f aca="false">M232-K232</f>
        <v>61.3505947872309</v>
      </c>
      <c r="P232" s="4" t="n">
        <f aca="false">N232-K232</f>
        <v>0</v>
      </c>
      <c r="Q232" s="4" t="n">
        <f aca="false">A232-MATCH(K232,$M$9:M231,1)</f>
        <v>6</v>
      </c>
      <c r="R232" s="0" t="n">
        <f aca="false">-G232*(O232/3600)</f>
        <v>-0.194465558948514</v>
      </c>
      <c r="S232" s="0" t="n">
        <f aca="false">-1*I232-(H232*(P232/3600))</f>
        <v>-19.5</v>
      </c>
      <c r="T232" s="0" t="n">
        <f aca="false">-H232*(O232/3600)</f>
        <v>-0.161729668012423</v>
      </c>
      <c r="U232" s="0" t="n">
        <f aca="false">T232-S232</f>
        <v>19.3382703319876</v>
      </c>
      <c r="V232" s="0" t="n">
        <f aca="false">1/(1+EXP(U232))</f>
        <v>3.99480793199161E-009</v>
      </c>
      <c r="W232" s="0" t="n">
        <f aca="true">RAND()</f>
        <v>0.407485585158247</v>
      </c>
      <c r="X232" s="0" t="n">
        <f aca="false">IF(W232&lt;V232,1,0)</f>
        <v>0</v>
      </c>
      <c r="Y232" s="0" t="n">
        <f aca="false">(M232*(1-X232)+N232*X232)*D232+M232*E232</f>
        <v>2318.67002850573</v>
      </c>
      <c r="Z232" s="0" t="n">
        <f aca="false">((1-X232)*O232+X232*P232)*D232+E232*O232</f>
        <v>61.3505947872309</v>
      </c>
      <c r="AA232" s="0" t="n">
        <f aca="false">IF(D232*X232&gt;0,AA231,Q232)</f>
        <v>6</v>
      </c>
      <c r="AB232" s="0" t="n">
        <f aca="false">(X232*D232)</f>
        <v>0</v>
      </c>
      <c r="AC232" s="0" t="n">
        <f aca="false">SUM(AB$10:AB231)/K232</f>
        <v>0</v>
      </c>
      <c r="AD232" s="0" t="n">
        <f aca="false">R232*E232+D232*(X232*S232+(1-X232)*T232)</f>
        <v>-0.194465558948514</v>
      </c>
      <c r="AE232" s="0" t="n">
        <f aca="false">Z232</f>
        <v>61.3505947872309</v>
      </c>
      <c r="AF232" s="0" t="n">
        <f aca="false">E232*O232</f>
        <v>61.3505947872309</v>
      </c>
      <c r="AG232" s="0" t="n">
        <f aca="false">((1-X232)*O232+X232*P232)*D232</f>
        <v>0</v>
      </c>
      <c r="AH232" s="0" t="n">
        <f aca="false">D232*(LN(EXP(S232)+EXP(T232)))</f>
        <v>-0</v>
      </c>
      <c r="AJ232" s="0" t="n">
        <f aca="false">$J$5</f>
        <v>10</v>
      </c>
      <c r="AK232" s="4" t="n">
        <f aca="false">AJ232+MAX(K232,AK$10:AK231)</f>
        <v>2318.67002850573</v>
      </c>
      <c r="AL232" s="5" t="n">
        <f aca="false">AK232-K232</f>
        <v>61.3505947872309</v>
      </c>
      <c r="AM232" s="0" t="n">
        <f aca="false">-G232*AL232/3600</f>
        <v>-0.194465558948514</v>
      </c>
      <c r="AN232" s="0" t="n">
        <f aca="false">-H232*AL232/3600</f>
        <v>-0.161729668012423</v>
      </c>
      <c r="AO232" s="0" t="n">
        <f aca="false">AM232*E232+AN232*D232</f>
        <v>-0.194465558948514</v>
      </c>
      <c r="AP232" s="0" t="n">
        <f aca="false">AL232*D232</f>
        <v>0</v>
      </c>
      <c r="AR232" s="0" t="n">
        <f aca="false">AN232*D232</f>
        <v>-0</v>
      </c>
      <c r="AS232" s="0" t="n">
        <f aca="false">AH232-AR232</f>
        <v>0</v>
      </c>
    </row>
    <row r="233" customFormat="false" ht="12" hidden="false" customHeight="false" outlineLevel="0" collapsed="false">
      <c r="A233" s="3" t="n">
        <f aca="false">A232+1</f>
        <v>224</v>
      </c>
      <c r="B233" s="3" t="n">
        <f aca="false">IF(A233&lt;$N$4/3,0.1,(IF(A233&gt;2*$N$4/3,0.05,0.12)))</f>
        <v>0.1</v>
      </c>
      <c r="C233" s="4" t="n">
        <f aca="true">RAND()</f>
        <v>0.791336384740127</v>
      </c>
      <c r="D233" s="0" t="n">
        <f aca="false">IF((C233&gt;$M$2),1,0)</f>
        <v>0</v>
      </c>
      <c r="E233" s="0" t="n">
        <f aca="false">1-D233</f>
        <v>1</v>
      </c>
      <c r="F233" s="0" t="n">
        <f aca="true">RAND()</f>
        <v>0.353078539407095</v>
      </c>
      <c r="G233" s="0" t="n">
        <f aca="false">7.75+F233*10</f>
        <v>11.280785394071</v>
      </c>
      <c r="H233" s="0" t="n">
        <f aca="false">LOGINV(F233,2.64,1.139)</f>
        <v>9.12092907319401</v>
      </c>
      <c r="I233" s="0" t="n">
        <v>19.5</v>
      </c>
      <c r="J233" s="4" t="n">
        <f aca="true">-LN(RAND())/B233</f>
        <v>15.6385539823593</v>
      </c>
      <c r="K233" s="4" t="n">
        <f aca="false">K232+J233</f>
        <v>2272.95798770086</v>
      </c>
      <c r="L233" s="4" t="n">
        <f aca="false">(1/$J$4)*(1+AB232)</f>
        <v>10</v>
      </c>
      <c r="M233" s="4" t="n">
        <f aca="false">L233+MAX(K233,Y$10:Y232)</f>
        <v>2328.67002850573</v>
      </c>
      <c r="N233" s="4" t="n">
        <f aca="false">K233</f>
        <v>2272.95798770086</v>
      </c>
      <c r="O233" s="4" t="n">
        <f aca="false">M233-K233</f>
        <v>55.7120408048718</v>
      </c>
      <c r="P233" s="4" t="n">
        <f aca="false">N233-K233</f>
        <v>0</v>
      </c>
      <c r="Q233" s="4" t="n">
        <f aca="false">A233-MATCH(K233,$M$9:M232,1)</f>
        <v>5</v>
      </c>
      <c r="R233" s="0" t="n">
        <f aca="false">-G233*(O233/3600)</f>
        <v>-0.174576548940412</v>
      </c>
      <c r="S233" s="0" t="n">
        <f aca="false">-1*I233-(H233*(P233/3600))</f>
        <v>-19.5</v>
      </c>
      <c r="T233" s="0" t="n">
        <f aca="false">-H233*(O233/3600)</f>
        <v>-0.141151547973368</v>
      </c>
      <c r="U233" s="0" t="n">
        <f aca="false">T233-S233</f>
        <v>19.3588484520266</v>
      </c>
      <c r="V233" s="0" t="n">
        <f aca="false">1/(1+EXP(U233))</f>
        <v>3.91344234182575E-009</v>
      </c>
      <c r="W233" s="0" t="n">
        <f aca="true">RAND()</f>
        <v>0.517576661678888</v>
      </c>
      <c r="X233" s="0" t="n">
        <f aca="false">IF(W233&lt;V233,1,0)</f>
        <v>0</v>
      </c>
      <c r="Y233" s="0" t="n">
        <f aca="false">(M233*(1-X233)+N233*X233)*D233+M233*E233</f>
        <v>2328.67002850573</v>
      </c>
      <c r="Z233" s="0" t="n">
        <f aca="false">((1-X233)*O233+X233*P233)*D233+E233*O233</f>
        <v>55.7120408048718</v>
      </c>
      <c r="AA233" s="0" t="n">
        <f aca="false">IF(D233*X233&gt;0,AA232,Q233)</f>
        <v>5</v>
      </c>
      <c r="AB233" s="0" t="n">
        <f aca="false">(X233*D233)</f>
        <v>0</v>
      </c>
      <c r="AC233" s="0" t="n">
        <f aca="false">SUM(AB$10:AB232)/K233</f>
        <v>0</v>
      </c>
      <c r="AD233" s="0" t="n">
        <f aca="false">R233*E233+D233*(X233*S233+(1-X233)*T233)</f>
        <v>-0.174576548940412</v>
      </c>
      <c r="AE233" s="0" t="n">
        <f aca="false">Z233</f>
        <v>55.7120408048718</v>
      </c>
      <c r="AF233" s="0" t="n">
        <f aca="false">E233*O233</f>
        <v>55.7120408048718</v>
      </c>
      <c r="AG233" s="0" t="n">
        <f aca="false">((1-X233)*O233+X233*P233)*D233</f>
        <v>0</v>
      </c>
      <c r="AH233" s="0" t="n">
        <f aca="false">D233*(LN(EXP(S233)+EXP(T233)))</f>
        <v>-0</v>
      </c>
      <c r="AJ233" s="0" t="n">
        <f aca="false">$J$5</f>
        <v>10</v>
      </c>
      <c r="AK233" s="4" t="n">
        <f aca="false">AJ233+MAX(K233,AK$10:AK232)</f>
        <v>2328.67002850573</v>
      </c>
      <c r="AL233" s="5" t="n">
        <f aca="false">AK233-K233</f>
        <v>55.7120408048718</v>
      </c>
      <c r="AM233" s="0" t="n">
        <f aca="false">-G233*AL233/3600</f>
        <v>-0.174576548940412</v>
      </c>
      <c r="AN233" s="0" t="n">
        <f aca="false">-H233*AL233/3600</f>
        <v>-0.141151547973368</v>
      </c>
      <c r="AO233" s="0" t="n">
        <f aca="false">AM233*E233+AN233*D233</f>
        <v>-0.174576548940412</v>
      </c>
      <c r="AP233" s="0" t="n">
        <f aca="false">AL233*D233</f>
        <v>0</v>
      </c>
      <c r="AR233" s="0" t="n">
        <f aca="false">AN233*D233</f>
        <v>-0</v>
      </c>
      <c r="AS233" s="0" t="n">
        <f aca="false">AH233-AR233</f>
        <v>0</v>
      </c>
    </row>
    <row r="234" customFormat="false" ht="12" hidden="false" customHeight="false" outlineLevel="0" collapsed="false">
      <c r="A234" s="3" t="n">
        <f aca="false">A233+1</f>
        <v>225</v>
      </c>
      <c r="B234" s="3" t="n">
        <f aca="false">IF(A234&lt;$N$4/3,0.1,(IF(A234&gt;2*$N$4/3,0.05,0.12)))</f>
        <v>0.1</v>
      </c>
      <c r="C234" s="4" t="n">
        <f aca="true">RAND()</f>
        <v>0.762161771377249</v>
      </c>
      <c r="D234" s="0" t="n">
        <f aca="false">IF((C234&gt;$M$2),1,0)</f>
        <v>0</v>
      </c>
      <c r="E234" s="0" t="n">
        <f aca="false">1-D234</f>
        <v>1</v>
      </c>
      <c r="F234" s="0" t="n">
        <f aca="true">RAND()</f>
        <v>0.549034647753535</v>
      </c>
      <c r="G234" s="0" t="n">
        <f aca="false">7.75+F234*10</f>
        <v>13.2403464775354</v>
      </c>
      <c r="H234" s="0" t="n">
        <f aca="false">LOGINV(F234,2.64,1.139)</f>
        <v>16.1246752274694</v>
      </c>
      <c r="I234" s="0" t="n">
        <v>19.5</v>
      </c>
      <c r="J234" s="4" t="n">
        <f aca="true">-LN(RAND())/B234</f>
        <v>17.4369210530509</v>
      </c>
      <c r="K234" s="4" t="n">
        <f aca="false">K233+J234</f>
        <v>2290.39490875391</v>
      </c>
      <c r="L234" s="4" t="n">
        <f aca="false">(1/$J$4)*(1+AB233)</f>
        <v>10</v>
      </c>
      <c r="M234" s="4" t="n">
        <f aca="false">L234+MAX(K234,Y$10:Y233)</f>
        <v>2338.67002850573</v>
      </c>
      <c r="N234" s="4" t="n">
        <f aca="false">K234</f>
        <v>2290.39490875391</v>
      </c>
      <c r="O234" s="4" t="n">
        <f aca="false">M234-K234</f>
        <v>48.275119751821</v>
      </c>
      <c r="P234" s="4" t="n">
        <f aca="false">N234-K234</f>
        <v>0</v>
      </c>
      <c r="Q234" s="4" t="n">
        <f aca="false">A234-MATCH(K234,$M$9:M233,1)</f>
        <v>4</v>
      </c>
      <c r="R234" s="0" t="n">
        <f aca="false">-G234*(O234/3600)</f>
        <v>-0.177549808821839</v>
      </c>
      <c r="S234" s="0" t="n">
        <f aca="false">-1*I234-(H234*(P234/3600))</f>
        <v>-19.5</v>
      </c>
      <c r="T234" s="0" t="n">
        <f aca="false">-H234*(O234/3600)</f>
        <v>-0.216227952101473</v>
      </c>
      <c r="U234" s="0" t="n">
        <f aca="false">T234-S234</f>
        <v>19.2837720478985</v>
      </c>
      <c r="V234" s="0" t="n">
        <f aca="false">1/(1+EXP(U234))</f>
        <v>4.21855977743661E-009</v>
      </c>
      <c r="W234" s="0" t="n">
        <f aca="true">RAND()</f>
        <v>0.522639562643064</v>
      </c>
      <c r="X234" s="0" t="n">
        <f aca="false">IF(W234&lt;V234,1,0)</f>
        <v>0</v>
      </c>
      <c r="Y234" s="0" t="n">
        <f aca="false">(M234*(1-X234)+N234*X234)*D234+M234*E234</f>
        <v>2338.67002850573</v>
      </c>
      <c r="Z234" s="0" t="n">
        <f aca="false">((1-X234)*O234+X234*P234)*D234+E234*O234</f>
        <v>48.275119751821</v>
      </c>
      <c r="AA234" s="0" t="n">
        <f aca="false">IF(D234*X234&gt;0,AA233,Q234)</f>
        <v>4</v>
      </c>
      <c r="AB234" s="0" t="n">
        <f aca="false">(X234*D234)</f>
        <v>0</v>
      </c>
      <c r="AC234" s="0" t="n">
        <f aca="false">SUM(AB$10:AB233)/K234</f>
        <v>0</v>
      </c>
      <c r="AD234" s="0" t="n">
        <f aca="false">R234*E234+D234*(X234*S234+(1-X234)*T234)</f>
        <v>-0.177549808821839</v>
      </c>
      <c r="AE234" s="0" t="n">
        <f aca="false">Z234</f>
        <v>48.275119751821</v>
      </c>
      <c r="AF234" s="0" t="n">
        <f aca="false">E234*O234</f>
        <v>48.275119751821</v>
      </c>
      <c r="AG234" s="0" t="n">
        <f aca="false">((1-X234)*O234+X234*P234)*D234</f>
        <v>0</v>
      </c>
      <c r="AH234" s="0" t="n">
        <f aca="false">D234*(LN(EXP(S234)+EXP(T234)))</f>
        <v>-0</v>
      </c>
      <c r="AJ234" s="0" t="n">
        <f aca="false">$J$5</f>
        <v>10</v>
      </c>
      <c r="AK234" s="4" t="n">
        <f aca="false">AJ234+MAX(K234,AK$10:AK233)</f>
        <v>2338.67002850573</v>
      </c>
      <c r="AL234" s="5" t="n">
        <f aca="false">AK234-K234</f>
        <v>48.275119751821</v>
      </c>
      <c r="AM234" s="0" t="n">
        <f aca="false">-G234*AL234/3600</f>
        <v>-0.177549808821839</v>
      </c>
      <c r="AN234" s="0" t="n">
        <f aca="false">-H234*AL234/3600</f>
        <v>-0.216227952101473</v>
      </c>
      <c r="AO234" s="0" t="n">
        <f aca="false">AM234*E234+AN234*D234</f>
        <v>-0.177549808821839</v>
      </c>
      <c r="AP234" s="0" t="n">
        <f aca="false">AL234*D234</f>
        <v>0</v>
      </c>
      <c r="AR234" s="0" t="n">
        <f aca="false">AN234*D234</f>
        <v>-0</v>
      </c>
      <c r="AS234" s="0" t="n">
        <f aca="false">AH234-AR234</f>
        <v>0</v>
      </c>
    </row>
    <row r="235" customFormat="false" ht="12" hidden="false" customHeight="false" outlineLevel="0" collapsed="false">
      <c r="A235" s="3" t="n">
        <f aca="false">A234+1</f>
        <v>226</v>
      </c>
      <c r="B235" s="3" t="n">
        <f aca="false">IF(A235&lt;$N$4/3,0.1,(IF(A235&gt;2*$N$4/3,0.05,0.12)))</f>
        <v>0.1</v>
      </c>
      <c r="C235" s="4" t="n">
        <f aca="true">RAND()</f>
        <v>0.125912940385683</v>
      </c>
      <c r="D235" s="0" t="n">
        <f aca="false">IF((C235&gt;$M$2),1,0)</f>
        <v>0</v>
      </c>
      <c r="E235" s="0" t="n">
        <f aca="false">1-D235</f>
        <v>1</v>
      </c>
      <c r="F235" s="0" t="n">
        <f aca="true">RAND()</f>
        <v>0.269116295920567</v>
      </c>
      <c r="G235" s="0" t="n">
        <f aca="false">7.75+F235*10</f>
        <v>10.4411629592057</v>
      </c>
      <c r="H235" s="0" t="n">
        <f aca="false">LOGINV(F235,2.64,1.139)</f>
        <v>6.95151304830213</v>
      </c>
      <c r="I235" s="0" t="n">
        <v>19.5</v>
      </c>
      <c r="J235" s="4" t="n">
        <f aca="true">-LN(RAND())/B235</f>
        <v>5.05286409903216</v>
      </c>
      <c r="K235" s="4" t="n">
        <f aca="false">K234+J235</f>
        <v>2295.44777285294</v>
      </c>
      <c r="L235" s="4" t="n">
        <f aca="false">(1/$J$4)*(1+AB234)</f>
        <v>10</v>
      </c>
      <c r="M235" s="4" t="n">
        <f aca="false">L235+MAX(K235,Y$10:Y234)</f>
        <v>2348.67002850573</v>
      </c>
      <c r="N235" s="4" t="n">
        <f aca="false">K235</f>
        <v>2295.44777285294</v>
      </c>
      <c r="O235" s="4" t="n">
        <f aca="false">M235-K235</f>
        <v>53.2222556527886</v>
      </c>
      <c r="P235" s="4" t="n">
        <f aca="false">N235-K235</f>
        <v>0</v>
      </c>
      <c r="Q235" s="4" t="n">
        <f aca="false">A235-MATCH(K235,$M$9:M234,1)</f>
        <v>5</v>
      </c>
      <c r="R235" s="0" t="n">
        <f aca="false">-G235*(O235/3600)</f>
        <v>-0.154361734535353</v>
      </c>
      <c r="S235" s="0" t="n">
        <f aca="false">-1*I235-(H235*(P235/3600))</f>
        <v>-19.5</v>
      </c>
      <c r="T235" s="0" t="n">
        <f aca="false">-H235*(O235/3600)</f>
        <v>-0.10277089017512</v>
      </c>
      <c r="U235" s="0" t="n">
        <f aca="false">T235-S235</f>
        <v>19.3972291098249</v>
      </c>
      <c r="V235" s="0" t="n">
        <f aca="false">1/(1+EXP(U235))</f>
        <v>3.7660877229134E-009</v>
      </c>
      <c r="W235" s="0" t="n">
        <f aca="true">RAND()</f>
        <v>0.616774569170236</v>
      </c>
      <c r="X235" s="0" t="n">
        <f aca="false">IF(W235&lt;V235,1,0)</f>
        <v>0</v>
      </c>
      <c r="Y235" s="0" t="n">
        <f aca="false">(M235*(1-X235)+N235*X235)*D235+M235*E235</f>
        <v>2348.67002850573</v>
      </c>
      <c r="Z235" s="0" t="n">
        <f aca="false">((1-X235)*O235+X235*P235)*D235+E235*O235</f>
        <v>53.2222556527886</v>
      </c>
      <c r="AA235" s="0" t="n">
        <f aca="false">IF(D235*X235&gt;0,AA234,Q235)</f>
        <v>5</v>
      </c>
      <c r="AB235" s="0" t="n">
        <f aca="false">(X235*D235)</f>
        <v>0</v>
      </c>
      <c r="AC235" s="0" t="n">
        <f aca="false">SUM(AB$10:AB234)/K235</f>
        <v>0</v>
      </c>
      <c r="AD235" s="0" t="n">
        <f aca="false">R235*E235+D235*(X235*S235+(1-X235)*T235)</f>
        <v>-0.154361734535353</v>
      </c>
      <c r="AE235" s="0" t="n">
        <f aca="false">Z235</f>
        <v>53.2222556527886</v>
      </c>
      <c r="AF235" s="0" t="n">
        <f aca="false">E235*O235</f>
        <v>53.2222556527886</v>
      </c>
      <c r="AG235" s="0" t="n">
        <f aca="false">((1-X235)*O235+X235*P235)*D235</f>
        <v>0</v>
      </c>
      <c r="AH235" s="0" t="n">
        <f aca="false">D235*(LN(EXP(S235)+EXP(T235)))</f>
        <v>-0</v>
      </c>
      <c r="AJ235" s="0" t="n">
        <f aca="false">$J$5</f>
        <v>10</v>
      </c>
      <c r="AK235" s="4" t="n">
        <f aca="false">AJ235+MAX(K235,AK$10:AK234)</f>
        <v>2348.67002850573</v>
      </c>
      <c r="AL235" s="5" t="n">
        <f aca="false">AK235-K235</f>
        <v>53.2222556527886</v>
      </c>
      <c r="AM235" s="0" t="n">
        <f aca="false">-G235*AL235/3600</f>
        <v>-0.154361734535353</v>
      </c>
      <c r="AN235" s="0" t="n">
        <f aca="false">-H235*AL235/3600</f>
        <v>-0.10277089017512</v>
      </c>
      <c r="AO235" s="0" t="n">
        <f aca="false">AM235*E235+AN235*D235</f>
        <v>-0.154361734535353</v>
      </c>
      <c r="AP235" s="0" t="n">
        <f aca="false">AL235*D235</f>
        <v>0</v>
      </c>
      <c r="AR235" s="0" t="n">
        <f aca="false">AN235*D235</f>
        <v>-0</v>
      </c>
      <c r="AS235" s="0" t="n">
        <f aca="false">AH235-AR235</f>
        <v>0</v>
      </c>
    </row>
    <row r="236" customFormat="false" ht="12" hidden="false" customHeight="false" outlineLevel="0" collapsed="false">
      <c r="A236" s="3" t="n">
        <f aca="false">A235+1</f>
        <v>227</v>
      </c>
      <c r="B236" s="3" t="n">
        <f aca="false">IF(A236&lt;$N$4/3,0.1,(IF(A236&gt;2*$N$4/3,0.05,0.12)))</f>
        <v>0.1</v>
      </c>
      <c r="C236" s="4" t="n">
        <f aca="true">RAND()</f>
        <v>0.94671719107926</v>
      </c>
      <c r="D236" s="0" t="n">
        <f aca="false">IF((C236&gt;$M$2),1,0)</f>
        <v>1</v>
      </c>
      <c r="E236" s="0" t="n">
        <f aca="false">1-D236</f>
        <v>0</v>
      </c>
      <c r="F236" s="0" t="n">
        <f aca="true">RAND()</f>
        <v>0.580287560299882</v>
      </c>
      <c r="G236" s="0" t="n">
        <f aca="false">7.75+F236*10</f>
        <v>13.5528756029988</v>
      </c>
      <c r="H236" s="0" t="n">
        <f aca="false">LOGINV(F236,2.64,1.139)</f>
        <v>17.6510388146016</v>
      </c>
      <c r="I236" s="0" t="n">
        <v>19.5</v>
      </c>
      <c r="J236" s="4" t="n">
        <f aca="true">-LN(RAND())/B236</f>
        <v>3.06391063543046</v>
      </c>
      <c r="K236" s="4" t="n">
        <f aca="false">K235+J236</f>
        <v>2298.51168348837</v>
      </c>
      <c r="L236" s="4" t="n">
        <f aca="false">(1/$J$4)*(1+AB235)</f>
        <v>10</v>
      </c>
      <c r="M236" s="4" t="n">
        <f aca="false">L236+MAX(K236,Y$10:Y235)</f>
        <v>2358.67002850573</v>
      </c>
      <c r="N236" s="4" t="n">
        <f aca="false">K236</f>
        <v>2298.51168348837</v>
      </c>
      <c r="O236" s="4" t="n">
        <f aca="false">M236-K236</f>
        <v>60.158345017358</v>
      </c>
      <c r="P236" s="4" t="n">
        <f aca="false">N236-K236</f>
        <v>0</v>
      </c>
      <c r="Q236" s="4" t="n">
        <f aca="false">A236-MATCH(K236,$M$9:M235,1)</f>
        <v>6</v>
      </c>
      <c r="R236" s="0" t="n">
        <f aca="false">-G236*(O236/3600)</f>
        <v>-0.226477379584038</v>
      </c>
      <c r="S236" s="0" t="n">
        <f aca="false">-1*I236-(H236*(P236/3600))</f>
        <v>-19.5</v>
      </c>
      <c r="T236" s="0" t="n">
        <f aca="false">-H236*(O236/3600)</f>
        <v>-0.294960356367661</v>
      </c>
      <c r="U236" s="0" t="n">
        <f aca="false">T236-S236</f>
        <v>19.2050396436323</v>
      </c>
      <c r="V236" s="0" t="n">
        <f aca="false">1/(1+EXP(U236))</f>
        <v>4.5641221194413E-009</v>
      </c>
      <c r="W236" s="0" t="n">
        <f aca="true">RAND()</f>
        <v>0.0809451517011831</v>
      </c>
      <c r="X236" s="0" t="n">
        <f aca="false">IF(W236&lt;V236,1,0)</f>
        <v>0</v>
      </c>
      <c r="Y236" s="0" t="n">
        <f aca="false">(M236*(1-X236)+N236*X236)*D236+M236*E236</f>
        <v>2358.67002850573</v>
      </c>
      <c r="Z236" s="0" t="n">
        <f aca="false">((1-X236)*O236+X236*P236)*D236+E236*O236</f>
        <v>60.158345017358</v>
      </c>
      <c r="AA236" s="0" t="n">
        <f aca="false">IF(D236*X236&gt;0,AA235,Q236)</f>
        <v>6</v>
      </c>
      <c r="AB236" s="0" t="n">
        <f aca="false">(X236*D236)</f>
        <v>0</v>
      </c>
      <c r="AC236" s="0" t="n">
        <f aca="false">SUM(AB$10:AB235)/K236</f>
        <v>0</v>
      </c>
      <c r="AD236" s="0" t="n">
        <f aca="false">R236*E236+D236*(X236*S236+(1-X236)*T236)</f>
        <v>-0.294960356367661</v>
      </c>
      <c r="AE236" s="0" t="n">
        <f aca="false">Z236</f>
        <v>60.158345017358</v>
      </c>
      <c r="AF236" s="0" t="n">
        <f aca="false">E236*O236</f>
        <v>0</v>
      </c>
      <c r="AG236" s="0" t="n">
        <f aca="false">((1-X236)*O236+X236*P236)*D236</f>
        <v>60.158345017358</v>
      </c>
      <c r="AH236" s="0" t="n">
        <f aca="false">D236*(LN(EXP(S236)+EXP(T236)))</f>
        <v>-0.294960351803538</v>
      </c>
      <c r="AJ236" s="0" t="n">
        <f aca="false">$J$5</f>
        <v>10</v>
      </c>
      <c r="AK236" s="4" t="n">
        <f aca="false">AJ236+MAX(K236,AK$10:AK235)</f>
        <v>2358.67002850573</v>
      </c>
      <c r="AL236" s="5" t="n">
        <f aca="false">AK236-K236</f>
        <v>60.158345017358</v>
      </c>
      <c r="AM236" s="0" t="n">
        <f aca="false">-G236*AL236/3600</f>
        <v>-0.226477379584038</v>
      </c>
      <c r="AN236" s="0" t="n">
        <f aca="false">-H236*AL236/3600</f>
        <v>-0.294960356367661</v>
      </c>
      <c r="AO236" s="0" t="n">
        <f aca="false">AM236*E236+AN236*D236</f>
        <v>-0.294960356367661</v>
      </c>
      <c r="AP236" s="0" t="n">
        <f aca="false">AL236*D236</f>
        <v>60.158345017358</v>
      </c>
      <c r="AR236" s="0" t="n">
        <f aca="false">AN236*D236</f>
        <v>-0.294960356367661</v>
      </c>
      <c r="AS236" s="0" t="n">
        <f aca="false">AH236-AR236</f>
        <v>4.56412208027501E-009</v>
      </c>
    </row>
    <row r="237" customFormat="false" ht="12" hidden="false" customHeight="false" outlineLevel="0" collapsed="false">
      <c r="A237" s="3" t="n">
        <f aca="false">A236+1</f>
        <v>228</v>
      </c>
      <c r="B237" s="3" t="n">
        <f aca="false">IF(A237&lt;$N$4/3,0.1,(IF(A237&gt;2*$N$4/3,0.05,0.12)))</f>
        <v>0.1</v>
      </c>
      <c r="C237" s="4" t="n">
        <f aca="true">RAND()</f>
        <v>0.263622605270905</v>
      </c>
      <c r="D237" s="0" t="n">
        <f aca="false">IF((C237&gt;$M$2),1,0)</f>
        <v>0</v>
      </c>
      <c r="E237" s="0" t="n">
        <f aca="false">1-D237</f>
        <v>1</v>
      </c>
      <c r="F237" s="0" t="n">
        <f aca="true">RAND()</f>
        <v>0.252924285248132</v>
      </c>
      <c r="G237" s="0" t="n">
        <f aca="false">7.75+F237*10</f>
        <v>10.2792428524813</v>
      </c>
      <c r="H237" s="0" t="n">
        <f aca="false">LOGINV(F237,2.64,1.139)</f>
        <v>6.56797378914075</v>
      </c>
      <c r="I237" s="0" t="n">
        <v>19.5</v>
      </c>
      <c r="J237" s="4" t="n">
        <f aca="true">-LN(RAND())/B237</f>
        <v>9.41574386024503</v>
      </c>
      <c r="K237" s="4" t="n">
        <f aca="false">K236+J237</f>
        <v>2307.92742734862</v>
      </c>
      <c r="L237" s="4" t="n">
        <f aca="false">(1/$J$4)*(1+AB236)</f>
        <v>10</v>
      </c>
      <c r="M237" s="4" t="n">
        <f aca="false">L237+MAX(K237,Y$10:Y236)</f>
        <v>2368.67002850573</v>
      </c>
      <c r="N237" s="4" t="n">
        <f aca="false">K237</f>
        <v>2307.92742734862</v>
      </c>
      <c r="O237" s="4" t="n">
        <f aca="false">M237-K237</f>
        <v>60.7426011571129</v>
      </c>
      <c r="P237" s="4" t="n">
        <f aca="false">N237-K237</f>
        <v>0</v>
      </c>
      <c r="Q237" s="4" t="n">
        <f aca="false">A237-MATCH(K237,$M$9:M236,1)</f>
        <v>6</v>
      </c>
      <c r="R237" s="0" t="n">
        <f aca="false">-G237*(O237/3600)</f>
        <v>-0.173441096884827</v>
      </c>
      <c r="S237" s="0" t="n">
        <f aca="false">-1*I237-(H237*(P237/3600))</f>
        <v>-19.5</v>
      </c>
      <c r="T237" s="0" t="n">
        <f aca="false">-H237*(O237/3600)</f>
        <v>-0.110821058967819</v>
      </c>
      <c r="U237" s="0" t="n">
        <f aca="false">T237-S237</f>
        <v>19.3891789410322</v>
      </c>
      <c r="V237" s="0" t="n">
        <f aca="false">1/(1+EXP(U237))</f>
        <v>3.79652772383956E-009</v>
      </c>
      <c r="W237" s="0" t="n">
        <f aca="true">RAND()</f>
        <v>0.470777630213667</v>
      </c>
      <c r="X237" s="0" t="n">
        <f aca="false">IF(W237&lt;V237,1,0)</f>
        <v>0</v>
      </c>
      <c r="Y237" s="0" t="n">
        <f aca="false">(M237*(1-X237)+N237*X237)*D237+M237*E237</f>
        <v>2368.67002850573</v>
      </c>
      <c r="Z237" s="0" t="n">
        <f aca="false">((1-X237)*O237+X237*P237)*D237+E237*O237</f>
        <v>60.7426011571129</v>
      </c>
      <c r="AA237" s="0" t="n">
        <f aca="false">IF(D237*X237&gt;0,AA236,Q237)</f>
        <v>6</v>
      </c>
      <c r="AB237" s="0" t="n">
        <f aca="false">(X237*D237)</f>
        <v>0</v>
      </c>
      <c r="AC237" s="0" t="n">
        <f aca="false">SUM(AB$10:AB236)/K237</f>
        <v>0</v>
      </c>
      <c r="AD237" s="0" t="n">
        <f aca="false">R237*E237+D237*(X237*S237+(1-X237)*T237)</f>
        <v>-0.173441096884827</v>
      </c>
      <c r="AE237" s="0" t="n">
        <f aca="false">Z237</f>
        <v>60.7426011571129</v>
      </c>
      <c r="AF237" s="0" t="n">
        <f aca="false">E237*O237</f>
        <v>60.7426011571129</v>
      </c>
      <c r="AG237" s="0" t="n">
        <f aca="false">((1-X237)*O237+X237*P237)*D237</f>
        <v>0</v>
      </c>
      <c r="AH237" s="0" t="n">
        <f aca="false">D237*(LN(EXP(S237)+EXP(T237)))</f>
        <v>-0</v>
      </c>
      <c r="AJ237" s="0" t="n">
        <f aca="false">$J$5</f>
        <v>10</v>
      </c>
      <c r="AK237" s="4" t="n">
        <f aca="false">AJ237+MAX(K237,AK$10:AK236)</f>
        <v>2368.67002850573</v>
      </c>
      <c r="AL237" s="5" t="n">
        <f aca="false">AK237-K237</f>
        <v>60.7426011571129</v>
      </c>
      <c r="AM237" s="0" t="n">
        <f aca="false">-G237*AL237/3600</f>
        <v>-0.173441096884827</v>
      </c>
      <c r="AN237" s="0" t="n">
        <f aca="false">-H237*AL237/3600</f>
        <v>-0.110821058967819</v>
      </c>
      <c r="AO237" s="0" t="n">
        <f aca="false">AM237*E237+AN237*D237</f>
        <v>-0.173441096884827</v>
      </c>
      <c r="AP237" s="0" t="n">
        <f aca="false">AL237*D237</f>
        <v>0</v>
      </c>
      <c r="AR237" s="0" t="n">
        <f aca="false">AN237*D237</f>
        <v>-0</v>
      </c>
      <c r="AS237" s="0" t="n">
        <f aca="false">AH237-AR237</f>
        <v>0</v>
      </c>
    </row>
    <row r="238" customFormat="false" ht="12" hidden="false" customHeight="false" outlineLevel="0" collapsed="false">
      <c r="A238" s="3" t="n">
        <f aca="false">A237+1</f>
        <v>229</v>
      </c>
      <c r="B238" s="3" t="n">
        <f aca="false">IF(A238&lt;$N$4/3,0.1,(IF(A238&gt;2*$N$4/3,0.05,0.12)))</f>
        <v>0.1</v>
      </c>
      <c r="C238" s="4" t="n">
        <f aca="true">RAND()</f>
        <v>0.876587889516967</v>
      </c>
      <c r="D238" s="0" t="n">
        <f aca="false">IF((C238&gt;$M$2),1,0)</f>
        <v>0</v>
      </c>
      <c r="E238" s="0" t="n">
        <f aca="false">1-D238</f>
        <v>1</v>
      </c>
      <c r="F238" s="0" t="n">
        <f aca="true">RAND()</f>
        <v>0.15176957449337</v>
      </c>
      <c r="G238" s="0" t="n">
        <f aca="false">7.75+F238*10</f>
        <v>9.2676957449337</v>
      </c>
      <c r="H238" s="0" t="n">
        <f aca="false">LOGINV(F238,2.64,1.139)</f>
        <v>4.34103651412602</v>
      </c>
      <c r="I238" s="0" t="n">
        <v>19.5</v>
      </c>
      <c r="J238" s="4" t="n">
        <f aca="true">-LN(RAND())/B238</f>
        <v>14.3419227906492</v>
      </c>
      <c r="K238" s="4" t="n">
        <f aca="false">K237+J238</f>
        <v>2322.26935013926</v>
      </c>
      <c r="L238" s="4" t="n">
        <f aca="false">(1/$J$4)*(1+AB237)</f>
        <v>10</v>
      </c>
      <c r="M238" s="4" t="n">
        <f aca="false">L238+MAX(K238,Y$10:Y237)</f>
        <v>2378.67002850573</v>
      </c>
      <c r="N238" s="4" t="n">
        <f aca="false">K238</f>
        <v>2322.26935013926</v>
      </c>
      <c r="O238" s="4" t="n">
        <f aca="false">M238-K238</f>
        <v>56.4006783664636</v>
      </c>
      <c r="P238" s="4" t="n">
        <f aca="false">N238-K238</f>
        <v>0</v>
      </c>
      <c r="Q238" s="4" t="n">
        <f aca="false">A238-MATCH(K238,$M$9:M237,1)</f>
        <v>5</v>
      </c>
      <c r="R238" s="0" t="n">
        <f aca="false">-G238*(O238/3600)</f>
        <v>-0.145195646363402</v>
      </c>
      <c r="S238" s="0" t="n">
        <f aca="false">-1*I238-(H238*(P238/3600))</f>
        <v>-19.5</v>
      </c>
      <c r="T238" s="0" t="n">
        <f aca="false">-H238*(O238/3600)</f>
        <v>-0.0680103900584155</v>
      </c>
      <c r="U238" s="0" t="n">
        <f aca="false">T238-S238</f>
        <v>19.4319896099416</v>
      </c>
      <c r="V238" s="0" t="n">
        <f aca="false">1/(1+EXP(U238))</f>
        <v>3.63742576254642E-009</v>
      </c>
      <c r="W238" s="0" t="n">
        <f aca="true">RAND()</f>
        <v>0.273128553856019</v>
      </c>
      <c r="X238" s="0" t="n">
        <f aca="false">IF(W238&lt;V238,1,0)</f>
        <v>0</v>
      </c>
      <c r="Y238" s="0" t="n">
        <f aca="false">(M238*(1-X238)+N238*X238)*D238+M238*E238</f>
        <v>2378.67002850573</v>
      </c>
      <c r="Z238" s="0" t="n">
        <f aca="false">((1-X238)*O238+X238*P238)*D238+E238*O238</f>
        <v>56.4006783664636</v>
      </c>
      <c r="AA238" s="0" t="n">
        <f aca="false">IF(D238*X238&gt;0,AA237,Q238)</f>
        <v>5</v>
      </c>
      <c r="AB238" s="0" t="n">
        <f aca="false">(X238*D238)</f>
        <v>0</v>
      </c>
      <c r="AC238" s="0" t="n">
        <f aca="false">SUM(AB$10:AB237)/K238</f>
        <v>0</v>
      </c>
      <c r="AD238" s="0" t="n">
        <f aca="false">R238*E238+D238*(X238*S238+(1-X238)*T238)</f>
        <v>-0.145195646363402</v>
      </c>
      <c r="AE238" s="0" t="n">
        <f aca="false">Z238</f>
        <v>56.4006783664636</v>
      </c>
      <c r="AF238" s="0" t="n">
        <f aca="false">E238*O238</f>
        <v>56.4006783664636</v>
      </c>
      <c r="AG238" s="0" t="n">
        <f aca="false">((1-X238)*O238+X238*P238)*D238</f>
        <v>0</v>
      </c>
      <c r="AH238" s="0" t="n">
        <f aca="false">D238*(LN(EXP(S238)+EXP(T238)))</f>
        <v>-0</v>
      </c>
      <c r="AJ238" s="0" t="n">
        <f aca="false">$J$5</f>
        <v>10</v>
      </c>
      <c r="AK238" s="4" t="n">
        <f aca="false">AJ238+MAX(K238,AK$10:AK237)</f>
        <v>2378.67002850573</v>
      </c>
      <c r="AL238" s="5" t="n">
        <f aca="false">AK238-K238</f>
        <v>56.4006783664636</v>
      </c>
      <c r="AM238" s="0" t="n">
        <f aca="false">-G238*AL238/3600</f>
        <v>-0.145195646363402</v>
      </c>
      <c r="AN238" s="0" t="n">
        <f aca="false">-H238*AL238/3600</f>
        <v>-0.0680103900584155</v>
      </c>
      <c r="AO238" s="0" t="n">
        <f aca="false">AM238*E238+AN238*D238</f>
        <v>-0.145195646363402</v>
      </c>
      <c r="AP238" s="0" t="n">
        <f aca="false">AL238*D238</f>
        <v>0</v>
      </c>
      <c r="AR238" s="0" t="n">
        <f aca="false">AN238*D238</f>
        <v>-0</v>
      </c>
      <c r="AS238" s="0" t="n">
        <f aca="false">AH238-AR238</f>
        <v>0</v>
      </c>
    </row>
    <row r="239" customFormat="false" ht="12" hidden="false" customHeight="false" outlineLevel="0" collapsed="false">
      <c r="A239" s="3" t="n">
        <f aca="false">A238+1</f>
        <v>230</v>
      </c>
      <c r="B239" s="3" t="n">
        <f aca="false">IF(A239&lt;$N$4/3,0.1,(IF(A239&gt;2*$N$4/3,0.05,0.12)))</f>
        <v>0.1</v>
      </c>
      <c r="C239" s="4" t="n">
        <f aca="true">RAND()</f>
        <v>0.84125429820603</v>
      </c>
      <c r="D239" s="0" t="n">
        <f aca="false">IF((C239&gt;$M$2),1,0)</f>
        <v>0</v>
      </c>
      <c r="E239" s="0" t="n">
        <f aca="false">1-D239</f>
        <v>1</v>
      </c>
      <c r="F239" s="0" t="n">
        <f aca="true">RAND()</f>
        <v>0.835725567245546</v>
      </c>
      <c r="G239" s="0" t="n">
        <f aca="false">7.75+F239*10</f>
        <v>16.1072556724555</v>
      </c>
      <c r="H239" s="0" t="n">
        <f aca="false">LOGINV(F239,2.64,1.139)</f>
        <v>42.6424260603083</v>
      </c>
      <c r="I239" s="0" t="n">
        <v>19.5</v>
      </c>
      <c r="J239" s="4" t="n">
        <f aca="true">-LN(RAND())/B239</f>
        <v>2.21206975808013</v>
      </c>
      <c r="K239" s="4" t="n">
        <f aca="false">K238+J239</f>
        <v>2324.48141989734</v>
      </c>
      <c r="L239" s="4" t="n">
        <f aca="false">(1/$J$4)*(1+AB238)</f>
        <v>10</v>
      </c>
      <c r="M239" s="4" t="n">
        <f aca="false">L239+MAX(K239,Y$10:Y238)</f>
        <v>2388.67002850573</v>
      </c>
      <c r="N239" s="4" t="n">
        <f aca="false">K239</f>
        <v>2324.48141989734</v>
      </c>
      <c r="O239" s="4" t="n">
        <f aca="false">M239-K239</f>
        <v>64.1886086083837</v>
      </c>
      <c r="P239" s="4" t="n">
        <f aca="false">N239-K239</f>
        <v>0</v>
      </c>
      <c r="Q239" s="4" t="n">
        <f aca="false">A239-MATCH(K239,$M$9:M238,1)</f>
        <v>6</v>
      </c>
      <c r="R239" s="0" t="n">
        <f aca="false">-G239*(O239/3600)</f>
        <v>-0.287195091698448</v>
      </c>
      <c r="S239" s="0" t="n">
        <f aca="false">-1*I239-(H239*(P239/3600))</f>
        <v>-19.5</v>
      </c>
      <c r="T239" s="0" t="n">
        <f aca="false">-H239*(O239/3600)</f>
        <v>-0.76032166569363</v>
      </c>
      <c r="U239" s="0" t="n">
        <f aca="false">T239-S239</f>
        <v>18.7396783343064</v>
      </c>
      <c r="V239" s="0" t="n">
        <f aca="false">1/(1+EXP(U239))</f>
        <v>7.268772955377E-009</v>
      </c>
      <c r="W239" s="0" t="n">
        <f aca="true">RAND()</f>
        <v>0.0940646346697235</v>
      </c>
      <c r="X239" s="0" t="n">
        <f aca="false">IF(W239&lt;V239,1,0)</f>
        <v>0</v>
      </c>
      <c r="Y239" s="0" t="n">
        <f aca="false">(M239*(1-X239)+N239*X239)*D239+M239*E239</f>
        <v>2388.67002850573</v>
      </c>
      <c r="Z239" s="0" t="n">
        <f aca="false">((1-X239)*O239+X239*P239)*D239+E239*O239</f>
        <v>64.1886086083837</v>
      </c>
      <c r="AA239" s="0" t="n">
        <f aca="false">IF(D239*X239&gt;0,AA238,Q239)</f>
        <v>6</v>
      </c>
      <c r="AB239" s="0" t="n">
        <f aca="false">(X239*D239)</f>
        <v>0</v>
      </c>
      <c r="AC239" s="0" t="n">
        <f aca="false">SUM(AB$10:AB238)/K239</f>
        <v>0</v>
      </c>
      <c r="AD239" s="0" t="n">
        <f aca="false">R239*E239+D239*(X239*S239+(1-X239)*T239)</f>
        <v>-0.287195091698448</v>
      </c>
      <c r="AE239" s="0" t="n">
        <f aca="false">Z239</f>
        <v>64.1886086083837</v>
      </c>
      <c r="AF239" s="0" t="n">
        <f aca="false">E239*O239</f>
        <v>64.1886086083837</v>
      </c>
      <c r="AG239" s="0" t="n">
        <f aca="false">((1-X239)*O239+X239*P239)*D239</f>
        <v>0</v>
      </c>
      <c r="AH239" s="0" t="n">
        <f aca="false">D239*(LN(EXP(S239)+EXP(T239)))</f>
        <v>-0</v>
      </c>
      <c r="AJ239" s="0" t="n">
        <f aca="false">$J$5</f>
        <v>10</v>
      </c>
      <c r="AK239" s="4" t="n">
        <f aca="false">AJ239+MAX(K239,AK$10:AK238)</f>
        <v>2388.67002850573</v>
      </c>
      <c r="AL239" s="5" t="n">
        <f aca="false">AK239-K239</f>
        <v>64.1886086083837</v>
      </c>
      <c r="AM239" s="0" t="n">
        <f aca="false">-G239*AL239/3600</f>
        <v>-0.287195091698448</v>
      </c>
      <c r="AN239" s="0" t="n">
        <f aca="false">-H239*AL239/3600</f>
        <v>-0.76032166569363</v>
      </c>
      <c r="AO239" s="0" t="n">
        <f aca="false">AM239*E239+AN239*D239</f>
        <v>-0.287195091698448</v>
      </c>
      <c r="AP239" s="0" t="n">
        <f aca="false">AL239*D239</f>
        <v>0</v>
      </c>
      <c r="AR239" s="0" t="n">
        <f aca="false">AN239*D239</f>
        <v>-0</v>
      </c>
      <c r="AS239" s="0" t="n">
        <f aca="false">AH239-AR239</f>
        <v>0</v>
      </c>
    </row>
    <row r="240" customFormat="false" ht="12" hidden="false" customHeight="false" outlineLevel="0" collapsed="false">
      <c r="A240" s="3" t="n">
        <f aca="false">A239+1</f>
        <v>231</v>
      </c>
      <c r="B240" s="3" t="n">
        <f aca="false">IF(A240&lt;$N$4/3,0.1,(IF(A240&gt;2*$N$4/3,0.05,0.12)))</f>
        <v>0.1</v>
      </c>
      <c r="C240" s="4" t="n">
        <f aca="true">RAND()</f>
        <v>0.645720454202136</v>
      </c>
      <c r="D240" s="0" t="n">
        <f aca="false">IF((C240&gt;$M$2),1,0)</f>
        <v>0</v>
      </c>
      <c r="E240" s="0" t="n">
        <f aca="false">1-D240</f>
        <v>1</v>
      </c>
      <c r="F240" s="0" t="n">
        <f aca="true">RAND()</f>
        <v>0.38421267885893</v>
      </c>
      <c r="G240" s="0" t="n">
        <f aca="false">7.75+F240*10</f>
        <v>11.5921267885893</v>
      </c>
      <c r="H240" s="0" t="n">
        <f aca="false">LOGINV(F240,2.64,1.139)</f>
        <v>10.020553012302</v>
      </c>
      <c r="I240" s="0" t="n">
        <v>19.5</v>
      </c>
      <c r="J240" s="4" t="n">
        <f aca="true">-LN(RAND())/B240</f>
        <v>17.8986726108916</v>
      </c>
      <c r="K240" s="4" t="n">
        <f aca="false">K239+J240</f>
        <v>2342.38009250824</v>
      </c>
      <c r="L240" s="4" t="n">
        <f aca="false">(1/$J$4)*(1+AB239)</f>
        <v>10</v>
      </c>
      <c r="M240" s="4" t="n">
        <f aca="false">L240+MAX(K240,Y$10:Y239)</f>
        <v>2398.67002850573</v>
      </c>
      <c r="N240" s="4" t="n">
        <f aca="false">K240</f>
        <v>2342.38009250824</v>
      </c>
      <c r="O240" s="4" t="n">
        <f aca="false">M240-K240</f>
        <v>56.2899359974922</v>
      </c>
      <c r="P240" s="4" t="n">
        <f aca="false">N240-K240</f>
        <v>0</v>
      </c>
      <c r="Q240" s="4" t="n">
        <f aca="false">A240-MATCH(K240,$M$9:M239,1)</f>
        <v>5</v>
      </c>
      <c r="R240" s="0" t="n">
        <f aca="false">-G240*(O240/3600)</f>
        <v>-0.181255576390141</v>
      </c>
      <c r="S240" s="0" t="n">
        <f aca="false">-1*I240-(H240*(P240/3600))</f>
        <v>-19.5</v>
      </c>
      <c r="T240" s="0" t="n">
        <f aca="false">-H240*(O240/3600)</f>
        <v>-0.156682302144987</v>
      </c>
      <c r="U240" s="0" t="n">
        <f aca="false">T240-S240</f>
        <v>19.343317697855</v>
      </c>
      <c r="V240" s="0" t="n">
        <f aca="false">1/(1+EXP(U240))</f>
        <v>3.9746954750318E-009</v>
      </c>
      <c r="W240" s="0" t="n">
        <f aca="true">RAND()</f>
        <v>0.997688690851112</v>
      </c>
      <c r="X240" s="0" t="n">
        <f aca="false">IF(W240&lt;V240,1,0)</f>
        <v>0</v>
      </c>
      <c r="Y240" s="0" t="n">
        <f aca="false">(M240*(1-X240)+N240*X240)*D240+M240*E240</f>
        <v>2398.67002850573</v>
      </c>
      <c r="Z240" s="0" t="n">
        <f aca="false">((1-X240)*O240+X240*P240)*D240+E240*O240</f>
        <v>56.2899359974922</v>
      </c>
      <c r="AA240" s="0" t="n">
        <f aca="false">IF(D240*X240&gt;0,AA239,Q240)</f>
        <v>5</v>
      </c>
      <c r="AB240" s="0" t="n">
        <f aca="false">(X240*D240)</f>
        <v>0</v>
      </c>
      <c r="AC240" s="0" t="n">
        <f aca="false">SUM(AB$10:AB239)/K240</f>
        <v>0</v>
      </c>
      <c r="AD240" s="0" t="n">
        <f aca="false">R240*E240+D240*(X240*S240+(1-X240)*T240)</f>
        <v>-0.181255576390141</v>
      </c>
      <c r="AE240" s="0" t="n">
        <f aca="false">Z240</f>
        <v>56.2899359974922</v>
      </c>
      <c r="AF240" s="0" t="n">
        <f aca="false">E240*O240</f>
        <v>56.2899359974922</v>
      </c>
      <c r="AG240" s="0" t="n">
        <f aca="false">((1-X240)*O240+X240*P240)*D240</f>
        <v>0</v>
      </c>
      <c r="AH240" s="0" t="n">
        <f aca="false">D240*(LN(EXP(S240)+EXP(T240)))</f>
        <v>-0</v>
      </c>
      <c r="AJ240" s="0" t="n">
        <f aca="false">$J$5</f>
        <v>10</v>
      </c>
      <c r="AK240" s="4" t="n">
        <f aca="false">AJ240+MAX(K240,AK$10:AK239)</f>
        <v>2398.67002850573</v>
      </c>
      <c r="AL240" s="5" t="n">
        <f aca="false">AK240-K240</f>
        <v>56.2899359974922</v>
      </c>
      <c r="AM240" s="0" t="n">
        <f aca="false">-G240*AL240/3600</f>
        <v>-0.181255576390141</v>
      </c>
      <c r="AN240" s="0" t="n">
        <f aca="false">-H240*AL240/3600</f>
        <v>-0.156682302144987</v>
      </c>
      <c r="AO240" s="0" t="n">
        <f aca="false">AM240*E240+AN240*D240</f>
        <v>-0.181255576390141</v>
      </c>
      <c r="AP240" s="0" t="n">
        <f aca="false">AL240*D240</f>
        <v>0</v>
      </c>
      <c r="AR240" s="0" t="n">
        <f aca="false">AN240*D240</f>
        <v>-0</v>
      </c>
      <c r="AS240" s="0" t="n">
        <f aca="false">AH240-AR240</f>
        <v>0</v>
      </c>
    </row>
    <row r="241" customFormat="false" ht="12" hidden="false" customHeight="false" outlineLevel="0" collapsed="false">
      <c r="A241" s="3" t="n">
        <f aca="false">A240+1</f>
        <v>232</v>
      </c>
      <c r="B241" s="3" t="n">
        <f aca="false">IF(A241&lt;$N$4/3,0.1,(IF(A241&gt;2*$N$4/3,0.05,0.12)))</f>
        <v>0.1</v>
      </c>
      <c r="C241" s="4" t="n">
        <f aca="true">RAND()</f>
        <v>0.337468683254798</v>
      </c>
      <c r="D241" s="0" t="n">
        <f aca="false">IF((C241&gt;$M$2),1,0)</f>
        <v>0</v>
      </c>
      <c r="E241" s="0" t="n">
        <f aca="false">1-D241</f>
        <v>1</v>
      </c>
      <c r="F241" s="0" t="n">
        <f aca="true">RAND()</f>
        <v>0.406470599914524</v>
      </c>
      <c r="G241" s="0" t="n">
        <f aca="false">7.75+F241*10</f>
        <v>11.8147059991452</v>
      </c>
      <c r="H241" s="0" t="n">
        <f aca="false">LOGINV(F241,2.64,1.139)</f>
        <v>10.7024699102834</v>
      </c>
      <c r="I241" s="0" t="n">
        <v>19.5</v>
      </c>
      <c r="J241" s="4" t="n">
        <f aca="true">-LN(RAND())/B241</f>
        <v>2.68904800352356</v>
      </c>
      <c r="K241" s="4" t="n">
        <f aca="false">K240+J241</f>
        <v>2345.06914051176</v>
      </c>
      <c r="L241" s="4" t="n">
        <f aca="false">(1/$J$4)*(1+AB240)</f>
        <v>10</v>
      </c>
      <c r="M241" s="4" t="n">
        <f aca="false">L241+MAX(K241,Y$10:Y240)</f>
        <v>2408.67002850573</v>
      </c>
      <c r="N241" s="4" t="n">
        <f aca="false">K241</f>
        <v>2345.06914051176</v>
      </c>
      <c r="O241" s="4" t="n">
        <f aca="false">M241-K241</f>
        <v>63.6008879939686</v>
      </c>
      <c r="P241" s="4" t="n">
        <f aca="false">N241-K241</f>
        <v>0</v>
      </c>
      <c r="Q241" s="4" t="n">
        <f aca="false">A241-MATCH(K241,$M$9:M240,1)</f>
        <v>6</v>
      </c>
      <c r="R241" s="0" t="n">
        <f aca="false">-G241*(O241/3600)</f>
        <v>-0.208729386925918</v>
      </c>
      <c r="S241" s="0" t="n">
        <f aca="false">-1*I241-(H241*(P241/3600))</f>
        <v>-19.5</v>
      </c>
      <c r="T241" s="0" t="n">
        <f aca="false">-H241*(O241/3600)</f>
        <v>-0.189079608339654</v>
      </c>
      <c r="U241" s="0" t="n">
        <f aca="false">T241-S241</f>
        <v>19.3109203916603</v>
      </c>
      <c r="V241" s="0" t="n">
        <f aca="false">1/(1+EXP(U241))</f>
        <v>4.10557350148104E-009</v>
      </c>
      <c r="W241" s="0" t="n">
        <f aca="true">RAND()</f>
        <v>0.948311202813766</v>
      </c>
      <c r="X241" s="0" t="n">
        <f aca="false">IF(W241&lt;V241,1,0)</f>
        <v>0</v>
      </c>
      <c r="Y241" s="0" t="n">
        <f aca="false">(M241*(1-X241)+N241*X241)*D241+M241*E241</f>
        <v>2408.67002850573</v>
      </c>
      <c r="Z241" s="0" t="n">
        <f aca="false">((1-X241)*O241+X241*P241)*D241+E241*O241</f>
        <v>63.6008879939686</v>
      </c>
      <c r="AA241" s="0" t="n">
        <f aca="false">IF(D241*X241&gt;0,AA240,Q241)</f>
        <v>6</v>
      </c>
      <c r="AB241" s="0" t="n">
        <f aca="false">(X241*D241)</f>
        <v>0</v>
      </c>
      <c r="AC241" s="0" t="n">
        <f aca="false">SUM(AB$10:AB240)/K241</f>
        <v>0</v>
      </c>
      <c r="AD241" s="0" t="n">
        <f aca="false">R241*E241+D241*(X241*S241+(1-X241)*T241)</f>
        <v>-0.208729386925918</v>
      </c>
      <c r="AE241" s="0" t="n">
        <f aca="false">Z241</f>
        <v>63.6008879939686</v>
      </c>
      <c r="AF241" s="0" t="n">
        <f aca="false">E241*O241</f>
        <v>63.6008879939686</v>
      </c>
      <c r="AG241" s="0" t="n">
        <f aca="false">((1-X241)*O241+X241*P241)*D241</f>
        <v>0</v>
      </c>
      <c r="AH241" s="0" t="n">
        <f aca="false">D241*(LN(EXP(S241)+EXP(T241)))</f>
        <v>-0</v>
      </c>
      <c r="AJ241" s="0" t="n">
        <f aca="false">$J$5</f>
        <v>10</v>
      </c>
      <c r="AK241" s="4" t="n">
        <f aca="false">AJ241+MAX(K241,AK$10:AK240)</f>
        <v>2408.67002850573</v>
      </c>
      <c r="AL241" s="5" t="n">
        <f aca="false">AK241-K241</f>
        <v>63.6008879939686</v>
      </c>
      <c r="AM241" s="0" t="n">
        <f aca="false">-G241*AL241/3600</f>
        <v>-0.208729386925918</v>
      </c>
      <c r="AN241" s="0" t="n">
        <f aca="false">-H241*AL241/3600</f>
        <v>-0.189079608339654</v>
      </c>
      <c r="AO241" s="0" t="n">
        <f aca="false">AM241*E241+AN241*D241</f>
        <v>-0.208729386925918</v>
      </c>
      <c r="AP241" s="0" t="n">
        <f aca="false">AL241*D241</f>
        <v>0</v>
      </c>
      <c r="AR241" s="0" t="n">
        <f aca="false">AN241*D241</f>
        <v>-0</v>
      </c>
      <c r="AS241" s="0" t="n">
        <f aca="false">AH241-AR241</f>
        <v>0</v>
      </c>
    </row>
    <row r="242" customFormat="false" ht="12" hidden="false" customHeight="false" outlineLevel="0" collapsed="false">
      <c r="A242" s="3" t="n">
        <f aca="false">A241+1</f>
        <v>233</v>
      </c>
      <c r="B242" s="3" t="n">
        <f aca="false">IF(A242&lt;$N$4/3,0.1,(IF(A242&gt;2*$N$4/3,0.05,0.12)))</f>
        <v>0.1</v>
      </c>
      <c r="C242" s="4" t="n">
        <f aca="true">RAND()</f>
        <v>0.306574102606877</v>
      </c>
      <c r="D242" s="0" t="n">
        <f aca="false">IF((C242&gt;$M$2),1,0)</f>
        <v>0</v>
      </c>
      <c r="E242" s="0" t="n">
        <f aca="false">1-D242</f>
        <v>1</v>
      </c>
      <c r="F242" s="0" t="n">
        <f aca="true">RAND()</f>
        <v>0.531735405617739</v>
      </c>
      <c r="G242" s="0" t="n">
        <f aca="false">7.75+F242*10</f>
        <v>13.0673540561774</v>
      </c>
      <c r="H242" s="0" t="n">
        <f aca="false">LOGINV(F242,2.64,1.139)</f>
        <v>15.3436533979556</v>
      </c>
      <c r="I242" s="0" t="n">
        <v>19.5</v>
      </c>
      <c r="J242" s="4" t="n">
        <f aca="true">-LN(RAND())/B242</f>
        <v>42.5097629762394</v>
      </c>
      <c r="K242" s="4" t="n">
        <f aca="false">K241+J242</f>
        <v>2387.578903488</v>
      </c>
      <c r="L242" s="4" t="n">
        <f aca="false">(1/$J$4)*(1+AB241)</f>
        <v>10</v>
      </c>
      <c r="M242" s="4" t="n">
        <f aca="false">L242+MAX(K242,Y$10:Y241)</f>
        <v>2418.67002850573</v>
      </c>
      <c r="N242" s="4" t="n">
        <f aca="false">K242</f>
        <v>2387.578903488</v>
      </c>
      <c r="O242" s="4" t="n">
        <f aca="false">M242-K242</f>
        <v>31.0911250177292</v>
      </c>
      <c r="P242" s="4" t="n">
        <f aca="false">N242-K242</f>
        <v>0</v>
      </c>
      <c r="Q242" s="4" t="n">
        <f aca="false">A242-MATCH(K242,$M$9:M241,1)</f>
        <v>3</v>
      </c>
      <c r="R242" s="0" t="n">
        <f aca="false">-G242*(O242/3600)</f>
        <v>-0.112855205169873</v>
      </c>
      <c r="S242" s="0" t="n">
        <f aca="false">-1*I242-(H242*(P242/3600))</f>
        <v>-19.5</v>
      </c>
      <c r="T242" s="0" t="n">
        <f aca="false">-H242*(O242/3600)</f>
        <v>-0.132514290562373</v>
      </c>
      <c r="U242" s="0" t="n">
        <f aca="false">T242-S242</f>
        <v>19.3674857094376</v>
      </c>
      <c r="V242" s="0" t="n">
        <f aca="false">1/(1+EXP(U242))</f>
        <v>3.8797864894508E-009</v>
      </c>
      <c r="W242" s="0" t="n">
        <f aca="true">RAND()</f>
        <v>0.0299737336822148</v>
      </c>
      <c r="X242" s="0" t="n">
        <f aca="false">IF(W242&lt;V242,1,0)</f>
        <v>0</v>
      </c>
      <c r="Y242" s="0" t="n">
        <f aca="false">(M242*(1-X242)+N242*X242)*D242+M242*E242</f>
        <v>2418.67002850573</v>
      </c>
      <c r="Z242" s="0" t="n">
        <f aca="false">((1-X242)*O242+X242*P242)*D242+E242*O242</f>
        <v>31.0911250177292</v>
      </c>
      <c r="AA242" s="0" t="n">
        <f aca="false">IF(D242*X242&gt;0,AA241,Q242)</f>
        <v>3</v>
      </c>
      <c r="AB242" s="0" t="n">
        <f aca="false">(X242*D242)</f>
        <v>0</v>
      </c>
      <c r="AC242" s="0" t="n">
        <f aca="false">SUM(AB$10:AB241)/K242</f>
        <v>0</v>
      </c>
      <c r="AD242" s="0" t="n">
        <f aca="false">R242*E242+D242*(X242*S242+(1-X242)*T242)</f>
        <v>-0.112855205169873</v>
      </c>
      <c r="AE242" s="0" t="n">
        <f aca="false">Z242</f>
        <v>31.0911250177292</v>
      </c>
      <c r="AF242" s="0" t="n">
        <f aca="false">E242*O242</f>
        <v>31.0911250177292</v>
      </c>
      <c r="AG242" s="0" t="n">
        <f aca="false">((1-X242)*O242+X242*P242)*D242</f>
        <v>0</v>
      </c>
      <c r="AH242" s="0" t="n">
        <f aca="false">D242*(LN(EXP(S242)+EXP(T242)))</f>
        <v>-0</v>
      </c>
      <c r="AJ242" s="0" t="n">
        <f aca="false">$J$5</f>
        <v>10</v>
      </c>
      <c r="AK242" s="4" t="n">
        <f aca="false">AJ242+MAX(K242,AK$10:AK241)</f>
        <v>2418.67002850573</v>
      </c>
      <c r="AL242" s="5" t="n">
        <f aca="false">AK242-K242</f>
        <v>31.0911250177292</v>
      </c>
      <c r="AM242" s="0" t="n">
        <f aca="false">-G242*AL242/3600</f>
        <v>-0.112855205169873</v>
      </c>
      <c r="AN242" s="0" t="n">
        <f aca="false">-H242*AL242/3600</f>
        <v>-0.132514290562373</v>
      </c>
      <c r="AO242" s="0" t="n">
        <f aca="false">AM242*E242+AN242*D242</f>
        <v>-0.112855205169873</v>
      </c>
      <c r="AP242" s="0" t="n">
        <f aca="false">AL242*D242</f>
        <v>0</v>
      </c>
      <c r="AR242" s="0" t="n">
        <f aca="false">AN242*D242</f>
        <v>-0</v>
      </c>
      <c r="AS242" s="0" t="n">
        <f aca="false">AH242-AR242</f>
        <v>0</v>
      </c>
    </row>
    <row r="243" customFormat="false" ht="12" hidden="false" customHeight="false" outlineLevel="0" collapsed="false">
      <c r="A243" s="3" t="n">
        <f aca="false">A242+1</f>
        <v>234</v>
      </c>
      <c r="B243" s="3" t="n">
        <f aca="false">IF(A243&lt;$N$4/3,0.1,(IF(A243&gt;2*$N$4/3,0.05,0.12)))</f>
        <v>0.1</v>
      </c>
      <c r="C243" s="4" t="n">
        <f aca="true">RAND()</f>
        <v>0.023604651547422</v>
      </c>
      <c r="D243" s="0" t="n">
        <f aca="false">IF((C243&gt;$M$2),1,0)</f>
        <v>0</v>
      </c>
      <c r="E243" s="0" t="n">
        <f aca="false">1-D243</f>
        <v>1</v>
      </c>
      <c r="F243" s="0" t="n">
        <f aca="true">RAND()</f>
        <v>0.0350040337806216</v>
      </c>
      <c r="G243" s="0" t="n">
        <f aca="false">7.75+F243*10</f>
        <v>8.10004033780622</v>
      </c>
      <c r="H243" s="0" t="n">
        <f aca="false">LOGINV(F243,2.64,1.139)</f>
        <v>1.77943019995321</v>
      </c>
      <c r="I243" s="0" t="n">
        <v>19.5</v>
      </c>
      <c r="J243" s="4" t="n">
        <f aca="true">-LN(RAND())/B243</f>
        <v>4.46591007595307</v>
      </c>
      <c r="K243" s="4" t="n">
        <f aca="false">K242+J243</f>
        <v>2392.04481356395</v>
      </c>
      <c r="L243" s="4" t="n">
        <f aca="false">(1/$J$4)*(1+AB242)</f>
        <v>10</v>
      </c>
      <c r="M243" s="4" t="n">
        <f aca="false">L243+MAX(K243,Y$10:Y242)</f>
        <v>2428.67002850573</v>
      </c>
      <c r="N243" s="4" t="n">
        <f aca="false">K243</f>
        <v>2392.04481356395</v>
      </c>
      <c r="O243" s="4" t="n">
        <f aca="false">M243-K243</f>
        <v>36.625214941776</v>
      </c>
      <c r="P243" s="4" t="n">
        <f aca="false">N243-K243</f>
        <v>0</v>
      </c>
      <c r="Q243" s="4" t="n">
        <f aca="false">A243-MATCH(K243,$M$9:M242,1)</f>
        <v>3</v>
      </c>
      <c r="R243" s="0" t="n">
        <f aca="false">-G243*(O243/3600)</f>
        <v>-0.0824071440025579</v>
      </c>
      <c r="S243" s="0" t="n">
        <f aca="false">-1*I243-(H243*(P243/3600))</f>
        <v>-19.5</v>
      </c>
      <c r="T243" s="0" t="n">
        <f aca="false">-H243*(O243/3600)</f>
        <v>-0.0181033370964372</v>
      </c>
      <c r="U243" s="0" t="n">
        <f aca="false">T243-S243</f>
        <v>19.4818966629036</v>
      </c>
      <c r="V243" s="0" t="n">
        <f aca="false">1/(1+EXP(U243))</f>
        <v>3.4603480295369E-009</v>
      </c>
      <c r="W243" s="0" t="n">
        <f aca="true">RAND()</f>
        <v>0.477713200089542</v>
      </c>
      <c r="X243" s="0" t="n">
        <f aca="false">IF(W243&lt;V243,1,0)</f>
        <v>0</v>
      </c>
      <c r="Y243" s="0" t="n">
        <f aca="false">(M243*(1-X243)+N243*X243)*D243+M243*E243</f>
        <v>2428.67002850573</v>
      </c>
      <c r="Z243" s="0" t="n">
        <f aca="false">((1-X243)*O243+X243*P243)*D243+E243*O243</f>
        <v>36.625214941776</v>
      </c>
      <c r="AA243" s="0" t="n">
        <f aca="false">IF(D243*X243&gt;0,AA242,Q243)</f>
        <v>3</v>
      </c>
      <c r="AB243" s="0" t="n">
        <f aca="false">(X243*D243)</f>
        <v>0</v>
      </c>
      <c r="AC243" s="0" t="n">
        <f aca="false">SUM(AB$10:AB242)/K243</f>
        <v>0</v>
      </c>
      <c r="AD243" s="0" t="n">
        <f aca="false">R243*E243+D243*(X243*S243+(1-X243)*T243)</f>
        <v>-0.0824071440025579</v>
      </c>
      <c r="AE243" s="0" t="n">
        <f aca="false">Z243</f>
        <v>36.625214941776</v>
      </c>
      <c r="AF243" s="0" t="n">
        <f aca="false">E243*O243</f>
        <v>36.625214941776</v>
      </c>
      <c r="AG243" s="0" t="n">
        <f aca="false">((1-X243)*O243+X243*P243)*D243</f>
        <v>0</v>
      </c>
      <c r="AH243" s="0" t="n">
        <f aca="false">D243*(LN(EXP(S243)+EXP(T243)))</f>
        <v>-0</v>
      </c>
      <c r="AJ243" s="0" t="n">
        <f aca="false">$J$5</f>
        <v>10</v>
      </c>
      <c r="AK243" s="4" t="n">
        <f aca="false">AJ243+MAX(K243,AK$10:AK242)</f>
        <v>2428.67002850573</v>
      </c>
      <c r="AL243" s="5" t="n">
        <f aca="false">AK243-K243</f>
        <v>36.625214941776</v>
      </c>
      <c r="AM243" s="0" t="n">
        <f aca="false">-G243*AL243/3600</f>
        <v>-0.0824071440025579</v>
      </c>
      <c r="AN243" s="0" t="n">
        <f aca="false">-H243*AL243/3600</f>
        <v>-0.0181033370964372</v>
      </c>
      <c r="AO243" s="0" t="n">
        <f aca="false">AM243*E243+AN243*D243</f>
        <v>-0.0824071440025579</v>
      </c>
      <c r="AP243" s="0" t="n">
        <f aca="false">AL243*D243</f>
        <v>0</v>
      </c>
      <c r="AR243" s="0" t="n">
        <f aca="false">AN243*D243</f>
        <v>-0</v>
      </c>
      <c r="AS243" s="0" t="n">
        <f aca="false">AH243-AR243</f>
        <v>0</v>
      </c>
    </row>
    <row r="244" customFormat="false" ht="12" hidden="false" customHeight="false" outlineLevel="0" collapsed="false">
      <c r="A244" s="3" t="n">
        <f aca="false">A243+1</f>
        <v>235</v>
      </c>
      <c r="B244" s="3" t="n">
        <f aca="false">IF(A244&lt;$N$4/3,0.1,(IF(A244&gt;2*$N$4/3,0.05,0.12)))</f>
        <v>0.1</v>
      </c>
      <c r="C244" s="4" t="n">
        <f aca="true">RAND()</f>
        <v>0.632891995816265</v>
      </c>
      <c r="D244" s="0" t="n">
        <f aca="false">IF((C244&gt;$M$2),1,0)</f>
        <v>0</v>
      </c>
      <c r="E244" s="0" t="n">
        <f aca="false">1-D244</f>
        <v>1</v>
      </c>
      <c r="F244" s="0" t="n">
        <f aca="true">RAND()</f>
        <v>0.765859509361042</v>
      </c>
      <c r="G244" s="0" t="n">
        <f aca="false">7.75+F244*10</f>
        <v>15.4085950936104</v>
      </c>
      <c r="H244" s="0" t="n">
        <f aca="false">LOGINV(F244,2.64,1.139)</f>
        <v>32.0114164869611</v>
      </c>
      <c r="I244" s="0" t="n">
        <v>19.5</v>
      </c>
      <c r="J244" s="4" t="n">
        <f aca="true">-LN(RAND())/B244</f>
        <v>16.5125532177569</v>
      </c>
      <c r="K244" s="4" t="n">
        <f aca="false">K243+J244</f>
        <v>2408.55736678171</v>
      </c>
      <c r="L244" s="4" t="n">
        <f aca="false">(1/$J$4)*(1+AB243)</f>
        <v>10</v>
      </c>
      <c r="M244" s="4" t="n">
        <f aca="false">L244+MAX(K244,Y$10:Y243)</f>
        <v>2438.67002850573</v>
      </c>
      <c r="N244" s="4" t="n">
        <f aca="false">K244</f>
        <v>2408.55736678171</v>
      </c>
      <c r="O244" s="4" t="n">
        <f aca="false">M244-K244</f>
        <v>30.1126617240193</v>
      </c>
      <c r="P244" s="4" t="n">
        <f aca="false">N244-K244</f>
        <v>0</v>
      </c>
      <c r="Q244" s="4" t="n">
        <f aca="false">A244-MATCH(K244,$M$9:M243,1)</f>
        <v>3</v>
      </c>
      <c r="R244" s="0" t="n">
        <f aca="false">-G244*(O244/3600)</f>
        <v>-0.128887169915632</v>
      </c>
      <c r="S244" s="0" t="n">
        <f aca="false">-1*I244-(H244*(P244/3600))</f>
        <v>-19.5</v>
      </c>
      <c r="T244" s="0" t="n">
        <f aca="false">-H244*(O244/3600)</f>
        <v>-0.267763598882932</v>
      </c>
      <c r="U244" s="0" t="n">
        <f aca="false">T244-S244</f>
        <v>19.2322364011171</v>
      </c>
      <c r="V244" s="0" t="n">
        <f aca="false">1/(1+EXP(U244))</f>
        <v>4.44166555626737E-009</v>
      </c>
      <c r="W244" s="0" t="n">
        <f aca="true">RAND()</f>
        <v>0.827565279771121</v>
      </c>
      <c r="X244" s="0" t="n">
        <f aca="false">IF(W244&lt;V244,1,0)</f>
        <v>0</v>
      </c>
      <c r="Y244" s="0" t="n">
        <f aca="false">(M244*(1-X244)+N244*X244)*D244+M244*E244</f>
        <v>2438.67002850573</v>
      </c>
      <c r="Z244" s="0" t="n">
        <f aca="false">((1-X244)*O244+X244*P244)*D244+E244*O244</f>
        <v>30.1126617240193</v>
      </c>
      <c r="AA244" s="0" t="n">
        <f aca="false">IF(D244*X244&gt;0,AA243,Q244)</f>
        <v>3</v>
      </c>
      <c r="AB244" s="0" t="n">
        <f aca="false">(X244*D244)</f>
        <v>0</v>
      </c>
      <c r="AC244" s="0" t="n">
        <f aca="false">SUM(AB$10:AB243)/K244</f>
        <v>0</v>
      </c>
      <c r="AD244" s="0" t="n">
        <f aca="false">R244*E244+D244*(X244*S244+(1-X244)*T244)</f>
        <v>-0.128887169915632</v>
      </c>
      <c r="AE244" s="0" t="n">
        <f aca="false">Z244</f>
        <v>30.1126617240193</v>
      </c>
      <c r="AF244" s="0" t="n">
        <f aca="false">E244*O244</f>
        <v>30.1126617240193</v>
      </c>
      <c r="AG244" s="0" t="n">
        <f aca="false">((1-X244)*O244+X244*P244)*D244</f>
        <v>0</v>
      </c>
      <c r="AH244" s="0" t="n">
        <f aca="false">D244*(LN(EXP(S244)+EXP(T244)))</f>
        <v>-0</v>
      </c>
      <c r="AJ244" s="0" t="n">
        <f aca="false">$J$5</f>
        <v>10</v>
      </c>
      <c r="AK244" s="4" t="n">
        <f aca="false">AJ244+MAX(K244,AK$10:AK243)</f>
        <v>2438.67002850573</v>
      </c>
      <c r="AL244" s="5" t="n">
        <f aca="false">AK244-K244</f>
        <v>30.1126617240193</v>
      </c>
      <c r="AM244" s="0" t="n">
        <f aca="false">-G244*AL244/3600</f>
        <v>-0.128887169915632</v>
      </c>
      <c r="AN244" s="0" t="n">
        <f aca="false">-H244*AL244/3600</f>
        <v>-0.267763598882932</v>
      </c>
      <c r="AO244" s="0" t="n">
        <f aca="false">AM244*E244+AN244*D244</f>
        <v>-0.128887169915632</v>
      </c>
      <c r="AP244" s="0" t="n">
        <f aca="false">AL244*D244</f>
        <v>0</v>
      </c>
      <c r="AR244" s="0" t="n">
        <f aca="false">AN244*D244</f>
        <v>-0</v>
      </c>
      <c r="AS244" s="0" t="n">
        <f aca="false">AH244-AR244</f>
        <v>0</v>
      </c>
    </row>
    <row r="245" customFormat="false" ht="12" hidden="false" customHeight="false" outlineLevel="0" collapsed="false">
      <c r="A245" s="3" t="n">
        <f aca="false">A244+1</f>
        <v>236</v>
      </c>
      <c r="B245" s="3" t="n">
        <f aca="false">IF(A245&lt;$N$4/3,0.1,(IF(A245&gt;2*$N$4/3,0.05,0.12)))</f>
        <v>0.1</v>
      </c>
      <c r="C245" s="4" t="n">
        <f aca="true">RAND()</f>
        <v>0.824044292367092</v>
      </c>
      <c r="D245" s="0" t="n">
        <f aca="false">IF((C245&gt;$M$2),1,0)</f>
        <v>0</v>
      </c>
      <c r="E245" s="0" t="n">
        <f aca="false">1-D245</f>
        <v>1</v>
      </c>
      <c r="F245" s="0" t="n">
        <f aca="true">RAND()</f>
        <v>0.908537560544491</v>
      </c>
      <c r="G245" s="0" t="n">
        <f aca="false">7.75+F245*10</f>
        <v>16.8353756054449</v>
      </c>
      <c r="H245" s="0" t="n">
        <f aca="false">LOGINV(F245,2.64,1.139)</f>
        <v>63.8747286666635</v>
      </c>
      <c r="I245" s="0" t="n">
        <v>19.5</v>
      </c>
      <c r="J245" s="4" t="n">
        <f aca="true">-LN(RAND())/B245</f>
        <v>8.33550205740006</v>
      </c>
      <c r="K245" s="4" t="n">
        <f aca="false">K244+J245</f>
        <v>2416.89286883911</v>
      </c>
      <c r="L245" s="4" t="n">
        <f aca="false">(1/$J$4)*(1+AB244)</f>
        <v>10</v>
      </c>
      <c r="M245" s="4" t="n">
        <f aca="false">L245+MAX(K245,Y$10:Y244)</f>
        <v>2448.67002850573</v>
      </c>
      <c r="N245" s="4" t="n">
        <f aca="false">K245</f>
        <v>2416.89286883911</v>
      </c>
      <c r="O245" s="4" t="n">
        <f aca="false">M245-K245</f>
        <v>31.7771596666194</v>
      </c>
      <c r="P245" s="4" t="n">
        <f aca="false">N245-K245</f>
        <v>0</v>
      </c>
      <c r="Q245" s="4" t="n">
        <f aca="false">A245-MATCH(K245,$M$9:M244,1)</f>
        <v>3</v>
      </c>
      <c r="R245" s="0" t="n">
        <f aca="false">-G245*(O245/3600)</f>
        <v>-0.148605671850481</v>
      </c>
      <c r="S245" s="0" t="n">
        <f aca="false">-1*I245-(H245*(P245/3600))</f>
        <v>-19.5</v>
      </c>
      <c r="T245" s="0" t="n">
        <f aca="false">-H245*(O245/3600)</f>
        <v>-0.563821514306265</v>
      </c>
      <c r="U245" s="0" t="n">
        <f aca="false">T245-S245</f>
        <v>18.9361784856937</v>
      </c>
      <c r="V245" s="0" t="n">
        <f aca="false">1/(1+EXP(U245))</f>
        <v>5.9720326406745E-009</v>
      </c>
      <c r="W245" s="0" t="n">
        <f aca="true">RAND()</f>
        <v>0.83005435983107</v>
      </c>
      <c r="X245" s="0" t="n">
        <f aca="false">IF(W245&lt;V245,1,0)</f>
        <v>0</v>
      </c>
      <c r="Y245" s="0" t="n">
        <f aca="false">(M245*(1-X245)+N245*X245)*D245+M245*E245</f>
        <v>2448.67002850573</v>
      </c>
      <c r="Z245" s="0" t="n">
        <f aca="false">((1-X245)*O245+X245*P245)*D245+E245*O245</f>
        <v>31.7771596666194</v>
      </c>
      <c r="AA245" s="0" t="n">
        <f aca="false">IF(D245*X245&gt;0,AA244,Q245)</f>
        <v>3</v>
      </c>
      <c r="AB245" s="0" t="n">
        <f aca="false">(X245*D245)</f>
        <v>0</v>
      </c>
      <c r="AC245" s="0" t="n">
        <f aca="false">SUM(AB$10:AB244)/K245</f>
        <v>0</v>
      </c>
      <c r="AD245" s="0" t="n">
        <f aca="false">R245*E245+D245*(X245*S245+(1-X245)*T245)</f>
        <v>-0.148605671850481</v>
      </c>
      <c r="AE245" s="0" t="n">
        <f aca="false">Z245</f>
        <v>31.7771596666194</v>
      </c>
      <c r="AF245" s="0" t="n">
        <f aca="false">E245*O245</f>
        <v>31.7771596666194</v>
      </c>
      <c r="AG245" s="0" t="n">
        <f aca="false">((1-X245)*O245+X245*P245)*D245</f>
        <v>0</v>
      </c>
      <c r="AH245" s="0" t="n">
        <f aca="false">D245*(LN(EXP(S245)+EXP(T245)))</f>
        <v>-0</v>
      </c>
      <c r="AJ245" s="0" t="n">
        <f aca="false">$J$5</f>
        <v>10</v>
      </c>
      <c r="AK245" s="4" t="n">
        <f aca="false">AJ245+MAX(K245,AK$10:AK244)</f>
        <v>2448.67002850573</v>
      </c>
      <c r="AL245" s="5" t="n">
        <f aca="false">AK245-K245</f>
        <v>31.7771596666194</v>
      </c>
      <c r="AM245" s="0" t="n">
        <f aca="false">-G245*AL245/3600</f>
        <v>-0.148605671850481</v>
      </c>
      <c r="AN245" s="0" t="n">
        <f aca="false">-H245*AL245/3600</f>
        <v>-0.563821514306265</v>
      </c>
      <c r="AO245" s="0" t="n">
        <f aca="false">AM245*E245+AN245*D245</f>
        <v>-0.148605671850481</v>
      </c>
      <c r="AP245" s="0" t="n">
        <f aca="false">AL245*D245</f>
        <v>0</v>
      </c>
      <c r="AR245" s="0" t="n">
        <f aca="false">AN245*D245</f>
        <v>-0</v>
      </c>
      <c r="AS245" s="0" t="n">
        <f aca="false">AH245-AR245</f>
        <v>0</v>
      </c>
    </row>
    <row r="246" customFormat="false" ht="12" hidden="false" customHeight="false" outlineLevel="0" collapsed="false">
      <c r="A246" s="3" t="n">
        <f aca="false">A245+1</f>
        <v>237</v>
      </c>
      <c r="B246" s="3" t="n">
        <f aca="false">IF(A246&lt;$N$4/3,0.1,(IF(A246&gt;2*$N$4/3,0.05,0.12)))</f>
        <v>0.1</v>
      </c>
      <c r="C246" s="4" t="n">
        <f aca="true">RAND()</f>
        <v>0.0659342652235155</v>
      </c>
      <c r="D246" s="0" t="n">
        <f aca="false">IF((C246&gt;$M$2),1,0)</f>
        <v>0</v>
      </c>
      <c r="E246" s="0" t="n">
        <f aca="false">1-D246</f>
        <v>1</v>
      </c>
      <c r="F246" s="0" t="n">
        <f aca="true">RAND()</f>
        <v>0.0370109943025202</v>
      </c>
      <c r="G246" s="0" t="n">
        <f aca="false">7.75+F246*10</f>
        <v>8.1201099430252</v>
      </c>
      <c r="H246" s="0" t="n">
        <f aca="false">LOGINV(F246,2.64,1.139)</f>
        <v>1.83162254088551</v>
      </c>
      <c r="I246" s="0" t="n">
        <v>19.5</v>
      </c>
      <c r="J246" s="4" t="n">
        <f aca="true">-LN(RAND())/B246</f>
        <v>0.0229754950965164</v>
      </c>
      <c r="K246" s="4" t="n">
        <f aca="false">K245+J246</f>
        <v>2416.91584433421</v>
      </c>
      <c r="L246" s="4" t="n">
        <f aca="false">(1/$J$4)*(1+AB245)</f>
        <v>10</v>
      </c>
      <c r="M246" s="4" t="n">
        <f aca="false">L246+MAX(K246,Y$10:Y245)</f>
        <v>2458.67002850573</v>
      </c>
      <c r="N246" s="4" t="n">
        <f aca="false">K246</f>
        <v>2416.91584433421</v>
      </c>
      <c r="O246" s="4" t="n">
        <f aca="false">M246-K246</f>
        <v>41.7541841715229</v>
      </c>
      <c r="P246" s="4" t="n">
        <f aca="false">N246-K246</f>
        <v>0</v>
      </c>
      <c r="Q246" s="4" t="n">
        <f aca="false">A246-MATCH(K246,$M$9:M245,1)</f>
        <v>4</v>
      </c>
      <c r="R246" s="0" t="n">
        <f aca="false">-G246*(O246/3600)</f>
        <v>-0.0941801572372468</v>
      </c>
      <c r="S246" s="0" t="n">
        <f aca="false">-1*I246-(H246*(P246/3600))</f>
        <v>-19.5</v>
      </c>
      <c r="T246" s="0" t="n">
        <f aca="false">-H246*(O246/3600)</f>
        <v>-0.0212438624735684</v>
      </c>
      <c r="U246" s="0" t="n">
        <f aca="false">T246-S246</f>
        <v>19.4787561375264</v>
      </c>
      <c r="V246" s="0" t="n">
        <f aca="false">1/(1+EXP(U246))</f>
        <v>3.47123242271016E-009</v>
      </c>
      <c r="W246" s="0" t="n">
        <f aca="true">RAND()</f>
        <v>0.819690352323185</v>
      </c>
      <c r="X246" s="0" t="n">
        <f aca="false">IF(W246&lt;V246,1,0)</f>
        <v>0</v>
      </c>
      <c r="Y246" s="0" t="n">
        <f aca="false">(M246*(1-X246)+N246*X246)*D246+M246*E246</f>
        <v>2458.67002850573</v>
      </c>
      <c r="Z246" s="0" t="n">
        <f aca="false">((1-X246)*O246+X246*P246)*D246+E246*O246</f>
        <v>41.7541841715229</v>
      </c>
      <c r="AA246" s="0" t="n">
        <f aca="false">IF(D246*X246&gt;0,AA245,Q246)</f>
        <v>4</v>
      </c>
      <c r="AB246" s="0" t="n">
        <f aca="false">(X246*D246)</f>
        <v>0</v>
      </c>
      <c r="AC246" s="0" t="n">
        <f aca="false">SUM(AB$10:AB245)/K246</f>
        <v>0</v>
      </c>
      <c r="AD246" s="0" t="n">
        <f aca="false">R246*E246+D246*(X246*S246+(1-X246)*T246)</f>
        <v>-0.0941801572372468</v>
      </c>
      <c r="AE246" s="0" t="n">
        <f aca="false">Z246</f>
        <v>41.7541841715229</v>
      </c>
      <c r="AF246" s="0" t="n">
        <f aca="false">E246*O246</f>
        <v>41.7541841715229</v>
      </c>
      <c r="AG246" s="0" t="n">
        <f aca="false">((1-X246)*O246+X246*P246)*D246</f>
        <v>0</v>
      </c>
      <c r="AH246" s="0" t="n">
        <f aca="false">D246*(LN(EXP(S246)+EXP(T246)))</f>
        <v>-0</v>
      </c>
      <c r="AJ246" s="0" t="n">
        <f aca="false">$J$5</f>
        <v>10</v>
      </c>
      <c r="AK246" s="4" t="n">
        <f aca="false">AJ246+MAX(K246,AK$10:AK245)</f>
        <v>2458.67002850573</v>
      </c>
      <c r="AL246" s="5" t="n">
        <f aca="false">AK246-K246</f>
        <v>41.7541841715229</v>
      </c>
      <c r="AM246" s="0" t="n">
        <f aca="false">-G246*AL246/3600</f>
        <v>-0.0941801572372468</v>
      </c>
      <c r="AN246" s="0" t="n">
        <f aca="false">-H246*AL246/3600</f>
        <v>-0.0212438624735684</v>
      </c>
      <c r="AO246" s="0" t="n">
        <f aca="false">AM246*E246+AN246*D246</f>
        <v>-0.0941801572372468</v>
      </c>
      <c r="AP246" s="0" t="n">
        <f aca="false">AL246*D246</f>
        <v>0</v>
      </c>
      <c r="AR246" s="0" t="n">
        <f aca="false">AN246*D246</f>
        <v>-0</v>
      </c>
      <c r="AS246" s="0" t="n">
        <f aca="false">AH246-AR246</f>
        <v>0</v>
      </c>
    </row>
    <row r="247" customFormat="false" ht="12" hidden="false" customHeight="false" outlineLevel="0" collapsed="false">
      <c r="A247" s="3" t="n">
        <f aca="false">A246+1</f>
        <v>238</v>
      </c>
      <c r="B247" s="3" t="n">
        <f aca="false">IF(A247&lt;$N$4/3,0.1,(IF(A247&gt;2*$N$4/3,0.05,0.12)))</f>
        <v>0.1</v>
      </c>
      <c r="C247" s="4" t="n">
        <f aca="true">RAND()</f>
        <v>0.750888443362402</v>
      </c>
      <c r="D247" s="0" t="n">
        <f aca="false">IF((C247&gt;$M$2),1,0)</f>
        <v>0</v>
      </c>
      <c r="E247" s="0" t="n">
        <f aca="false">1-D247</f>
        <v>1</v>
      </c>
      <c r="F247" s="0" t="n">
        <f aca="true">RAND()</f>
        <v>0.748864558339058</v>
      </c>
      <c r="G247" s="0" t="n">
        <f aca="false">7.75+F247*10</f>
        <v>15.2386455833906</v>
      </c>
      <c r="H247" s="0" t="n">
        <f aca="false">LOGINV(F247,2.64,1.139)</f>
        <v>30.0895812199849</v>
      </c>
      <c r="I247" s="0" t="n">
        <v>19.5</v>
      </c>
      <c r="J247" s="4" t="n">
        <f aca="true">-LN(RAND())/B247</f>
        <v>1.61157530046318</v>
      </c>
      <c r="K247" s="4" t="n">
        <f aca="false">K246+J247</f>
        <v>2418.52741963467</v>
      </c>
      <c r="L247" s="4" t="n">
        <f aca="false">(1/$J$4)*(1+AB246)</f>
        <v>10</v>
      </c>
      <c r="M247" s="4" t="n">
        <f aca="false">L247+MAX(K247,Y$10:Y246)</f>
        <v>2468.67002850573</v>
      </c>
      <c r="N247" s="4" t="n">
        <f aca="false">K247</f>
        <v>2418.52741963467</v>
      </c>
      <c r="O247" s="4" t="n">
        <f aca="false">M247-K247</f>
        <v>50.1426088710596</v>
      </c>
      <c r="P247" s="4" t="n">
        <f aca="false">N247-K247</f>
        <v>0</v>
      </c>
      <c r="Q247" s="4" t="n">
        <f aca="false">A247-MATCH(K247,$M$9:M246,1)</f>
        <v>5</v>
      </c>
      <c r="R247" s="0" t="n">
        <f aca="false">-G247*(O247/3600)</f>
        <v>-0.21225151255907</v>
      </c>
      <c r="S247" s="0" t="n">
        <f aca="false">-1*I247-(H247*(P247/3600))</f>
        <v>-19.5</v>
      </c>
      <c r="T247" s="0" t="n">
        <f aca="false">-H247*(O247/3600)</f>
        <v>-0.419102806168801</v>
      </c>
      <c r="U247" s="0" t="n">
        <f aca="false">T247-S247</f>
        <v>19.0808971938312</v>
      </c>
      <c r="V247" s="0" t="n">
        <f aca="false">1/(1+EXP(U247))</f>
        <v>5.16739471519288E-009</v>
      </c>
      <c r="W247" s="0" t="n">
        <f aca="true">RAND()</f>
        <v>0.255361665625262</v>
      </c>
      <c r="X247" s="0" t="n">
        <f aca="false">IF(W247&lt;V247,1,0)</f>
        <v>0</v>
      </c>
      <c r="Y247" s="0" t="n">
        <f aca="false">(M247*(1-X247)+N247*X247)*D247+M247*E247</f>
        <v>2468.67002850573</v>
      </c>
      <c r="Z247" s="0" t="n">
        <f aca="false">((1-X247)*O247+X247*P247)*D247+E247*O247</f>
        <v>50.1426088710596</v>
      </c>
      <c r="AA247" s="0" t="n">
        <f aca="false">IF(D247*X247&gt;0,AA246,Q247)</f>
        <v>5</v>
      </c>
      <c r="AB247" s="0" t="n">
        <f aca="false">(X247*D247)</f>
        <v>0</v>
      </c>
      <c r="AC247" s="0" t="n">
        <f aca="false">SUM(AB$10:AB246)/K247</f>
        <v>0</v>
      </c>
      <c r="AD247" s="0" t="n">
        <f aca="false">R247*E247+D247*(X247*S247+(1-X247)*T247)</f>
        <v>-0.21225151255907</v>
      </c>
      <c r="AE247" s="0" t="n">
        <f aca="false">Z247</f>
        <v>50.1426088710596</v>
      </c>
      <c r="AF247" s="0" t="n">
        <f aca="false">E247*O247</f>
        <v>50.1426088710596</v>
      </c>
      <c r="AG247" s="0" t="n">
        <f aca="false">((1-X247)*O247+X247*P247)*D247</f>
        <v>0</v>
      </c>
      <c r="AH247" s="0" t="n">
        <f aca="false">D247*(LN(EXP(S247)+EXP(T247)))</f>
        <v>-0</v>
      </c>
      <c r="AJ247" s="0" t="n">
        <f aca="false">$J$5</f>
        <v>10</v>
      </c>
      <c r="AK247" s="4" t="n">
        <f aca="false">AJ247+MAX(K247,AK$10:AK246)</f>
        <v>2468.67002850573</v>
      </c>
      <c r="AL247" s="5" t="n">
        <f aca="false">AK247-K247</f>
        <v>50.1426088710596</v>
      </c>
      <c r="AM247" s="0" t="n">
        <f aca="false">-G247*AL247/3600</f>
        <v>-0.21225151255907</v>
      </c>
      <c r="AN247" s="0" t="n">
        <f aca="false">-H247*AL247/3600</f>
        <v>-0.419102806168801</v>
      </c>
      <c r="AO247" s="0" t="n">
        <f aca="false">AM247*E247+AN247*D247</f>
        <v>-0.21225151255907</v>
      </c>
      <c r="AP247" s="0" t="n">
        <f aca="false">AL247*D247</f>
        <v>0</v>
      </c>
      <c r="AR247" s="0" t="n">
        <f aca="false">AN247*D247</f>
        <v>-0</v>
      </c>
      <c r="AS247" s="0" t="n">
        <f aca="false">AH247-AR247</f>
        <v>0</v>
      </c>
    </row>
    <row r="248" customFormat="false" ht="12" hidden="false" customHeight="false" outlineLevel="0" collapsed="false">
      <c r="A248" s="3" t="n">
        <f aca="false">A247+1</f>
        <v>239</v>
      </c>
      <c r="B248" s="3" t="n">
        <f aca="false">IF(A248&lt;$N$4/3,0.1,(IF(A248&gt;2*$N$4/3,0.05,0.12)))</f>
        <v>0.1</v>
      </c>
      <c r="C248" s="4" t="n">
        <f aca="true">RAND()</f>
        <v>0.192090244176247</v>
      </c>
      <c r="D248" s="0" t="n">
        <f aca="false">IF((C248&gt;$M$2),1,0)</f>
        <v>0</v>
      </c>
      <c r="E248" s="0" t="n">
        <f aca="false">1-D248</f>
        <v>1</v>
      </c>
      <c r="F248" s="0" t="n">
        <f aca="true">RAND()</f>
        <v>0.3731417208058</v>
      </c>
      <c r="G248" s="0" t="n">
        <f aca="false">7.75+F248*10</f>
        <v>11.481417208058</v>
      </c>
      <c r="H248" s="0" t="n">
        <f aca="false">LOGINV(F248,2.64,1.139)</f>
        <v>9.69377193877514</v>
      </c>
      <c r="I248" s="0" t="n">
        <v>19.5</v>
      </c>
      <c r="J248" s="4" t="n">
        <f aca="true">-LN(RAND())/B248</f>
        <v>19.129984465482</v>
      </c>
      <c r="K248" s="4" t="n">
        <f aca="false">K247+J248</f>
        <v>2437.65740410015</v>
      </c>
      <c r="L248" s="4" t="n">
        <f aca="false">(1/$J$4)*(1+AB247)</f>
        <v>10</v>
      </c>
      <c r="M248" s="4" t="n">
        <f aca="false">L248+MAX(K248,Y$10:Y247)</f>
        <v>2478.67002850573</v>
      </c>
      <c r="N248" s="4" t="n">
        <f aca="false">K248</f>
        <v>2437.65740410015</v>
      </c>
      <c r="O248" s="4" t="n">
        <f aca="false">M248-K248</f>
        <v>41.0126244055778</v>
      </c>
      <c r="P248" s="4" t="n">
        <f aca="false">N248-K248</f>
        <v>0</v>
      </c>
      <c r="Q248" s="4" t="n">
        <f aca="false">A248-MATCH(K248,$M$9:M247,1)</f>
        <v>4</v>
      </c>
      <c r="R248" s="0" t="n">
        <f aca="false">-G248*(O248/3600)</f>
        <v>-0.130800847666061</v>
      </c>
      <c r="S248" s="0" t="n">
        <f aca="false">-1*I248-(H248*(P248/3600))</f>
        <v>-19.5</v>
      </c>
      <c r="T248" s="0" t="n">
        <f aca="false">-H248*(O248/3600)</f>
        <v>-0.110435285443976</v>
      </c>
      <c r="U248" s="0" t="n">
        <f aca="false">T248-S248</f>
        <v>19.389564714556</v>
      </c>
      <c r="V248" s="0" t="n">
        <f aca="false">1/(1+EXP(U248))</f>
        <v>3.79506340643233E-009</v>
      </c>
      <c r="W248" s="0" t="n">
        <f aca="true">RAND()</f>
        <v>0.488034603388126</v>
      </c>
      <c r="X248" s="0" t="n">
        <f aca="false">IF(W248&lt;V248,1,0)</f>
        <v>0</v>
      </c>
      <c r="Y248" s="0" t="n">
        <f aca="false">(M248*(1-X248)+N248*X248)*D248+M248*E248</f>
        <v>2478.67002850573</v>
      </c>
      <c r="Z248" s="0" t="n">
        <f aca="false">((1-X248)*O248+X248*P248)*D248+E248*O248</f>
        <v>41.0126244055778</v>
      </c>
      <c r="AA248" s="0" t="n">
        <f aca="false">IF(D248*X248&gt;0,AA247,Q248)</f>
        <v>4</v>
      </c>
      <c r="AB248" s="0" t="n">
        <f aca="false">(X248*D248)</f>
        <v>0</v>
      </c>
      <c r="AC248" s="0" t="n">
        <f aca="false">SUM(AB$10:AB247)/K248</f>
        <v>0</v>
      </c>
      <c r="AD248" s="0" t="n">
        <f aca="false">R248*E248+D248*(X248*S248+(1-X248)*T248)</f>
        <v>-0.130800847666061</v>
      </c>
      <c r="AE248" s="0" t="n">
        <f aca="false">Z248</f>
        <v>41.0126244055778</v>
      </c>
      <c r="AF248" s="0" t="n">
        <f aca="false">E248*O248</f>
        <v>41.0126244055778</v>
      </c>
      <c r="AG248" s="0" t="n">
        <f aca="false">((1-X248)*O248+X248*P248)*D248</f>
        <v>0</v>
      </c>
      <c r="AH248" s="0" t="n">
        <f aca="false">D248*(LN(EXP(S248)+EXP(T248)))</f>
        <v>-0</v>
      </c>
      <c r="AJ248" s="0" t="n">
        <f aca="false">$J$5</f>
        <v>10</v>
      </c>
      <c r="AK248" s="4" t="n">
        <f aca="false">AJ248+MAX(K248,AK$10:AK247)</f>
        <v>2478.67002850573</v>
      </c>
      <c r="AL248" s="5" t="n">
        <f aca="false">AK248-K248</f>
        <v>41.0126244055778</v>
      </c>
      <c r="AM248" s="0" t="n">
        <f aca="false">-G248*AL248/3600</f>
        <v>-0.130800847666061</v>
      </c>
      <c r="AN248" s="0" t="n">
        <f aca="false">-H248*AL248/3600</f>
        <v>-0.110435285443976</v>
      </c>
      <c r="AO248" s="0" t="n">
        <f aca="false">AM248*E248+AN248*D248</f>
        <v>-0.130800847666061</v>
      </c>
      <c r="AP248" s="0" t="n">
        <f aca="false">AL248*D248</f>
        <v>0</v>
      </c>
      <c r="AR248" s="0" t="n">
        <f aca="false">AN248*D248</f>
        <v>-0</v>
      </c>
      <c r="AS248" s="0" t="n">
        <f aca="false">AH248-AR248</f>
        <v>0</v>
      </c>
    </row>
    <row r="249" customFormat="false" ht="12" hidden="false" customHeight="false" outlineLevel="0" collapsed="false">
      <c r="A249" s="3" t="n">
        <f aca="false">A248+1</f>
        <v>240</v>
      </c>
      <c r="B249" s="3" t="n">
        <f aca="false">IF(A249&lt;$N$4/3,0.1,(IF(A249&gt;2*$N$4/3,0.05,0.12)))</f>
        <v>0.1</v>
      </c>
      <c r="C249" s="4" t="n">
        <f aca="true">RAND()</f>
        <v>0.958939545904864</v>
      </c>
      <c r="D249" s="0" t="n">
        <f aca="false">IF((C249&gt;$M$2),1,0)</f>
        <v>1</v>
      </c>
      <c r="E249" s="0" t="n">
        <f aca="false">1-D249</f>
        <v>0</v>
      </c>
      <c r="F249" s="0" t="n">
        <f aca="true">RAND()</f>
        <v>0.982327112933437</v>
      </c>
      <c r="G249" s="0" t="n">
        <f aca="false">7.75+F249*10</f>
        <v>17.5732711293344</v>
      </c>
      <c r="H249" s="0" t="n">
        <f aca="false">LOGINV(F249,2.64,1.139)</f>
        <v>153.989249093189</v>
      </c>
      <c r="I249" s="0" t="n">
        <v>19.5</v>
      </c>
      <c r="J249" s="4" t="n">
        <f aca="true">-LN(RAND())/B249</f>
        <v>4.11918876503907</v>
      </c>
      <c r="K249" s="4" t="n">
        <f aca="false">K248+J249</f>
        <v>2441.77659286519</v>
      </c>
      <c r="L249" s="4" t="n">
        <f aca="false">(1/$J$4)*(1+AB248)</f>
        <v>10</v>
      </c>
      <c r="M249" s="4" t="n">
        <f aca="false">L249+MAX(K249,Y$10:Y248)</f>
        <v>2488.67002850573</v>
      </c>
      <c r="N249" s="4" t="n">
        <f aca="false">K249</f>
        <v>2441.77659286519</v>
      </c>
      <c r="O249" s="4" t="n">
        <f aca="false">M249-K249</f>
        <v>46.8934356405389</v>
      </c>
      <c r="P249" s="4" t="n">
        <f aca="false">N249-K249</f>
        <v>0</v>
      </c>
      <c r="Q249" s="4" t="n">
        <f aca="false">A249-MATCH(K249,$M$9:M248,1)</f>
        <v>4</v>
      </c>
      <c r="R249" s="0" t="n">
        <f aca="false">-G249*(O249/3600)</f>
        <v>-0.228908627415884</v>
      </c>
      <c r="S249" s="0" t="n">
        <f aca="false">-1*I249-(H249*(P249/3600))</f>
        <v>-19.5</v>
      </c>
      <c r="T249" s="0" t="n">
        <f aca="false">-H249*(O249/3600)</f>
        <v>-2.00585692824622</v>
      </c>
      <c r="U249" s="0" t="n">
        <f aca="false">T249-S249</f>
        <v>17.4941430717538</v>
      </c>
      <c r="V249" s="0" t="n">
        <f aca="false">1/(1+EXP(U249))</f>
        <v>2.52574898620302E-008</v>
      </c>
      <c r="W249" s="0" t="n">
        <f aca="true">RAND()</f>
        <v>0.12073939076422</v>
      </c>
      <c r="X249" s="0" t="n">
        <f aca="false">IF(W249&lt;V249,1,0)</f>
        <v>0</v>
      </c>
      <c r="Y249" s="0" t="n">
        <f aca="false">(M249*(1-X249)+N249*X249)*D249+M249*E249</f>
        <v>2488.67002850573</v>
      </c>
      <c r="Z249" s="0" t="n">
        <f aca="false">((1-X249)*O249+X249*P249)*D249+E249*O249</f>
        <v>46.8934356405389</v>
      </c>
      <c r="AA249" s="0" t="n">
        <f aca="false">IF(D249*X249&gt;0,AA248,Q249)</f>
        <v>4</v>
      </c>
      <c r="AB249" s="0" t="n">
        <f aca="false">(X249*D249)</f>
        <v>0</v>
      </c>
      <c r="AC249" s="0" t="n">
        <f aca="false">SUM(AB$10:AB248)/K249</f>
        <v>0</v>
      </c>
      <c r="AD249" s="0" t="n">
        <f aca="false">R249*E249+D249*(X249*S249+(1-X249)*T249)</f>
        <v>-2.00585692824622</v>
      </c>
      <c r="AE249" s="0" t="n">
        <f aca="false">Z249</f>
        <v>46.8934356405389</v>
      </c>
      <c r="AF249" s="0" t="n">
        <f aca="false">E249*O249</f>
        <v>0</v>
      </c>
      <c r="AG249" s="0" t="n">
        <f aca="false">((1-X249)*O249+X249*P249)*D249</f>
        <v>46.8934356405389</v>
      </c>
      <c r="AH249" s="0" t="n">
        <f aca="false">D249*(LN(EXP(S249)+EXP(T249)))</f>
        <v>-2.00585690298873</v>
      </c>
      <c r="AJ249" s="0" t="n">
        <f aca="false">$J$5</f>
        <v>10</v>
      </c>
      <c r="AK249" s="4" t="n">
        <f aca="false">AJ249+MAX(K249,AK$10:AK248)</f>
        <v>2488.67002850573</v>
      </c>
      <c r="AL249" s="5" t="n">
        <f aca="false">AK249-K249</f>
        <v>46.8934356405389</v>
      </c>
      <c r="AM249" s="0" t="n">
        <f aca="false">-G249*AL249/3600</f>
        <v>-0.228908627415884</v>
      </c>
      <c r="AN249" s="0" t="n">
        <f aca="false">-H249*AL249/3600</f>
        <v>-2.00585692824622</v>
      </c>
      <c r="AO249" s="0" t="n">
        <f aca="false">AM249*E249+AN249*D249</f>
        <v>-2.00585692824622</v>
      </c>
      <c r="AP249" s="0" t="n">
        <f aca="false">AL249*D249</f>
        <v>46.8934356405389</v>
      </c>
      <c r="AR249" s="0" t="n">
        <f aca="false">AN249*D249</f>
        <v>-2.00585692824622</v>
      </c>
      <c r="AS249" s="0" t="n">
        <f aca="false">AH249-AR249</f>
        <v>2.52574903214509E-008</v>
      </c>
    </row>
    <row r="250" customFormat="false" ht="12" hidden="false" customHeight="false" outlineLevel="0" collapsed="false">
      <c r="A250" s="3" t="n">
        <f aca="false">A249+1</f>
        <v>241</v>
      </c>
      <c r="B250" s="3" t="n">
        <f aca="false">IF(A250&lt;$N$4/3,0.1,(IF(A250&gt;2*$N$4/3,0.05,0.12)))</f>
        <v>0.1</v>
      </c>
      <c r="C250" s="4" t="n">
        <f aca="true">RAND()</f>
        <v>0.387180167891842</v>
      </c>
      <c r="D250" s="0" t="n">
        <f aca="false">IF((C250&gt;$M$2),1,0)</f>
        <v>0</v>
      </c>
      <c r="E250" s="0" t="n">
        <f aca="false">1-D250</f>
        <v>1</v>
      </c>
      <c r="F250" s="0" t="n">
        <f aca="true">RAND()</f>
        <v>0.743640157564442</v>
      </c>
      <c r="G250" s="0" t="n">
        <f aca="false">7.75+F250*10</f>
        <v>15.1864015756444</v>
      </c>
      <c r="H250" s="0" t="n">
        <f aca="false">LOGINV(F250,2.64,1.139)</f>
        <v>29.5356903250701</v>
      </c>
      <c r="I250" s="0" t="n">
        <v>19.5</v>
      </c>
      <c r="J250" s="4" t="n">
        <f aca="true">-LN(RAND())/B250</f>
        <v>13.3310577307751</v>
      </c>
      <c r="K250" s="4" t="n">
        <f aca="false">K249+J250</f>
        <v>2455.10765059596</v>
      </c>
      <c r="L250" s="4" t="n">
        <f aca="false">(1/$J$4)*(1+AB249)</f>
        <v>10</v>
      </c>
      <c r="M250" s="4" t="n">
        <f aca="false">L250+MAX(K250,Y$10:Y249)</f>
        <v>2498.67002850573</v>
      </c>
      <c r="N250" s="4" t="n">
        <f aca="false">K250</f>
        <v>2455.10765059596</v>
      </c>
      <c r="O250" s="4" t="n">
        <f aca="false">M250-K250</f>
        <v>43.5623779097637</v>
      </c>
      <c r="P250" s="4" t="n">
        <f aca="false">N250-K250</f>
        <v>0</v>
      </c>
      <c r="Q250" s="4" t="n">
        <f aca="false">A250-MATCH(K250,$M$9:M249,1)</f>
        <v>4</v>
      </c>
      <c r="R250" s="0" t="n">
        <f aca="false">-G250*(O250/3600)</f>
        <v>-0.18376549014657</v>
      </c>
      <c r="S250" s="0" t="n">
        <f aca="false">-1*I250-(H250*(P250/3600))</f>
        <v>-19.5</v>
      </c>
      <c r="T250" s="0" t="n">
        <f aca="false">-H250*(O250/3600)</f>
        <v>-0.357401362157348</v>
      </c>
      <c r="U250" s="0" t="n">
        <f aca="false">T250-S250</f>
        <v>19.1425986378427</v>
      </c>
      <c r="V250" s="0" t="n">
        <f aca="false">1/(1+EXP(U250))</f>
        <v>4.85819609064484E-009</v>
      </c>
      <c r="W250" s="0" t="n">
        <f aca="true">RAND()</f>
        <v>0.768232465156517</v>
      </c>
      <c r="X250" s="0" t="n">
        <f aca="false">IF(W250&lt;V250,1,0)</f>
        <v>0</v>
      </c>
      <c r="Y250" s="0" t="n">
        <f aca="false">(M250*(1-X250)+N250*X250)*D250+M250*E250</f>
        <v>2498.67002850573</v>
      </c>
      <c r="Z250" s="0" t="n">
        <f aca="false">((1-X250)*O250+X250*P250)*D250+E250*O250</f>
        <v>43.5623779097637</v>
      </c>
      <c r="AA250" s="0" t="n">
        <f aca="false">IF(D250*X250&gt;0,AA249,Q250)</f>
        <v>4</v>
      </c>
      <c r="AB250" s="0" t="n">
        <f aca="false">(X250*D250)</f>
        <v>0</v>
      </c>
      <c r="AC250" s="0" t="n">
        <f aca="false">SUM(AB$10:AB249)/K250</f>
        <v>0</v>
      </c>
      <c r="AD250" s="0" t="n">
        <f aca="false">R250*E250+D250*(X250*S250+(1-X250)*T250)</f>
        <v>-0.18376549014657</v>
      </c>
      <c r="AE250" s="0" t="n">
        <f aca="false">Z250</f>
        <v>43.5623779097637</v>
      </c>
      <c r="AF250" s="0" t="n">
        <f aca="false">E250*O250</f>
        <v>43.5623779097637</v>
      </c>
      <c r="AG250" s="0" t="n">
        <f aca="false">((1-X250)*O250+X250*P250)*D250</f>
        <v>0</v>
      </c>
      <c r="AH250" s="0" t="n">
        <f aca="false">D250*(LN(EXP(S250)+EXP(T250)))</f>
        <v>-0</v>
      </c>
      <c r="AJ250" s="0" t="n">
        <f aca="false">$J$5</f>
        <v>10</v>
      </c>
      <c r="AK250" s="4" t="n">
        <f aca="false">AJ250+MAX(K250,AK$10:AK249)</f>
        <v>2498.67002850573</v>
      </c>
      <c r="AL250" s="5" t="n">
        <f aca="false">AK250-K250</f>
        <v>43.5623779097637</v>
      </c>
      <c r="AM250" s="0" t="n">
        <f aca="false">-G250*AL250/3600</f>
        <v>-0.18376549014657</v>
      </c>
      <c r="AN250" s="0" t="n">
        <f aca="false">-H250*AL250/3600</f>
        <v>-0.357401362157348</v>
      </c>
      <c r="AO250" s="0" t="n">
        <f aca="false">AM250*E250+AN250*D250</f>
        <v>-0.18376549014657</v>
      </c>
      <c r="AP250" s="0" t="n">
        <f aca="false">AL250*D250</f>
        <v>0</v>
      </c>
      <c r="AR250" s="0" t="n">
        <f aca="false">AN250*D250</f>
        <v>-0</v>
      </c>
      <c r="AS250" s="0" t="n">
        <f aca="false">AH250-AR250</f>
        <v>0</v>
      </c>
    </row>
    <row r="251" customFormat="false" ht="12" hidden="false" customHeight="false" outlineLevel="0" collapsed="false">
      <c r="A251" s="3" t="n">
        <f aca="false">A250+1</f>
        <v>242</v>
      </c>
      <c r="B251" s="3" t="n">
        <f aca="false">IF(A251&lt;$N$4/3,0.1,(IF(A251&gt;2*$N$4/3,0.05,0.12)))</f>
        <v>0.1</v>
      </c>
      <c r="C251" s="4" t="n">
        <f aca="true">RAND()</f>
        <v>0.0085921496197974</v>
      </c>
      <c r="D251" s="0" t="n">
        <f aca="false">IF((C251&gt;$M$2),1,0)</f>
        <v>0</v>
      </c>
      <c r="E251" s="0" t="n">
        <f aca="false">1-D251</f>
        <v>1</v>
      </c>
      <c r="F251" s="0" t="n">
        <f aca="true">RAND()</f>
        <v>0.137494627089893</v>
      </c>
      <c r="G251" s="0" t="n">
        <f aca="false">7.75+F251*10</f>
        <v>9.12494627089894</v>
      </c>
      <c r="H251" s="0" t="n">
        <f aca="false">LOGINV(F251,2.64,1.139)</f>
        <v>4.04150265294321</v>
      </c>
      <c r="I251" s="0" t="n">
        <v>19.5</v>
      </c>
      <c r="J251" s="4" t="n">
        <f aca="true">-LN(RAND())/B251</f>
        <v>3.42177440337037</v>
      </c>
      <c r="K251" s="4" t="n">
        <f aca="false">K250+J251</f>
        <v>2458.52942499934</v>
      </c>
      <c r="L251" s="4" t="n">
        <f aca="false">(1/$J$4)*(1+AB250)</f>
        <v>10</v>
      </c>
      <c r="M251" s="4" t="n">
        <f aca="false">L251+MAX(K251,Y$10:Y250)</f>
        <v>2508.67002850573</v>
      </c>
      <c r="N251" s="4" t="n">
        <f aca="false">K251</f>
        <v>2458.52942499934</v>
      </c>
      <c r="O251" s="4" t="n">
        <f aca="false">M251-K251</f>
        <v>50.1406035063933</v>
      </c>
      <c r="P251" s="4" t="n">
        <f aca="false">N251-K251</f>
        <v>0</v>
      </c>
      <c r="Q251" s="4" t="n">
        <f aca="false">A251-MATCH(K251,$M$9:M250,1)</f>
        <v>5</v>
      </c>
      <c r="R251" s="0" t="n">
        <f aca="false">-G251*(O251/3600)</f>
        <v>-0.127091753607302</v>
      </c>
      <c r="S251" s="0" t="n">
        <f aca="false">-1*I251-(H251*(P251/3600))</f>
        <v>-19.5</v>
      </c>
      <c r="T251" s="0" t="n">
        <f aca="false">-H251*(O251/3600)</f>
        <v>-0.0562898283586839</v>
      </c>
      <c r="U251" s="0" t="n">
        <f aca="false">T251-S251</f>
        <v>19.4437101716413</v>
      </c>
      <c r="V251" s="0" t="n">
        <f aca="false">1/(1+EXP(U251))</f>
        <v>3.59504195582549E-009</v>
      </c>
      <c r="W251" s="0" t="n">
        <f aca="true">RAND()</f>
        <v>0.569630012767779</v>
      </c>
      <c r="X251" s="0" t="n">
        <f aca="false">IF(W251&lt;V251,1,0)</f>
        <v>0</v>
      </c>
      <c r="Y251" s="0" t="n">
        <f aca="false">(M251*(1-X251)+N251*X251)*D251+M251*E251</f>
        <v>2508.67002850573</v>
      </c>
      <c r="Z251" s="0" t="n">
        <f aca="false">((1-X251)*O251+X251*P251)*D251+E251*O251</f>
        <v>50.1406035063933</v>
      </c>
      <c r="AA251" s="0" t="n">
        <f aca="false">IF(D251*X251&gt;0,AA250,Q251)</f>
        <v>5</v>
      </c>
      <c r="AB251" s="0" t="n">
        <f aca="false">(X251*D251)</f>
        <v>0</v>
      </c>
      <c r="AC251" s="0" t="n">
        <f aca="false">SUM(AB$10:AB250)/K251</f>
        <v>0</v>
      </c>
      <c r="AD251" s="0" t="n">
        <f aca="false">R251*E251+D251*(X251*S251+(1-X251)*T251)</f>
        <v>-0.127091753607302</v>
      </c>
      <c r="AE251" s="0" t="n">
        <f aca="false">Z251</f>
        <v>50.1406035063933</v>
      </c>
      <c r="AF251" s="0" t="n">
        <f aca="false">E251*O251</f>
        <v>50.1406035063933</v>
      </c>
      <c r="AG251" s="0" t="n">
        <f aca="false">((1-X251)*O251+X251*P251)*D251</f>
        <v>0</v>
      </c>
      <c r="AH251" s="0" t="n">
        <f aca="false">D251*(LN(EXP(S251)+EXP(T251)))</f>
        <v>-0</v>
      </c>
      <c r="AJ251" s="0" t="n">
        <f aca="false">$J$5</f>
        <v>10</v>
      </c>
      <c r="AK251" s="4" t="n">
        <f aca="false">AJ251+MAX(K251,AK$10:AK250)</f>
        <v>2508.67002850573</v>
      </c>
      <c r="AL251" s="5" t="n">
        <f aca="false">AK251-K251</f>
        <v>50.1406035063933</v>
      </c>
      <c r="AM251" s="0" t="n">
        <f aca="false">-G251*AL251/3600</f>
        <v>-0.127091753607302</v>
      </c>
      <c r="AN251" s="0" t="n">
        <f aca="false">-H251*AL251/3600</f>
        <v>-0.0562898283586839</v>
      </c>
      <c r="AO251" s="0" t="n">
        <f aca="false">AM251*E251+AN251*D251</f>
        <v>-0.127091753607302</v>
      </c>
      <c r="AP251" s="0" t="n">
        <f aca="false">AL251*D251</f>
        <v>0</v>
      </c>
      <c r="AR251" s="0" t="n">
        <f aca="false">AN251*D251</f>
        <v>-0</v>
      </c>
      <c r="AS251" s="0" t="n">
        <f aca="false">AH251-AR251</f>
        <v>0</v>
      </c>
    </row>
    <row r="252" customFormat="false" ht="12" hidden="false" customHeight="false" outlineLevel="0" collapsed="false">
      <c r="A252" s="3" t="n">
        <f aca="false">A251+1</f>
        <v>243</v>
      </c>
      <c r="B252" s="3" t="n">
        <f aca="false">IF(A252&lt;$N$4/3,0.1,(IF(A252&gt;2*$N$4/3,0.05,0.12)))</f>
        <v>0.1</v>
      </c>
      <c r="C252" s="4" t="n">
        <f aca="true">RAND()</f>
        <v>0.810994121738508</v>
      </c>
      <c r="D252" s="0" t="n">
        <f aca="false">IF((C252&gt;$M$2),1,0)</f>
        <v>0</v>
      </c>
      <c r="E252" s="0" t="n">
        <f aca="false">1-D252</f>
        <v>1</v>
      </c>
      <c r="F252" s="0" t="n">
        <f aca="true">RAND()</f>
        <v>0.374829441316885</v>
      </c>
      <c r="G252" s="0" t="n">
        <f aca="false">7.75+F252*10</f>
        <v>11.4982944131688</v>
      </c>
      <c r="H252" s="0" t="n">
        <f aca="false">LOGINV(F252,2.64,1.139)</f>
        <v>9.74308122861682</v>
      </c>
      <c r="I252" s="0" t="n">
        <v>19.5</v>
      </c>
      <c r="J252" s="4" t="n">
        <f aca="true">-LN(RAND())/B252</f>
        <v>1.10715303920337</v>
      </c>
      <c r="K252" s="4" t="n">
        <f aca="false">K251+J252</f>
        <v>2459.63657803854</v>
      </c>
      <c r="L252" s="4" t="n">
        <f aca="false">(1/$J$4)*(1+AB251)</f>
        <v>10</v>
      </c>
      <c r="M252" s="4" t="n">
        <f aca="false">L252+MAX(K252,Y$10:Y251)</f>
        <v>2518.67002850573</v>
      </c>
      <c r="N252" s="4" t="n">
        <f aca="false">K252</f>
        <v>2459.63657803854</v>
      </c>
      <c r="O252" s="4" t="n">
        <f aca="false">M252-K252</f>
        <v>59.0334504671901</v>
      </c>
      <c r="P252" s="4" t="n">
        <f aca="false">N252-K252</f>
        <v>0</v>
      </c>
      <c r="Q252" s="4" t="n">
        <f aca="false">A252-MATCH(K252,$M$9:M251,1)</f>
        <v>5</v>
      </c>
      <c r="R252" s="0" t="n">
        <f aca="false">-G252*(O252/3600)</f>
        <v>-0.18855110936027</v>
      </c>
      <c r="S252" s="0" t="n">
        <f aca="false">-1*I252-(H252*(P252/3600))</f>
        <v>-19.5</v>
      </c>
      <c r="T252" s="0" t="n">
        <f aca="false">-H252*(O252/3600)</f>
        <v>-0.159768806418711</v>
      </c>
      <c r="U252" s="0" t="n">
        <f aca="false">T252-S252</f>
        <v>19.3402311935813</v>
      </c>
      <c r="V252" s="0" t="n">
        <f aca="false">1/(1+EXP(U252))</f>
        <v>3.98698234153207E-009</v>
      </c>
      <c r="W252" s="0" t="n">
        <f aca="true">RAND()</f>
        <v>0.139190780091976</v>
      </c>
      <c r="X252" s="0" t="n">
        <f aca="false">IF(W252&lt;V252,1,0)</f>
        <v>0</v>
      </c>
      <c r="Y252" s="0" t="n">
        <f aca="false">(M252*(1-X252)+N252*X252)*D252+M252*E252</f>
        <v>2518.67002850573</v>
      </c>
      <c r="Z252" s="0" t="n">
        <f aca="false">((1-X252)*O252+X252*P252)*D252+E252*O252</f>
        <v>59.0334504671901</v>
      </c>
      <c r="AA252" s="0" t="n">
        <f aca="false">IF(D252*X252&gt;0,AA251,Q252)</f>
        <v>5</v>
      </c>
      <c r="AB252" s="0" t="n">
        <f aca="false">(X252*D252)</f>
        <v>0</v>
      </c>
      <c r="AC252" s="0" t="n">
        <f aca="false">SUM(AB$10:AB251)/K252</f>
        <v>0</v>
      </c>
      <c r="AD252" s="0" t="n">
        <f aca="false">R252*E252+D252*(X252*S252+(1-X252)*T252)</f>
        <v>-0.18855110936027</v>
      </c>
      <c r="AE252" s="0" t="n">
        <f aca="false">Z252</f>
        <v>59.0334504671901</v>
      </c>
      <c r="AF252" s="0" t="n">
        <f aca="false">E252*O252</f>
        <v>59.0334504671901</v>
      </c>
      <c r="AG252" s="0" t="n">
        <f aca="false">((1-X252)*O252+X252*P252)*D252</f>
        <v>0</v>
      </c>
      <c r="AH252" s="0" t="n">
        <f aca="false">D252*(LN(EXP(S252)+EXP(T252)))</f>
        <v>-0</v>
      </c>
      <c r="AJ252" s="0" t="n">
        <f aca="false">$J$5</f>
        <v>10</v>
      </c>
      <c r="AK252" s="4" t="n">
        <f aca="false">AJ252+MAX(K252,AK$10:AK251)</f>
        <v>2518.67002850573</v>
      </c>
      <c r="AL252" s="5" t="n">
        <f aca="false">AK252-K252</f>
        <v>59.0334504671901</v>
      </c>
      <c r="AM252" s="0" t="n">
        <f aca="false">-G252*AL252/3600</f>
        <v>-0.18855110936027</v>
      </c>
      <c r="AN252" s="0" t="n">
        <f aca="false">-H252*AL252/3600</f>
        <v>-0.159768806418711</v>
      </c>
      <c r="AO252" s="0" t="n">
        <f aca="false">AM252*E252+AN252*D252</f>
        <v>-0.18855110936027</v>
      </c>
      <c r="AP252" s="0" t="n">
        <f aca="false">AL252*D252</f>
        <v>0</v>
      </c>
      <c r="AR252" s="0" t="n">
        <f aca="false">AN252*D252</f>
        <v>-0</v>
      </c>
      <c r="AS252" s="0" t="n">
        <f aca="false">AH252-AR252</f>
        <v>0</v>
      </c>
    </row>
    <row r="253" customFormat="false" ht="12" hidden="false" customHeight="false" outlineLevel="0" collapsed="false">
      <c r="A253" s="3" t="n">
        <f aca="false">A252+1</f>
        <v>244</v>
      </c>
      <c r="B253" s="3" t="n">
        <f aca="false">IF(A253&lt;$N$4/3,0.1,(IF(A253&gt;2*$N$4/3,0.05,0.12)))</f>
        <v>0.1</v>
      </c>
      <c r="C253" s="4" t="n">
        <f aca="true">RAND()</f>
        <v>0.342485003985311</v>
      </c>
      <c r="D253" s="0" t="n">
        <f aca="false">IF((C253&gt;$M$2),1,0)</f>
        <v>0</v>
      </c>
      <c r="E253" s="0" t="n">
        <f aca="false">1-D253</f>
        <v>1</v>
      </c>
      <c r="F253" s="0" t="n">
        <f aca="true">RAND()</f>
        <v>0.841748167286065</v>
      </c>
      <c r="G253" s="0" t="n">
        <f aca="false">7.75+F253*10</f>
        <v>16.1674816728606</v>
      </c>
      <c r="H253" s="0" t="n">
        <f aca="false">LOGINV(F253,2.64,1.139)</f>
        <v>43.8555185863658</v>
      </c>
      <c r="I253" s="0" t="n">
        <v>19.5</v>
      </c>
      <c r="J253" s="4" t="n">
        <f aca="true">-LN(RAND())/B253</f>
        <v>3.50046893593996</v>
      </c>
      <c r="K253" s="4" t="n">
        <f aca="false">K252+J253</f>
        <v>2463.13704697448</v>
      </c>
      <c r="L253" s="4" t="n">
        <f aca="false">(1/$J$4)*(1+AB252)</f>
        <v>10</v>
      </c>
      <c r="M253" s="4" t="n">
        <f aca="false">L253+MAX(K253,Y$10:Y252)</f>
        <v>2528.67002850573</v>
      </c>
      <c r="N253" s="4" t="n">
        <f aca="false">K253</f>
        <v>2463.13704697448</v>
      </c>
      <c r="O253" s="4" t="n">
        <f aca="false">M253-K253</f>
        <v>65.5329815312502</v>
      </c>
      <c r="P253" s="4" t="n">
        <f aca="false">N253-K253</f>
        <v>0</v>
      </c>
      <c r="Q253" s="4" t="n">
        <f aca="false">A253-MATCH(K253,$M$9:M252,1)</f>
        <v>6</v>
      </c>
      <c r="R253" s="0" t="n">
        <f aca="false">-G253*(O253/3600)</f>
        <v>-0.294306466076223</v>
      </c>
      <c r="S253" s="0" t="n">
        <f aca="false">-1*I253-(H253*(P253/3600))</f>
        <v>-19.5</v>
      </c>
      <c r="T253" s="0" t="n">
        <f aca="false">-H253*(O253/3600)</f>
        <v>-0.798328580434365</v>
      </c>
      <c r="U253" s="0" t="n">
        <f aca="false">T253-S253</f>
        <v>18.7016714195656</v>
      </c>
      <c r="V253" s="0" t="n">
        <f aca="false">1/(1+EXP(U253))</f>
        <v>7.55035369988439E-009</v>
      </c>
      <c r="W253" s="0" t="n">
        <f aca="true">RAND()</f>
        <v>0.557664459277945</v>
      </c>
      <c r="X253" s="0" t="n">
        <f aca="false">IF(W253&lt;V253,1,0)</f>
        <v>0</v>
      </c>
      <c r="Y253" s="0" t="n">
        <f aca="false">(M253*(1-X253)+N253*X253)*D253+M253*E253</f>
        <v>2528.67002850573</v>
      </c>
      <c r="Z253" s="0" t="n">
        <f aca="false">((1-X253)*O253+X253*P253)*D253+E253*O253</f>
        <v>65.5329815312502</v>
      </c>
      <c r="AA253" s="0" t="n">
        <f aca="false">IF(D253*X253&gt;0,AA252,Q253)</f>
        <v>6</v>
      </c>
      <c r="AB253" s="0" t="n">
        <f aca="false">(X253*D253)</f>
        <v>0</v>
      </c>
      <c r="AC253" s="0" t="n">
        <f aca="false">SUM(AB$10:AB252)/K253</f>
        <v>0</v>
      </c>
      <c r="AD253" s="0" t="n">
        <f aca="false">R253*E253+D253*(X253*S253+(1-X253)*T253)</f>
        <v>-0.294306466076223</v>
      </c>
      <c r="AE253" s="0" t="n">
        <f aca="false">Z253</f>
        <v>65.5329815312502</v>
      </c>
      <c r="AF253" s="0" t="n">
        <f aca="false">E253*O253</f>
        <v>65.5329815312502</v>
      </c>
      <c r="AG253" s="0" t="n">
        <f aca="false">((1-X253)*O253+X253*P253)*D253</f>
        <v>0</v>
      </c>
      <c r="AH253" s="0" t="n">
        <f aca="false">D253*(LN(EXP(S253)+EXP(T253)))</f>
        <v>-0</v>
      </c>
      <c r="AJ253" s="0" t="n">
        <f aca="false">$J$5</f>
        <v>10</v>
      </c>
      <c r="AK253" s="4" t="n">
        <f aca="false">AJ253+MAX(K253,AK$10:AK252)</f>
        <v>2528.67002850573</v>
      </c>
      <c r="AL253" s="5" t="n">
        <f aca="false">AK253-K253</f>
        <v>65.5329815312502</v>
      </c>
      <c r="AM253" s="0" t="n">
        <f aca="false">-G253*AL253/3600</f>
        <v>-0.294306466076223</v>
      </c>
      <c r="AN253" s="0" t="n">
        <f aca="false">-H253*AL253/3600</f>
        <v>-0.798328580434365</v>
      </c>
      <c r="AO253" s="0" t="n">
        <f aca="false">AM253*E253+AN253*D253</f>
        <v>-0.294306466076223</v>
      </c>
      <c r="AP253" s="0" t="n">
        <f aca="false">AL253*D253</f>
        <v>0</v>
      </c>
      <c r="AR253" s="0" t="n">
        <f aca="false">AN253*D253</f>
        <v>-0</v>
      </c>
      <c r="AS253" s="0" t="n">
        <f aca="false">AH253-AR253</f>
        <v>0</v>
      </c>
    </row>
    <row r="254" customFormat="false" ht="12" hidden="false" customHeight="false" outlineLevel="0" collapsed="false">
      <c r="A254" s="3" t="n">
        <f aca="false">A253+1</f>
        <v>245</v>
      </c>
      <c r="B254" s="3" t="n">
        <f aca="false">IF(A254&lt;$N$4/3,0.1,(IF(A254&gt;2*$N$4/3,0.05,0.12)))</f>
        <v>0.1</v>
      </c>
      <c r="C254" s="4" t="n">
        <f aca="true">RAND()</f>
        <v>0.770345052730986</v>
      </c>
      <c r="D254" s="0" t="n">
        <f aca="false">IF((C254&gt;$M$2),1,0)</f>
        <v>0</v>
      </c>
      <c r="E254" s="0" t="n">
        <f aca="false">1-D254</f>
        <v>1</v>
      </c>
      <c r="F254" s="0" t="n">
        <f aca="true">RAND()</f>
        <v>0.682943125333429</v>
      </c>
      <c r="G254" s="0" t="n">
        <f aca="false">7.75+F254*10</f>
        <v>14.5794312533343</v>
      </c>
      <c r="H254" s="0" t="n">
        <f aca="false">LOGINV(F254,2.64,1.139)</f>
        <v>24.0973302235122</v>
      </c>
      <c r="I254" s="0" t="n">
        <v>19.5</v>
      </c>
      <c r="J254" s="4" t="n">
        <f aca="true">-LN(RAND())/B254</f>
        <v>9.31257067992813</v>
      </c>
      <c r="K254" s="4" t="n">
        <f aca="false">K253+J254</f>
        <v>2472.44961765441</v>
      </c>
      <c r="L254" s="4" t="n">
        <f aca="false">(1/$J$4)*(1+AB253)</f>
        <v>10</v>
      </c>
      <c r="M254" s="4" t="n">
        <f aca="false">L254+MAX(K254,Y$10:Y253)</f>
        <v>2538.67002850573</v>
      </c>
      <c r="N254" s="4" t="n">
        <f aca="false">K254</f>
        <v>2472.44961765441</v>
      </c>
      <c r="O254" s="4" t="n">
        <f aca="false">M254-K254</f>
        <v>66.220410851322</v>
      </c>
      <c r="P254" s="4" t="n">
        <f aca="false">N254-K254</f>
        <v>0</v>
      </c>
      <c r="Q254" s="4" t="n">
        <f aca="false">A254-MATCH(K254,$M$9:M253,1)</f>
        <v>6</v>
      </c>
      <c r="R254" s="0" t="n">
        <f aca="false">-G254*(O254/3600)</f>
        <v>-0.268182202104</v>
      </c>
      <c r="S254" s="0" t="n">
        <f aca="false">-1*I254-(H254*(P254/3600))</f>
        <v>-19.5</v>
      </c>
      <c r="T254" s="0" t="n">
        <f aca="false">-H254*(O254/3600)</f>
        <v>-0.443259752172487</v>
      </c>
      <c r="U254" s="0" t="n">
        <f aca="false">T254-S254</f>
        <v>19.0567402478275</v>
      </c>
      <c r="V254" s="0" t="n">
        <f aca="false">1/(1+EXP(U254))</f>
        <v>5.29374314145862E-009</v>
      </c>
      <c r="W254" s="0" t="n">
        <f aca="true">RAND()</f>
        <v>0.800895656043514</v>
      </c>
      <c r="X254" s="0" t="n">
        <f aca="false">IF(W254&lt;V254,1,0)</f>
        <v>0</v>
      </c>
      <c r="Y254" s="0" t="n">
        <f aca="false">(M254*(1-X254)+N254*X254)*D254+M254*E254</f>
        <v>2538.67002850573</v>
      </c>
      <c r="Z254" s="0" t="n">
        <f aca="false">((1-X254)*O254+X254*P254)*D254+E254*O254</f>
        <v>66.220410851322</v>
      </c>
      <c r="AA254" s="0" t="n">
        <f aca="false">IF(D254*X254&gt;0,AA253,Q254)</f>
        <v>6</v>
      </c>
      <c r="AB254" s="0" t="n">
        <f aca="false">(X254*D254)</f>
        <v>0</v>
      </c>
      <c r="AC254" s="0" t="n">
        <f aca="false">SUM(AB$10:AB253)/K254</f>
        <v>0</v>
      </c>
      <c r="AD254" s="0" t="n">
        <f aca="false">R254*E254+D254*(X254*S254+(1-X254)*T254)</f>
        <v>-0.268182202104</v>
      </c>
      <c r="AE254" s="0" t="n">
        <f aca="false">Z254</f>
        <v>66.220410851322</v>
      </c>
      <c r="AF254" s="0" t="n">
        <f aca="false">E254*O254</f>
        <v>66.220410851322</v>
      </c>
      <c r="AG254" s="0" t="n">
        <f aca="false">((1-X254)*O254+X254*P254)*D254</f>
        <v>0</v>
      </c>
      <c r="AH254" s="0" t="n">
        <f aca="false">D254*(LN(EXP(S254)+EXP(T254)))</f>
        <v>-0</v>
      </c>
      <c r="AJ254" s="0" t="n">
        <f aca="false">$J$5</f>
        <v>10</v>
      </c>
      <c r="AK254" s="4" t="n">
        <f aca="false">AJ254+MAX(K254,AK$10:AK253)</f>
        <v>2538.67002850573</v>
      </c>
      <c r="AL254" s="5" t="n">
        <f aca="false">AK254-K254</f>
        <v>66.220410851322</v>
      </c>
      <c r="AM254" s="0" t="n">
        <f aca="false">-G254*AL254/3600</f>
        <v>-0.268182202104</v>
      </c>
      <c r="AN254" s="0" t="n">
        <f aca="false">-H254*AL254/3600</f>
        <v>-0.443259752172487</v>
      </c>
      <c r="AO254" s="0" t="n">
        <f aca="false">AM254*E254+AN254*D254</f>
        <v>-0.268182202104</v>
      </c>
      <c r="AP254" s="0" t="n">
        <f aca="false">AL254*D254</f>
        <v>0</v>
      </c>
      <c r="AR254" s="0" t="n">
        <f aca="false">AN254*D254</f>
        <v>-0</v>
      </c>
      <c r="AS254" s="0" t="n">
        <f aca="false">AH254-AR254</f>
        <v>0</v>
      </c>
    </row>
    <row r="255" customFormat="false" ht="12" hidden="false" customHeight="false" outlineLevel="0" collapsed="false">
      <c r="A255" s="3" t="n">
        <f aca="false">A254+1</f>
        <v>246</v>
      </c>
      <c r="B255" s="3" t="n">
        <f aca="false">IF(A255&lt;$N$4/3,0.1,(IF(A255&gt;2*$N$4/3,0.05,0.12)))</f>
        <v>0.1</v>
      </c>
      <c r="C255" s="4" t="n">
        <f aca="true">RAND()</f>
        <v>0.47934650329735</v>
      </c>
      <c r="D255" s="0" t="n">
        <f aca="false">IF((C255&gt;$M$2),1,0)</f>
        <v>0</v>
      </c>
      <c r="E255" s="0" t="n">
        <f aca="false">1-D255</f>
        <v>1</v>
      </c>
      <c r="F255" s="0" t="n">
        <f aca="true">RAND()</f>
        <v>0.810252856592663</v>
      </c>
      <c r="G255" s="0" t="n">
        <f aca="false">7.75+F255*10</f>
        <v>15.8525285659266</v>
      </c>
      <c r="H255" s="0" t="n">
        <f aca="false">LOGINV(F255,2.64,1.139)</f>
        <v>38.1293996203321</v>
      </c>
      <c r="I255" s="0" t="n">
        <v>19.5</v>
      </c>
      <c r="J255" s="4" t="n">
        <f aca="true">-LN(RAND())/B255</f>
        <v>2.97137459435149</v>
      </c>
      <c r="K255" s="4" t="n">
        <f aca="false">K254+J255</f>
        <v>2475.42099224876</v>
      </c>
      <c r="L255" s="4" t="n">
        <f aca="false">(1/$J$4)*(1+AB254)</f>
        <v>10</v>
      </c>
      <c r="M255" s="4" t="n">
        <f aca="false">L255+MAX(K255,Y$10:Y254)</f>
        <v>2548.67002850573</v>
      </c>
      <c r="N255" s="4" t="n">
        <f aca="false">K255</f>
        <v>2475.42099224876</v>
      </c>
      <c r="O255" s="4" t="n">
        <f aca="false">M255-K255</f>
        <v>73.2490362569706</v>
      </c>
      <c r="P255" s="4" t="n">
        <f aca="false">N255-K255</f>
        <v>0</v>
      </c>
      <c r="Q255" s="4" t="n">
        <f aca="false">A255-MATCH(K255,$M$9:M254,1)</f>
        <v>7</v>
      </c>
      <c r="R255" s="0" t="n">
        <f aca="false">-G255*(O255/3600)</f>
        <v>-0.322550677691728</v>
      </c>
      <c r="S255" s="0" t="n">
        <f aca="false">-1*I255-(H255*(P255/3600))</f>
        <v>-19.5</v>
      </c>
      <c r="T255" s="0" t="n">
        <f aca="false">-H255*(O255/3600)</f>
        <v>-0.77581715979062</v>
      </c>
      <c r="U255" s="0" t="n">
        <f aca="false">T255-S255</f>
        <v>18.7241828402094</v>
      </c>
      <c r="V255" s="0" t="n">
        <f aca="false">1/(1+EXP(U255))</f>
        <v>7.38228336164027E-009</v>
      </c>
      <c r="W255" s="0" t="n">
        <f aca="true">RAND()</f>
        <v>0.779222104328874</v>
      </c>
      <c r="X255" s="0" t="n">
        <f aca="false">IF(W255&lt;V255,1,0)</f>
        <v>0</v>
      </c>
      <c r="Y255" s="0" t="n">
        <f aca="false">(M255*(1-X255)+N255*X255)*D255+M255*E255</f>
        <v>2548.67002850573</v>
      </c>
      <c r="Z255" s="0" t="n">
        <f aca="false">((1-X255)*O255+X255*P255)*D255+E255*O255</f>
        <v>73.2490362569706</v>
      </c>
      <c r="AA255" s="0" t="n">
        <f aca="false">IF(D255*X255&gt;0,AA254,Q255)</f>
        <v>7</v>
      </c>
      <c r="AB255" s="0" t="n">
        <f aca="false">(X255*D255)</f>
        <v>0</v>
      </c>
      <c r="AC255" s="0" t="n">
        <f aca="false">SUM(AB$10:AB254)/K255</f>
        <v>0</v>
      </c>
      <c r="AD255" s="0" t="n">
        <f aca="false">R255*E255+D255*(X255*S255+(1-X255)*T255)</f>
        <v>-0.322550677691728</v>
      </c>
      <c r="AE255" s="0" t="n">
        <f aca="false">Z255</f>
        <v>73.2490362569706</v>
      </c>
      <c r="AF255" s="0" t="n">
        <f aca="false">E255*O255</f>
        <v>73.2490362569706</v>
      </c>
      <c r="AG255" s="0" t="n">
        <f aca="false">((1-X255)*O255+X255*P255)*D255</f>
        <v>0</v>
      </c>
      <c r="AH255" s="0" t="n">
        <f aca="false">D255*(LN(EXP(S255)+EXP(T255)))</f>
        <v>-0</v>
      </c>
      <c r="AJ255" s="0" t="n">
        <f aca="false">$J$5</f>
        <v>10</v>
      </c>
      <c r="AK255" s="4" t="n">
        <f aca="false">AJ255+MAX(K255,AK$10:AK254)</f>
        <v>2548.67002850573</v>
      </c>
      <c r="AL255" s="5" t="n">
        <f aca="false">AK255-K255</f>
        <v>73.2490362569706</v>
      </c>
      <c r="AM255" s="0" t="n">
        <f aca="false">-G255*AL255/3600</f>
        <v>-0.322550677691728</v>
      </c>
      <c r="AN255" s="0" t="n">
        <f aca="false">-H255*AL255/3600</f>
        <v>-0.77581715979062</v>
      </c>
      <c r="AO255" s="0" t="n">
        <f aca="false">AM255*E255+AN255*D255</f>
        <v>-0.322550677691728</v>
      </c>
      <c r="AP255" s="0" t="n">
        <f aca="false">AL255*D255</f>
        <v>0</v>
      </c>
      <c r="AR255" s="0" t="n">
        <f aca="false">AN255*D255</f>
        <v>-0</v>
      </c>
      <c r="AS255" s="0" t="n">
        <f aca="false">AH255-AR255</f>
        <v>0</v>
      </c>
    </row>
    <row r="256" customFormat="false" ht="12" hidden="false" customHeight="false" outlineLevel="0" collapsed="false">
      <c r="A256" s="3" t="n">
        <f aca="false">A255+1</f>
        <v>247</v>
      </c>
      <c r="B256" s="3" t="n">
        <f aca="false">IF(A256&lt;$N$4/3,0.1,(IF(A256&gt;2*$N$4/3,0.05,0.12)))</f>
        <v>0.1</v>
      </c>
      <c r="C256" s="4" t="n">
        <f aca="true">RAND()</f>
        <v>0.875298933718131</v>
      </c>
      <c r="D256" s="0" t="n">
        <f aca="false">IF((C256&gt;$M$2),1,0)</f>
        <v>0</v>
      </c>
      <c r="E256" s="0" t="n">
        <f aca="false">1-D256</f>
        <v>1</v>
      </c>
      <c r="F256" s="0" t="n">
        <f aca="true">RAND()</f>
        <v>0.198921686152594</v>
      </c>
      <c r="G256" s="0" t="n">
        <f aca="false">7.75+F256*10</f>
        <v>9.73921686152595</v>
      </c>
      <c r="H256" s="0" t="n">
        <f aca="false">LOGINV(F256,2.64,1.139)</f>
        <v>5.34947943758627</v>
      </c>
      <c r="I256" s="0" t="n">
        <v>19.5</v>
      </c>
      <c r="J256" s="4" t="n">
        <f aca="true">-LN(RAND())/B256</f>
        <v>3.7460281821084</v>
      </c>
      <c r="K256" s="4" t="n">
        <f aca="false">K255+J256</f>
        <v>2479.16702043087</v>
      </c>
      <c r="L256" s="4" t="n">
        <f aca="false">(1/$J$4)*(1+AB255)</f>
        <v>10</v>
      </c>
      <c r="M256" s="4" t="n">
        <f aca="false">L256+MAX(K256,Y$10:Y255)</f>
        <v>2558.67002850573</v>
      </c>
      <c r="N256" s="4" t="n">
        <f aca="false">K256</f>
        <v>2479.16702043087</v>
      </c>
      <c r="O256" s="4" t="n">
        <f aca="false">M256-K256</f>
        <v>79.503008074862</v>
      </c>
      <c r="P256" s="4" t="n">
        <f aca="false">N256-K256</f>
        <v>0</v>
      </c>
      <c r="Q256" s="4" t="n">
        <f aca="false">A256-MATCH(K256,$M$9:M255,1)</f>
        <v>7</v>
      </c>
      <c r="R256" s="0" t="n">
        <f aca="false">-G256*(O256/3600)</f>
        <v>-0.21508251021798</v>
      </c>
      <c r="S256" s="0" t="n">
        <f aca="false">-1*I256-(H256*(P256/3600))</f>
        <v>-19.5</v>
      </c>
      <c r="T256" s="0" t="n">
        <f aca="false">-H256*(O256/3600)</f>
        <v>-0.118138807478536</v>
      </c>
      <c r="U256" s="0" t="n">
        <f aca="false">T256-S256</f>
        <v>19.3818611925215</v>
      </c>
      <c r="V256" s="0" t="n">
        <f aca="false">1/(1+EXP(U256))</f>
        <v>3.82441165820929E-009</v>
      </c>
      <c r="W256" s="0" t="n">
        <f aca="true">RAND()</f>
        <v>0.110743484443225</v>
      </c>
      <c r="X256" s="0" t="n">
        <f aca="false">IF(W256&lt;V256,1,0)</f>
        <v>0</v>
      </c>
      <c r="Y256" s="0" t="n">
        <f aca="false">(M256*(1-X256)+N256*X256)*D256+M256*E256</f>
        <v>2558.67002850573</v>
      </c>
      <c r="Z256" s="0" t="n">
        <f aca="false">((1-X256)*O256+X256*P256)*D256+E256*O256</f>
        <v>79.503008074862</v>
      </c>
      <c r="AA256" s="0" t="n">
        <f aca="false">IF(D256*X256&gt;0,AA255,Q256)</f>
        <v>7</v>
      </c>
      <c r="AB256" s="0" t="n">
        <f aca="false">(X256*D256)</f>
        <v>0</v>
      </c>
      <c r="AC256" s="0" t="n">
        <f aca="false">SUM(AB$10:AB255)/K256</f>
        <v>0</v>
      </c>
      <c r="AD256" s="0" t="n">
        <f aca="false">R256*E256+D256*(X256*S256+(1-X256)*T256)</f>
        <v>-0.21508251021798</v>
      </c>
      <c r="AE256" s="0" t="n">
        <f aca="false">Z256</f>
        <v>79.503008074862</v>
      </c>
      <c r="AF256" s="0" t="n">
        <f aca="false">E256*O256</f>
        <v>79.503008074862</v>
      </c>
      <c r="AG256" s="0" t="n">
        <f aca="false">((1-X256)*O256+X256*P256)*D256</f>
        <v>0</v>
      </c>
      <c r="AH256" s="0" t="n">
        <f aca="false">D256*(LN(EXP(S256)+EXP(T256)))</f>
        <v>-0</v>
      </c>
      <c r="AJ256" s="0" t="n">
        <f aca="false">$J$5</f>
        <v>10</v>
      </c>
      <c r="AK256" s="4" t="n">
        <f aca="false">AJ256+MAX(K256,AK$10:AK255)</f>
        <v>2558.67002850573</v>
      </c>
      <c r="AL256" s="5" t="n">
        <f aca="false">AK256-K256</f>
        <v>79.503008074862</v>
      </c>
      <c r="AM256" s="0" t="n">
        <f aca="false">-G256*AL256/3600</f>
        <v>-0.21508251021798</v>
      </c>
      <c r="AN256" s="0" t="n">
        <f aca="false">-H256*AL256/3600</f>
        <v>-0.118138807478536</v>
      </c>
      <c r="AO256" s="0" t="n">
        <f aca="false">AM256*E256+AN256*D256</f>
        <v>-0.21508251021798</v>
      </c>
      <c r="AP256" s="0" t="n">
        <f aca="false">AL256*D256</f>
        <v>0</v>
      </c>
      <c r="AR256" s="0" t="n">
        <f aca="false">AN256*D256</f>
        <v>-0</v>
      </c>
      <c r="AS256" s="0" t="n">
        <f aca="false">AH256-AR256</f>
        <v>0</v>
      </c>
    </row>
    <row r="257" customFormat="false" ht="12" hidden="false" customHeight="false" outlineLevel="0" collapsed="false">
      <c r="A257" s="3" t="n">
        <f aca="false">A256+1</f>
        <v>248</v>
      </c>
      <c r="B257" s="3" t="n">
        <f aca="false">IF(A257&lt;$N$4/3,0.1,(IF(A257&gt;2*$N$4/3,0.05,0.12)))</f>
        <v>0.1</v>
      </c>
      <c r="C257" s="4" t="n">
        <f aca="true">RAND()</f>
        <v>0.635979388592851</v>
      </c>
      <c r="D257" s="0" t="n">
        <f aca="false">IF((C257&gt;$M$2),1,0)</f>
        <v>0</v>
      </c>
      <c r="E257" s="0" t="n">
        <f aca="false">1-D257</f>
        <v>1</v>
      </c>
      <c r="F257" s="0" t="n">
        <f aca="true">RAND()</f>
        <v>0.430456072785993</v>
      </c>
      <c r="G257" s="0" t="n">
        <f aca="false">7.75+F257*10</f>
        <v>12.0545607278599</v>
      </c>
      <c r="H257" s="0" t="n">
        <f aca="false">LOGINV(F257,2.64,1.139)</f>
        <v>11.4780006106466</v>
      </c>
      <c r="I257" s="0" t="n">
        <v>19.5</v>
      </c>
      <c r="J257" s="4" t="n">
        <f aca="true">-LN(RAND())/B257</f>
        <v>2.12757286293523</v>
      </c>
      <c r="K257" s="4" t="n">
        <f aca="false">K256+J257</f>
        <v>2481.2945932938</v>
      </c>
      <c r="L257" s="4" t="n">
        <f aca="false">(1/$J$4)*(1+AB256)</f>
        <v>10</v>
      </c>
      <c r="M257" s="4" t="n">
        <f aca="false">L257+MAX(K257,Y$10:Y256)</f>
        <v>2568.67002850573</v>
      </c>
      <c r="N257" s="4" t="n">
        <f aca="false">K257</f>
        <v>2481.2945932938</v>
      </c>
      <c r="O257" s="4" t="n">
        <f aca="false">M257-K257</f>
        <v>87.3754352119267</v>
      </c>
      <c r="P257" s="4" t="n">
        <f aca="false">N257-K257</f>
        <v>0</v>
      </c>
      <c r="Q257" s="4" t="n">
        <f aca="false">A257-MATCH(K257,$M$9:M256,1)</f>
        <v>8</v>
      </c>
      <c r="R257" s="0" t="n">
        <f aca="false">-G257*(O257/3600)</f>
        <v>-0.292575691634823</v>
      </c>
      <c r="S257" s="0" t="n">
        <f aca="false">-1*I257-(H257*(P257/3600))</f>
        <v>-19.5</v>
      </c>
      <c r="T257" s="0" t="n">
        <f aca="false">-H257*(O257/3600)</f>
        <v>-0.278582027421669</v>
      </c>
      <c r="U257" s="0" t="n">
        <f aca="false">T257-S257</f>
        <v>19.2214179725783</v>
      </c>
      <c r="V257" s="0" t="n">
        <f aca="false">1/(1+EXP(U257))</f>
        <v>4.48997826002911E-009</v>
      </c>
      <c r="W257" s="0" t="n">
        <f aca="true">RAND()</f>
        <v>0.754296101098393</v>
      </c>
      <c r="X257" s="0" t="n">
        <f aca="false">IF(W257&lt;V257,1,0)</f>
        <v>0</v>
      </c>
      <c r="Y257" s="0" t="n">
        <f aca="false">(M257*(1-X257)+N257*X257)*D257+M257*E257</f>
        <v>2568.67002850573</v>
      </c>
      <c r="Z257" s="0" t="n">
        <f aca="false">((1-X257)*O257+X257*P257)*D257+E257*O257</f>
        <v>87.3754352119267</v>
      </c>
      <c r="AA257" s="0" t="n">
        <f aca="false">IF(D257*X257&gt;0,AA256,Q257)</f>
        <v>8</v>
      </c>
      <c r="AB257" s="0" t="n">
        <f aca="false">(X257*D257)</f>
        <v>0</v>
      </c>
      <c r="AC257" s="0" t="n">
        <f aca="false">SUM(AB$10:AB256)/K257</f>
        <v>0</v>
      </c>
      <c r="AD257" s="0" t="n">
        <f aca="false">R257*E257+D257*(X257*S257+(1-X257)*T257)</f>
        <v>-0.292575691634823</v>
      </c>
      <c r="AE257" s="0" t="n">
        <f aca="false">Z257</f>
        <v>87.3754352119267</v>
      </c>
      <c r="AF257" s="0" t="n">
        <f aca="false">E257*O257</f>
        <v>87.3754352119267</v>
      </c>
      <c r="AG257" s="0" t="n">
        <f aca="false">((1-X257)*O257+X257*P257)*D257</f>
        <v>0</v>
      </c>
      <c r="AH257" s="0" t="n">
        <f aca="false">D257*(LN(EXP(S257)+EXP(T257)))</f>
        <v>-0</v>
      </c>
      <c r="AJ257" s="0" t="n">
        <f aca="false">$J$5</f>
        <v>10</v>
      </c>
      <c r="AK257" s="4" t="n">
        <f aca="false">AJ257+MAX(K257,AK$10:AK256)</f>
        <v>2568.67002850573</v>
      </c>
      <c r="AL257" s="5" t="n">
        <f aca="false">AK257-K257</f>
        <v>87.3754352119267</v>
      </c>
      <c r="AM257" s="0" t="n">
        <f aca="false">-G257*AL257/3600</f>
        <v>-0.292575691634823</v>
      </c>
      <c r="AN257" s="0" t="n">
        <f aca="false">-H257*AL257/3600</f>
        <v>-0.278582027421669</v>
      </c>
      <c r="AO257" s="0" t="n">
        <f aca="false">AM257*E257+AN257*D257</f>
        <v>-0.292575691634823</v>
      </c>
      <c r="AP257" s="0" t="n">
        <f aca="false">AL257*D257</f>
        <v>0</v>
      </c>
      <c r="AR257" s="0" t="n">
        <f aca="false">AN257*D257</f>
        <v>-0</v>
      </c>
      <c r="AS257" s="0" t="n">
        <f aca="false">AH257-AR257</f>
        <v>0</v>
      </c>
    </row>
    <row r="258" customFormat="false" ht="12" hidden="false" customHeight="false" outlineLevel="0" collapsed="false">
      <c r="A258" s="3" t="n">
        <f aca="false">A257+1</f>
        <v>249</v>
      </c>
      <c r="B258" s="3" t="n">
        <f aca="false">IF(A258&lt;$N$4/3,0.1,(IF(A258&gt;2*$N$4/3,0.05,0.12)))</f>
        <v>0.1</v>
      </c>
      <c r="C258" s="4" t="n">
        <f aca="true">RAND()</f>
        <v>0.92498471642112</v>
      </c>
      <c r="D258" s="0" t="n">
        <f aca="false">IF((C258&gt;$M$2),1,0)</f>
        <v>1</v>
      </c>
      <c r="E258" s="0" t="n">
        <f aca="false">1-D258</f>
        <v>0</v>
      </c>
      <c r="F258" s="0" t="n">
        <f aca="true">RAND()</f>
        <v>0.119295626429947</v>
      </c>
      <c r="G258" s="0" t="n">
        <f aca="false">7.75+F258*10</f>
        <v>8.94295626429947</v>
      </c>
      <c r="H258" s="0" t="n">
        <f aca="false">LOGINV(F258,2.64,1.139)</f>
        <v>3.6607612600435</v>
      </c>
      <c r="I258" s="0" t="n">
        <v>19.5</v>
      </c>
      <c r="J258" s="4" t="n">
        <f aca="true">-LN(RAND())/B258</f>
        <v>0.478020627567758</v>
      </c>
      <c r="K258" s="4" t="n">
        <f aca="false">K257+J258</f>
        <v>2481.77261392137</v>
      </c>
      <c r="L258" s="4" t="n">
        <f aca="false">(1/$J$4)*(1+AB257)</f>
        <v>10</v>
      </c>
      <c r="M258" s="4" t="n">
        <f aca="false">L258+MAX(K258,Y$10:Y257)</f>
        <v>2578.67002850573</v>
      </c>
      <c r="N258" s="4" t="n">
        <f aca="false">K258</f>
        <v>2481.77261392137</v>
      </c>
      <c r="O258" s="4" t="n">
        <f aca="false">M258-K258</f>
        <v>96.897414584359</v>
      </c>
      <c r="P258" s="4" t="n">
        <f aca="false">N258-K258</f>
        <v>0</v>
      </c>
      <c r="Q258" s="4" t="n">
        <f aca="false">A258-MATCH(K258,$M$9:M257,1)</f>
        <v>9</v>
      </c>
      <c r="R258" s="0" t="n">
        <f aca="false">-G258*(O258/3600)</f>
        <v>-0.240708150208782</v>
      </c>
      <c r="S258" s="0" t="n">
        <f aca="false">-1*I258-(H258*(P258/3600))</f>
        <v>-19.5</v>
      </c>
      <c r="T258" s="0" t="n">
        <f aca="false">-H258*(O258/3600)</f>
        <v>-0.098532861530221</v>
      </c>
      <c r="U258" s="0" t="n">
        <f aca="false">T258-S258</f>
        <v>19.4014671384698</v>
      </c>
      <c r="V258" s="0" t="n">
        <f aca="false">1/(1+EXP(U258))</f>
        <v>3.75016070873411E-009</v>
      </c>
      <c r="W258" s="0" t="n">
        <f aca="true">RAND()</f>
        <v>0.204422485126649</v>
      </c>
      <c r="X258" s="0" t="n">
        <f aca="false">IF(W258&lt;V258,1,0)</f>
        <v>0</v>
      </c>
      <c r="Y258" s="0" t="n">
        <f aca="false">(M258*(1-X258)+N258*X258)*D258+M258*E258</f>
        <v>2578.67002850573</v>
      </c>
      <c r="Z258" s="0" t="n">
        <f aca="false">((1-X258)*O258+X258*P258)*D258+E258*O258</f>
        <v>96.897414584359</v>
      </c>
      <c r="AA258" s="0" t="n">
        <f aca="false">IF(D258*X258&gt;0,AA257,Q258)</f>
        <v>9</v>
      </c>
      <c r="AB258" s="0" t="n">
        <f aca="false">(X258*D258)</f>
        <v>0</v>
      </c>
      <c r="AC258" s="0" t="n">
        <f aca="false">SUM(AB$10:AB257)/K258</f>
        <v>0</v>
      </c>
      <c r="AD258" s="0" t="n">
        <f aca="false">R258*E258+D258*(X258*S258+(1-X258)*T258)</f>
        <v>-0.098532861530221</v>
      </c>
      <c r="AE258" s="0" t="n">
        <f aca="false">Z258</f>
        <v>96.897414584359</v>
      </c>
      <c r="AF258" s="0" t="n">
        <f aca="false">E258*O258</f>
        <v>0</v>
      </c>
      <c r="AG258" s="0" t="n">
        <f aca="false">((1-X258)*O258+X258*P258)*D258</f>
        <v>96.897414584359</v>
      </c>
      <c r="AH258" s="0" t="n">
        <f aca="false">D258*(LN(EXP(S258)+EXP(T258)))</f>
        <v>-0.0985328577800604</v>
      </c>
      <c r="AJ258" s="0" t="n">
        <f aca="false">$J$5</f>
        <v>10</v>
      </c>
      <c r="AK258" s="4" t="n">
        <f aca="false">AJ258+MAX(K258,AK$10:AK257)</f>
        <v>2578.67002850573</v>
      </c>
      <c r="AL258" s="5" t="n">
        <f aca="false">AK258-K258</f>
        <v>96.897414584359</v>
      </c>
      <c r="AM258" s="0" t="n">
        <f aca="false">-G258*AL258/3600</f>
        <v>-0.240708150208782</v>
      </c>
      <c r="AN258" s="0" t="n">
        <f aca="false">-H258*AL258/3600</f>
        <v>-0.098532861530221</v>
      </c>
      <c r="AO258" s="0" t="n">
        <f aca="false">AM258*E258+AN258*D258</f>
        <v>-0.098532861530221</v>
      </c>
      <c r="AP258" s="0" t="n">
        <f aca="false">AL258*D258</f>
        <v>96.897414584359</v>
      </c>
      <c r="AR258" s="0" t="n">
        <f aca="false">AN258*D258</f>
        <v>-0.098532861530221</v>
      </c>
      <c r="AS258" s="0" t="n">
        <f aca="false">AH258-AR258</f>
        <v>3.75016064035894E-009</v>
      </c>
    </row>
    <row r="259" customFormat="false" ht="12" hidden="false" customHeight="false" outlineLevel="0" collapsed="false">
      <c r="A259" s="3" t="n">
        <f aca="false">A258+1</f>
        <v>250</v>
      </c>
      <c r="B259" s="3" t="n">
        <f aca="false">IF(A259&lt;$N$4/3,0.1,(IF(A259&gt;2*$N$4/3,0.05,0.12)))</f>
        <v>0.1</v>
      </c>
      <c r="C259" s="4" t="n">
        <f aca="true">RAND()</f>
        <v>0.410468644005904</v>
      </c>
      <c r="D259" s="0" t="n">
        <f aca="false">IF((C259&gt;$M$2),1,0)</f>
        <v>0</v>
      </c>
      <c r="E259" s="0" t="n">
        <f aca="false">1-D259</f>
        <v>1</v>
      </c>
      <c r="F259" s="0" t="n">
        <f aca="true">RAND()</f>
        <v>0.918509659811107</v>
      </c>
      <c r="G259" s="0" t="n">
        <f aca="false">7.75+F259*10</f>
        <v>16.9350965981111</v>
      </c>
      <c r="H259" s="0" t="n">
        <f aca="false">LOGINV(F259,2.64,1.139)</f>
        <v>68.6511449598831</v>
      </c>
      <c r="I259" s="0" t="n">
        <v>19.5</v>
      </c>
      <c r="J259" s="4" t="n">
        <f aca="true">-LN(RAND())/B259</f>
        <v>28.261828011335</v>
      </c>
      <c r="K259" s="4" t="n">
        <f aca="false">K258+J259</f>
        <v>2510.0344419327</v>
      </c>
      <c r="L259" s="4" t="n">
        <f aca="false">(1/$J$4)*(1+AB258)</f>
        <v>10</v>
      </c>
      <c r="M259" s="4" t="n">
        <f aca="false">L259+MAX(K259,Y$10:Y258)</f>
        <v>2588.67002850573</v>
      </c>
      <c r="N259" s="4" t="n">
        <f aca="false">K259</f>
        <v>2510.0344419327</v>
      </c>
      <c r="O259" s="4" t="n">
        <f aca="false">M259-K259</f>
        <v>78.6355865730238</v>
      </c>
      <c r="P259" s="4" t="n">
        <f aca="false">N259-K259</f>
        <v>0</v>
      </c>
      <c r="Q259" s="4" t="n">
        <f aca="false">A259-MATCH(K259,$M$9:M258,1)</f>
        <v>7</v>
      </c>
      <c r="R259" s="0" t="n">
        <f aca="false">-G259*(O259/3600)</f>
        <v>-0.369917015184246</v>
      </c>
      <c r="S259" s="0" t="n">
        <f aca="false">-1*I259-(H259*(P259/3600))</f>
        <v>-19.5</v>
      </c>
      <c r="T259" s="0" t="n">
        <f aca="false">-H259*(O259/3600)</f>
        <v>-1.49956195911947</v>
      </c>
      <c r="U259" s="0" t="n">
        <f aca="false">T259-S259</f>
        <v>18.0004380408805</v>
      </c>
      <c r="V259" s="0" t="n">
        <f aca="false">1/(1+EXP(U259))</f>
        <v>1.52233096201752E-008</v>
      </c>
      <c r="W259" s="0" t="n">
        <f aca="true">RAND()</f>
        <v>0.30318766204523</v>
      </c>
      <c r="X259" s="0" t="n">
        <f aca="false">IF(W259&lt;V259,1,0)</f>
        <v>0</v>
      </c>
      <c r="Y259" s="0" t="n">
        <f aca="false">(M259*(1-X259)+N259*X259)*D259+M259*E259</f>
        <v>2588.67002850573</v>
      </c>
      <c r="Z259" s="0" t="n">
        <f aca="false">((1-X259)*O259+X259*P259)*D259+E259*O259</f>
        <v>78.6355865730238</v>
      </c>
      <c r="AA259" s="0" t="n">
        <f aca="false">IF(D259*X259&gt;0,AA258,Q259)</f>
        <v>7</v>
      </c>
      <c r="AB259" s="0" t="n">
        <f aca="false">(X259*D259)</f>
        <v>0</v>
      </c>
      <c r="AC259" s="0" t="n">
        <f aca="false">SUM(AB$10:AB258)/K259</f>
        <v>0</v>
      </c>
      <c r="AD259" s="0" t="n">
        <f aca="false">R259*E259+D259*(X259*S259+(1-X259)*T259)</f>
        <v>-0.369917015184246</v>
      </c>
      <c r="AE259" s="0" t="n">
        <f aca="false">Z259</f>
        <v>78.6355865730238</v>
      </c>
      <c r="AF259" s="0" t="n">
        <f aca="false">E259*O259</f>
        <v>78.6355865730238</v>
      </c>
      <c r="AG259" s="0" t="n">
        <f aca="false">((1-X259)*O259+X259*P259)*D259</f>
        <v>0</v>
      </c>
      <c r="AH259" s="0" t="n">
        <f aca="false">D259*(LN(EXP(S259)+EXP(T259)))</f>
        <v>-0</v>
      </c>
      <c r="AJ259" s="0" t="n">
        <f aca="false">$J$5</f>
        <v>10</v>
      </c>
      <c r="AK259" s="4" t="n">
        <f aca="false">AJ259+MAX(K259,AK$10:AK258)</f>
        <v>2588.67002850573</v>
      </c>
      <c r="AL259" s="5" t="n">
        <f aca="false">AK259-K259</f>
        <v>78.6355865730238</v>
      </c>
      <c r="AM259" s="0" t="n">
        <f aca="false">-G259*AL259/3600</f>
        <v>-0.369917015184246</v>
      </c>
      <c r="AN259" s="0" t="n">
        <f aca="false">-H259*AL259/3600</f>
        <v>-1.49956195911947</v>
      </c>
      <c r="AO259" s="0" t="n">
        <f aca="false">AM259*E259+AN259*D259</f>
        <v>-0.369917015184246</v>
      </c>
      <c r="AP259" s="0" t="n">
        <f aca="false">AL259*D259</f>
        <v>0</v>
      </c>
      <c r="AR259" s="0" t="n">
        <f aca="false">AN259*D259</f>
        <v>-0</v>
      </c>
      <c r="AS259" s="0" t="n">
        <f aca="false">AH259-AR259</f>
        <v>0</v>
      </c>
    </row>
    <row r="260" customFormat="false" ht="12" hidden="false" customHeight="false" outlineLevel="0" collapsed="false">
      <c r="A260" s="3" t="n">
        <f aca="false">A259+1</f>
        <v>251</v>
      </c>
      <c r="B260" s="3" t="n">
        <f aca="false">IF(A260&lt;$N$4/3,0.1,(IF(A260&gt;2*$N$4/3,0.05,0.12)))</f>
        <v>0.1</v>
      </c>
      <c r="C260" s="4" t="n">
        <f aca="true">RAND()</f>
        <v>0.118704754525568</v>
      </c>
      <c r="D260" s="0" t="n">
        <f aca="false">IF((C260&gt;$M$2),1,0)</f>
        <v>0</v>
      </c>
      <c r="E260" s="0" t="n">
        <f aca="false">1-D260</f>
        <v>1</v>
      </c>
      <c r="F260" s="0" t="n">
        <f aca="true">RAND()</f>
        <v>0.3091729956112</v>
      </c>
      <c r="G260" s="0" t="n">
        <f aca="false">7.75+F260*10</f>
        <v>10.841729956112</v>
      </c>
      <c r="H260" s="0" t="n">
        <f aca="false">LOGINV(F260,2.64,1.139)</f>
        <v>7.94509614292734</v>
      </c>
      <c r="I260" s="0" t="n">
        <v>19.5</v>
      </c>
      <c r="J260" s="4" t="n">
        <f aca="true">-LN(RAND())/B260</f>
        <v>17.4492641891118</v>
      </c>
      <c r="K260" s="4" t="n">
        <f aca="false">K259+J260</f>
        <v>2527.48370612182</v>
      </c>
      <c r="L260" s="4" t="n">
        <f aca="false">(1/$J$4)*(1+AB259)</f>
        <v>10</v>
      </c>
      <c r="M260" s="4" t="n">
        <f aca="false">L260+MAX(K260,Y$10:Y259)</f>
        <v>2598.67002850573</v>
      </c>
      <c r="N260" s="4" t="n">
        <f aca="false">K260</f>
        <v>2527.48370612182</v>
      </c>
      <c r="O260" s="4" t="n">
        <f aca="false">M260-K260</f>
        <v>71.1863223839118</v>
      </c>
      <c r="P260" s="4" t="n">
        <f aca="false">N260-K260</f>
        <v>0</v>
      </c>
      <c r="Q260" s="4" t="n">
        <f aca="false">A260-MATCH(K260,$M$9:M259,1)</f>
        <v>7</v>
      </c>
      <c r="R260" s="0" t="n">
        <f aca="false">-G260*(O260/3600)</f>
        <v>-0.214384134404195</v>
      </c>
      <c r="S260" s="0" t="n">
        <f aca="false">-1*I260-(H260*(P260/3600))</f>
        <v>-19.5</v>
      </c>
      <c r="T260" s="0" t="n">
        <f aca="false">-H260*(O260/3600)</f>
        <v>-0.157106159833778</v>
      </c>
      <c r="U260" s="0" t="n">
        <f aca="false">T260-S260</f>
        <v>19.3428938401662</v>
      </c>
      <c r="V260" s="0" t="n">
        <f aca="false">1/(1+EXP(U260))</f>
        <v>3.97638053735088E-009</v>
      </c>
      <c r="W260" s="0" t="n">
        <f aca="true">RAND()</f>
        <v>0.853645476274223</v>
      </c>
      <c r="X260" s="0" t="n">
        <f aca="false">IF(W260&lt;V260,1,0)</f>
        <v>0</v>
      </c>
      <c r="Y260" s="0" t="n">
        <f aca="false">(M260*(1-X260)+N260*X260)*D260+M260*E260</f>
        <v>2598.67002850573</v>
      </c>
      <c r="Z260" s="0" t="n">
        <f aca="false">((1-X260)*O260+X260*P260)*D260+E260*O260</f>
        <v>71.1863223839118</v>
      </c>
      <c r="AA260" s="0" t="n">
        <f aca="false">IF(D260*X260&gt;0,AA259,Q260)</f>
        <v>7</v>
      </c>
      <c r="AB260" s="0" t="n">
        <f aca="false">(X260*D260)</f>
        <v>0</v>
      </c>
      <c r="AC260" s="0" t="n">
        <f aca="false">SUM(AB$10:AB259)/K260</f>
        <v>0</v>
      </c>
      <c r="AD260" s="0" t="n">
        <f aca="false">R260*E260+D260*(X260*S260+(1-X260)*T260)</f>
        <v>-0.214384134404195</v>
      </c>
      <c r="AE260" s="0" t="n">
        <f aca="false">Z260</f>
        <v>71.1863223839118</v>
      </c>
      <c r="AF260" s="0" t="n">
        <f aca="false">E260*O260</f>
        <v>71.1863223839118</v>
      </c>
      <c r="AG260" s="0" t="n">
        <f aca="false">((1-X260)*O260+X260*P260)*D260</f>
        <v>0</v>
      </c>
      <c r="AH260" s="0" t="n">
        <f aca="false">D260*(LN(EXP(S260)+EXP(T260)))</f>
        <v>-0</v>
      </c>
      <c r="AJ260" s="0" t="n">
        <f aca="false">$J$5</f>
        <v>10</v>
      </c>
      <c r="AK260" s="4" t="n">
        <f aca="false">AJ260+MAX(K260,AK$10:AK259)</f>
        <v>2598.67002850573</v>
      </c>
      <c r="AL260" s="5" t="n">
        <f aca="false">AK260-K260</f>
        <v>71.1863223839118</v>
      </c>
      <c r="AM260" s="0" t="n">
        <f aca="false">-G260*AL260/3600</f>
        <v>-0.214384134404195</v>
      </c>
      <c r="AN260" s="0" t="n">
        <f aca="false">-H260*AL260/3600</f>
        <v>-0.157106159833778</v>
      </c>
      <c r="AO260" s="0" t="n">
        <f aca="false">AM260*E260+AN260*D260</f>
        <v>-0.214384134404195</v>
      </c>
      <c r="AP260" s="0" t="n">
        <f aca="false">AL260*D260</f>
        <v>0</v>
      </c>
      <c r="AR260" s="0" t="n">
        <f aca="false">AN260*D260</f>
        <v>-0</v>
      </c>
      <c r="AS260" s="0" t="n">
        <f aca="false">AH260-AR260</f>
        <v>0</v>
      </c>
    </row>
    <row r="261" customFormat="false" ht="12" hidden="false" customHeight="false" outlineLevel="0" collapsed="false">
      <c r="A261" s="3" t="n">
        <f aca="false">A260+1</f>
        <v>252</v>
      </c>
      <c r="B261" s="3" t="n">
        <f aca="false">IF(A261&lt;$N$4/3,0.1,(IF(A261&gt;2*$N$4/3,0.05,0.12)))</f>
        <v>0.1</v>
      </c>
      <c r="C261" s="4" t="n">
        <f aca="true">RAND()</f>
        <v>0.241932737520985</v>
      </c>
      <c r="D261" s="0" t="n">
        <f aca="false">IF((C261&gt;$M$2),1,0)</f>
        <v>0</v>
      </c>
      <c r="E261" s="0" t="n">
        <f aca="false">1-D261</f>
        <v>1</v>
      </c>
      <c r="F261" s="0" t="n">
        <f aca="true">RAND()</f>
        <v>0.162883733731659</v>
      </c>
      <c r="G261" s="0" t="n">
        <f aca="false">7.75+F261*10</f>
        <v>9.37883733731659</v>
      </c>
      <c r="H261" s="0" t="n">
        <f aca="false">LOGINV(F261,2.64,1.139)</f>
        <v>4.57557918177668</v>
      </c>
      <c r="I261" s="0" t="n">
        <v>19.5</v>
      </c>
      <c r="J261" s="4" t="n">
        <f aca="true">-LN(RAND())/B261</f>
        <v>28.2114846037018</v>
      </c>
      <c r="K261" s="4" t="n">
        <f aca="false">K260+J261</f>
        <v>2555.69519072552</v>
      </c>
      <c r="L261" s="4" t="n">
        <f aca="false">(1/$J$4)*(1+AB260)</f>
        <v>10</v>
      </c>
      <c r="M261" s="4" t="n">
        <f aca="false">L261+MAX(K261,Y$10:Y260)</f>
        <v>2608.67002850573</v>
      </c>
      <c r="N261" s="4" t="n">
        <f aca="false">K261</f>
        <v>2555.69519072552</v>
      </c>
      <c r="O261" s="4" t="n">
        <f aca="false">M261-K261</f>
        <v>52.9748377802102</v>
      </c>
      <c r="P261" s="4" t="n">
        <f aca="false">N261-K261</f>
        <v>0</v>
      </c>
      <c r="Q261" s="4" t="n">
        <f aca="false">A261-MATCH(K261,$M$9:M260,1)</f>
        <v>5</v>
      </c>
      <c r="R261" s="0" t="n">
        <f aca="false">-G261*(O261/3600)</f>
        <v>-0.138011774030924</v>
      </c>
      <c r="S261" s="0" t="n">
        <f aca="false">-1*I261-(H261*(P261/3600))</f>
        <v>-19.5</v>
      </c>
      <c r="T261" s="0" t="n">
        <f aca="false">-H261*(O261/3600)</f>
        <v>-0.0673307124736463</v>
      </c>
      <c r="U261" s="0" t="n">
        <f aca="false">T261-S261</f>
        <v>19.4326692875264</v>
      </c>
      <c r="V261" s="0" t="n">
        <f aca="false">1/(1+EXP(U261))</f>
        <v>3.63495432578357E-009</v>
      </c>
      <c r="W261" s="0" t="n">
        <f aca="true">RAND()</f>
        <v>0.382302149805904</v>
      </c>
      <c r="X261" s="0" t="n">
        <f aca="false">IF(W261&lt;V261,1,0)</f>
        <v>0</v>
      </c>
      <c r="Y261" s="0" t="n">
        <f aca="false">(M261*(1-X261)+N261*X261)*D261+M261*E261</f>
        <v>2608.67002850573</v>
      </c>
      <c r="Z261" s="0" t="n">
        <f aca="false">((1-X261)*O261+X261*P261)*D261+E261*O261</f>
        <v>52.9748377802102</v>
      </c>
      <c r="AA261" s="0" t="n">
        <f aca="false">IF(D261*X261&gt;0,AA260,Q261)</f>
        <v>5</v>
      </c>
      <c r="AB261" s="0" t="n">
        <f aca="false">(X261*D261)</f>
        <v>0</v>
      </c>
      <c r="AC261" s="0" t="n">
        <f aca="false">SUM(AB$10:AB260)/K261</f>
        <v>0</v>
      </c>
      <c r="AD261" s="0" t="n">
        <f aca="false">R261*E261+D261*(X261*S261+(1-X261)*T261)</f>
        <v>-0.138011774030924</v>
      </c>
      <c r="AE261" s="0" t="n">
        <f aca="false">Z261</f>
        <v>52.9748377802102</v>
      </c>
      <c r="AF261" s="0" t="n">
        <f aca="false">E261*O261</f>
        <v>52.9748377802102</v>
      </c>
      <c r="AG261" s="0" t="n">
        <f aca="false">((1-X261)*O261+X261*P261)*D261</f>
        <v>0</v>
      </c>
      <c r="AH261" s="0" t="n">
        <f aca="false">D261*(LN(EXP(S261)+EXP(T261)))</f>
        <v>-0</v>
      </c>
      <c r="AJ261" s="0" t="n">
        <f aca="false">$J$5</f>
        <v>10</v>
      </c>
      <c r="AK261" s="4" t="n">
        <f aca="false">AJ261+MAX(K261,AK$10:AK260)</f>
        <v>2608.67002850573</v>
      </c>
      <c r="AL261" s="5" t="n">
        <f aca="false">AK261-K261</f>
        <v>52.9748377802102</v>
      </c>
      <c r="AM261" s="0" t="n">
        <f aca="false">-G261*AL261/3600</f>
        <v>-0.138011774030924</v>
      </c>
      <c r="AN261" s="0" t="n">
        <f aca="false">-H261*AL261/3600</f>
        <v>-0.0673307124736463</v>
      </c>
      <c r="AO261" s="0" t="n">
        <f aca="false">AM261*E261+AN261*D261</f>
        <v>-0.138011774030924</v>
      </c>
      <c r="AP261" s="0" t="n">
        <f aca="false">AL261*D261</f>
        <v>0</v>
      </c>
      <c r="AR261" s="0" t="n">
        <f aca="false">AN261*D261</f>
        <v>-0</v>
      </c>
      <c r="AS261" s="0" t="n">
        <f aca="false">AH261-AR261</f>
        <v>0</v>
      </c>
    </row>
    <row r="262" customFormat="false" ht="12" hidden="false" customHeight="false" outlineLevel="0" collapsed="false">
      <c r="A262" s="3" t="n">
        <f aca="false">A261+1</f>
        <v>253</v>
      </c>
      <c r="B262" s="3" t="n">
        <f aca="false">IF(A262&lt;$N$4/3,0.1,(IF(A262&gt;2*$N$4/3,0.05,0.12)))</f>
        <v>0.1</v>
      </c>
      <c r="C262" s="4" t="n">
        <f aca="true">RAND()</f>
        <v>0.015956960070134</v>
      </c>
      <c r="D262" s="0" t="n">
        <f aca="false">IF((C262&gt;$M$2),1,0)</f>
        <v>0</v>
      </c>
      <c r="E262" s="0" t="n">
        <f aca="false">1-D262</f>
        <v>1</v>
      </c>
      <c r="F262" s="0" t="n">
        <f aca="true">RAND()</f>
        <v>0.128762141814134</v>
      </c>
      <c r="G262" s="0" t="n">
        <f aca="false">7.75+F262*10</f>
        <v>9.03762141814134</v>
      </c>
      <c r="H262" s="0" t="n">
        <f aca="false">LOGINV(F262,2.64,1.139)</f>
        <v>3.85878950682935</v>
      </c>
      <c r="I262" s="0" t="n">
        <v>19.5</v>
      </c>
      <c r="J262" s="4" t="n">
        <f aca="true">-LN(RAND())/B262</f>
        <v>6.85671990282373</v>
      </c>
      <c r="K262" s="4" t="n">
        <f aca="false">K261+J262</f>
        <v>2562.55191062834</v>
      </c>
      <c r="L262" s="4" t="n">
        <f aca="false">(1/$J$4)*(1+AB261)</f>
        <v>10</v>
      </c>
      <c r="M262" s="4" t="n">
        <f aca="false">L262+MAX(K262,Y$10:Y261)</f>
        <v>2618.67002850573</v>
      </c>
      <c r="N262" s="4" t="n">
        <f aca="false">K262</f>
        <v>2562.55191062834</v>
      </c>
      <c r="O262" s="4" t="n">
        <f aca="false">M262-K262</f>
        <v>56.1181178773863</v>
      </c>
      <c r="P262" s="4" t="n">
        <f aca="false">N262-K262</f>
        <v>0</v>
      </c>
      <c r="Q262" s="4" t="n">
        <f aca="false">A262-MATCH(K262,$M$9:M261,1)</f>
        <v>5</v>
      </c>
      <c r="R262" s="0" t="n">
        <f aca="false">-G262*(O262/3600)</f>
        <v>-0.140881751131791</v>
      </c>
      <c r="S262" s="0" t="n">
        <f aca="false">-1*I262-(H262*(P262/3600))</f>
        <v>-19.5</v>
      </c>
      <c r="T262" s="0" t="n">
        <f aca="false">-H262*(O262/3600)</f>
        <v>-0.060152223446742</v>
      </c>
      <c r="U262" s="0" t="n">
        <f aca="false">T262-S262</f>
        <v>19.4398477765533</v>
      </c>
      <c r="V262" s="0" t="n">
        <f aca="false">1/(1+EXP(U262))</f>
        <v>3.60895427831451E-009</v>
      </c>
      <c r="W262" s="0" t="n">
        <f aca="true">RAND()</f>
        <v>0.686773520833209</v>
      </c>
      <c r="X262" s="0" t="n">
        <f aca="false">IF(W262&lt;V262,1,0)</f>
        <v>0</v>
      </c>
      <c r="Y262" s="0" t="n">
        <f aca="false">(M262*(1-X262)+N262*X262)*D262+M262*E262</f>
        <v>2618.67002850573</v>
      </c>
      <c r="Z262" s="0" t="n">
        <f aca="false">((1-X262)*O262+X262*P262)*D262+E262*O262</f>
        <v>56.1181178773863</v>
      </c>
      <c r="AA262" s="0" t="n">
        <f aca="false">IF(D262*X262&gt;0,AA261,Q262)</f>
        <v>5</v>
      </c>
      <c r="AB262" s="0" t="n">
        <f aca="false">(X262*D262)</f>
        <v>0</v>
      </c>
      <c r="AC262" s="0" t="n">
        <f aca="false">SUM(AB$10:AB261)/K262</f>
        <v>0</v>
      </c>
      <c r="AD262" s="0" t="n">
        <f aca="false">R262*E262+D262*(X262*S262+(1-X262)*T262)</f>
        <v>-0.140881751131791</v>
      </c>
      <c r="AE262" s="0" t="n">
        <f aca="false">Z262</f>
        <v>56.1181178773863</v>
      </c>
      <c r="AF262" s="0" t="n">
        <f aca="false">E262*O262</f>
        <v>56.1181178773863</v>
      </c>
      <c r="AG262" s="0" t="n">
        <f aca="false">((1-X262)*O262+X262*P262)*D262</f>
        <v>0</v>
      </c>
      <c r="AH262" s="0" t="n">
        <f aca="false">D262*(LN(EXP(S262)+EXP(T262)))</f>
        <v>-0</v>
      </c>
      <c r="AJ262" s="0" t="n">
        <f aca="false">$J$5</f>
        <v>10</v>
      </c>
      <c r="AK262" s="4" t="n">
        <f aca="false">AJ262+MAX(K262,AK$10:AK261)</f>
        <v>2618.67002850573</v>
      </c>
      <c r="AL262" s="5" t="n">
        <f aca="false">AK262-K262</f>
        <v>56.1181178773863</v>
      </c>
      <c r="AM262" s="0" t="n">
        <f aca="false">-G262*AL262/3600</f>
        <v>-0.140881751131791</v>
      </c>
      <c r="AN262" s="0" t="n">
        <f aca="false">-H262*AL262/3600</f>
        <v>-0.060152223446742</v>
      </c>
      <c r="AO262" s="0" t="n">
        <f aca="false">AM262*E262+AN262*D262</f>
        <v>-0.140881751131791</v>
      </c>
      <c r="AP262" s="0" t="n">
        <f aca="false">AL262*D262</f>
        <v>0</v>
      </c>
      <c r="AR262" s="0" t="n">
        <f aca="false">AN262*D262</f>
        <v>-0</v>
      </c>
      <c r="AS262" s="0" t="n">
        <f aca="false">AH262-AR262</f>
        <v>0</v>
      </c>
    </row>
    <row r="263" customFormat="false" ht="12" hidden="false" customHeight="false" outlineLevel="0" collapsed="false">
      <c r="A263" s="3" t="n">
        <f aca="false">A262+1</f>
        <v>254</v>
      </c>
      <c r="B263" s="3" t="n">
        <f aca="false">IF(A263&lt;$N$4/3,0.1,(IF(A263&gt;2*$N$4/3,0.05,0.12)))</f>
        <v>0.1</v>
      </c>
      <c r="C263" s="4" t="n">
        <f aca="true">RAND()</f>
        <v>0.542907593174323</v>
      </c>
      <c r="D263" s="0" t="n">
        <f aca="false">IF((C263&gt;$M$2),1,0)</f>
        <v>0</v>
      </c>
      <c r="E263" s="0" t="n">
        <f aca="false">1-D263</f>
        <v>1</v>
      </c>
      <c r="F263" s="0" t="n">
        <f aca="true">RAND()</f>
        <v>0.256282188777489</v>
      </c>
      <c r="G263" s="0" t="n">
        <f aca="false">7.75+F263*10</f>
        <v>10.3128218877749</v>
      </c>
      <c r="H263" s="0" t="n">
        <f aca="false">LOGINV(F263,2.64,1.139)</f>
        <v>6.64673612174783</v>
      </c>
      <c r="I263" s="0" t="n">
        <v>19.5</v>
      </c>
      <c r="J263" s="4" t="n">
        <f aca="true">-LN(RAND())/B263</f>
        <v>2.90037733899239</v>
      </c>
      <c r="K263" s="4" t="n">
        <f aca="false">K262+J263</f>
        <v>2565.45228796733</v>
      </c>
      <c r="L263" s="4" t="n">
        <f aca="false">(1/$J$4)*(1+AB262)</f>
        <v>10</v>
      </c>
      <c r="M263" s="4" t="n">
        <f aca="false">L263+MAX(K263,Y$10:Y262)</f>
        <v>2628.67002850573</v>
      </c>
      <c r="N263" s="4" t="n">
        <f aca="false">K263</f>
        <v>2565.45228796733</v>
      </c>
      <c r="O263" s="4" t="n">
        <f aca="false">M263-K263</f>
        <v>63.2177405383941</v>
      </c>
      <c r="P263" s="4" t="n">
        <f aca="false">N263-K263</f>
        <v>0</v>
      </c>
      <c r="Q263" s="4" t="n">
        <f aca="false">A263-MATCH(K263,$M$9:M262,1)</f>
        <v>6</v>
      </c>
      <c r="R263" s="0" t="n">
        <f aca="false">-G263*(O263/3600)</f>
        <v>-0.181098138422229</v>
      </c>
      <c r="S263" s="0" t="n">
        <f aca="false">-1*I263-(H263*(P263/3600))</f>
        <v>-19.5</v>
      </c>
      <c r="T263" s="0" t="n">
        <f aca="false">-H263*(O263/3600)</f>
        <v>-0.116719899881063</v>
      </c>
      <c r="U263" s="0" t="n">
        <f aca="false">T263-S263</f>
        <v>19.3832801001189</v>
      </c>
      <c r="V263" s="0" t="n">
        <f aca="false">1/(1+EXP(U263))</f>
        <v>3.81898901949372E-009</v>
      </c>
      <c r="W263" s="0" t="n">
        <f aca="true">RAND()</f>
        <v>0.0233693552623722</v>
      </c>
      <c r="X263" s="0" t="n">
        <f aca="false">IF(W263&lt;V263,1,0)</f>
        <v>0</v>
      </c>
      <c r="Y263" s="0" t="n">
        <f aca="false">(M263*(1-X263)+N263*X263)*D263+M263*E263</f>
        <v>2628.67002850573</v>
      </c>
      <c r="Z263" s="0" t="n">
        <f aca="false">((1-X263)*O263+X263*P263)*D263+E263*O263</f>
        <v>63.2177405383941</v>
      </c>
      <c r="AA263" s="0" t="n">
        <f aca="false">IF(D263*X263&gt;0,AA262,Q263)</f>
        <v>6</v>
      </c>
      <c r="AB263" s="0" t="n">
        <f aca="false">(X263*D263)</f>
        <v>0</v>
      </c>
      <c r="AC263" s="0" t="n">
        <f aca="false">SUM(AB$10:AB262)/K263</f>
        <v>0</v>
      </c>
      <c r="AD263" s="0" t="n">
        <f aca="false">R263*E263+D263*(X263*S263+(1-X263)*T263)</f>
        <v>-0.181098138422229</v>
      </c>
      <c r="AE263" s="0" t="n">
        <f aca="false">Z263</f>
        <v>63.2177405383941</v>
      </c>
      <c r="AF263" s="0" t="n">
        <f aca="false">E263*O263</f>
        <v>63.2177405383941</v>
      </c>
      <c r="AG263" s="0" t="n">
        <f aca="false">((1-X263)*O263+X263*P263)*D263</f>
        <v>0</v>
      </c>
      <c r="AH263" s="0" t="n">
        <f aca="false">D263*(LN(EXP(S263)+EXP(T263)))</f>
        <v>-0</v>
      </c>
      <c r="AJ263" s="0" t="n">
        <f aca="false">$J$5</f>
        <v>10</v>
      </c>
      <c r="AK263" s="4" t="n">
        <f aca="false">AJ263+MAX(K263,AK$10:AK262)</f>
        <v>2628.67002850573</v>
      </c>
      <c r="AL263" s="5" t="n">
        <f aca="false">AK263-K263</f>
        <v>63.2177405383941</v>
      </c>
      <c r="AM263" s="0" t="n">
        <f aca="false">-G263*AL263/3600</f>
        <v>-0.181098138422229</v>
      </c>
      <c r="AN263" s="0" t="n">
        <f aca="false">-H263*AL263/3600</f>
        <v>-0.116719899881063</v>
      </c>
      <c r="AO263" s="0" t="n">
        <f aca="false">AM263*E263+AN263*D263</f>
        <v>-0.181098138422229</v>
      </c>
      <c r="AP263" s="0" t="n">
        <f aca="false">AL263*D263</f>
        <v>0</v>
      </c>
      <c r="AR263" s="0" t="n">
        <f aca="false">AN263*D263</f>
        <v>-0</v>
      </c>
      <c r="AS263" s="0" t="n">
        <f aca="false">AH263-AR263</f>
        <v>0</v>
      </c>
    </row>
    <row r="264" customFormat="false" ht="12" hidden="false" customHeight="false" outlineLevel="0" collapsed="false">
      <c r="A264" s="3" t="n">
        <f aca="false">A263+1</f>
        <v>255</v>
      </c>
      <c r="B264" s="3" t="n">
        <f aca="false">IF(A264&lt;$N$4/3,0.1,(IF(A264&gt;2*$N$4/3,0.05,0.12)))</f>
        <v>0.1</v>
      </c>
      <c r="C264" s="4" t="n">
        <f aca="true">RAND()</f>
        <v>0.221701370536377</v>
      </c>
      <c r="D264" s="0" t="n">
        <f aca="false">IF((C264&gt;$M$2),1,0)</f>
        <v>0</v>
      </c>
      <c r="E264" s="0" t="n">
        <f aca="false">1-D264</f>
        <v>1</v>
      </c>
      <c r="F264" s="0" t="n">
        <f aca="true">RAND()</f>
        <v>0.0195370225621269</v>
      </c>
      <c r="G264" s="0" t="n">
        <f aca="false">7.75+F264*10</f>
        <v>7.94537022562127</v>
      </c>
      <c r="H264" s="0" t="n">
        <f aca="false">LOGINV(F264,2.64,1.139)</f>
        <v>1.33613385776678</v>
      </c>
      <c r="I264" s="0" t="n">
        <v>19.5</v>
      </c>
      <c r="J264" s="4" t="n">
        <f aca="true">-LN(RAND())/B264</f>
        <v>12.8458447579354</v>
      </c>
      <c r="K264" s="4" t="n">
        <f aca="false">K263+J264</f>
        <v>2578.29813272527</v>
      </c>
      <c r="L264" s="4" t="n">
        <f aca="false">(1/$J$4)*(1+AB263)</f>
        <v>10</v>
      </c>
      <c r="M264" s="4" t="n">
        <f aca="false">L264+MAX(K264,Y$10:Y263)</f>
        <v>2638.67002850573</v>
      </c>
      <c r="N264" s="4" t="n">
        <f aca="false">K264</f>
        <v>2578.29813272527</v>
      </c>
      <c r="O264" s="4" t="n">
        <f aca="false">M264-K264</f>
        <v>60.3718957804585</v>
      </c>
      <c r="P264" s="4" t="n">
        <f aca="false">N264-K264</f>
        <v>0</v>
      </c>
      <c r="Q264" s="4" t="n">
        <f aca="false">A264-MATCH(K264,$M$9:M263,1)</f>
        <v>6</v>
      </c>
      <c r="R264" s="0" t="n">
        <f aca="false">-G264*(O264/3600)</f>
        <v>-0.133243628666213</v>
      </c>
      <c r="S264" s="0" t="n">
        <f aca="false">-1*I264-(H264*(P264/3600))</f>
        <v>-19.5</v>
      </c>
      <c r="T264" s="0" t="n">
        <f aca="false">-H264*(O264/3600)</f>
        <v>-0.022406926113844</v>
      </c>
      <c r="U264" s="0" t="n">
        <f aca="false">T264-S264</f>
        <v>19.4775930738862</v>
      </c>
      <c r="V264" s="0" t="n">
        <f aca="false">1/(1+EXP(U264))</f>
        <v>3.47527203562201E-009</v>
      </c>
      <c r="W264" s="0" t="n">
        <f aca="true">RAND()</f>
        <v>0.822904244618681</v>
      </c>
      <c r="X264" s="0" t="n">
        <f aca="false">IF(W264&lt;V264,1,0)</f>
        <v>0</v>
      </c>
      <c r="Y264" s="0" t="n">
        <f aca="false">(M264*(1-X264)+N264*X264)*D264+M264*E264</f>
        <v>2638.67002850573</v>
      </c>
      <c r="Z264" s="0" t="n">
        <f aca="false">((1-X264)*O264+X264*P264)*D264+E264*O264</f>
        <v>60.3718957804585</v>
      </c>
      <c r="AA264" s="0" t="n">
        <f aca="false">IF(D264*X264&gt;0,AA263,Q264)</f>
        <v>6</v>
      </c>
      <c r="AB264" s="0" t="n">
        <f aca="false">(X264*D264)</f>
        <v>0</v>
      </c>
      <c r="AC264" s="0" t="n">
        <f aca="false">SUM(AB$10:AB263)/K264</f>
        <v>0</v>
      </c>
      <c r="AD264" s="0" t="n">
        <f aca="false">R264*E264+D264*(X264*S264+(1-X264)*T264)</f>
        <v>-0.133243628666213</v>
      </c>
      <c r="AE264" s="0" t="n">
        <f aca="false">Z264</f>
        <v>60.3718957804585</v>
      </c>
      <c r="AF264" s="0" t="n">
        <f aca="false">E264*O264</f>
        <v>60.3718957804585</v>
      </c>
      <c r="AG264" s="0" t="n">
        <f aca="false">((1-X264)*O264+X264*P264)*D264</f>
        <v>0</v>
      </c>
      <c r="AH264" s="0" t="n">
        <f aca="false">D264*(LN(EXP(S264)+EXP(T264)))</f>
        <v>-0</v>
      </c>
      <c r="AJ264" s="0" t="n">
        <f aca="false">$J$5</f>
        <v>10</v>
      </c>
      <c r="AK264" s="4" t="n">
        <f aca="false">AJ264+MAX(K264,AK$10:AK263)</f>
        <v>2638.67002850573</v>
      </c>
      <c r="AL264" s="5" t="n">
        <f aca="false">AK264-K264</f>
        <v>60.3718957804585</v>
      </c>
      <c r="AM264" s="0" t="n">
        <f aca="false">-G264*AL264/3600</f>
        <v>-0.133243628666213</v>
      </c>
      <c r="AN264" s="0" t="n">
        <f aca="false">-H264*AL264/3600</f>
        <v>-0.022406926113844</v>
      </c>
      <c r="AO264" s="0" t="n">
        <f aca="false">AM264*E264+AN264*D264</f>
        <v>-0.133243628666213</v>
      </c>
      <c r="AP264" s="0" t="n">
        <f aca="false">AL264*D264</f>
        <v>0</v>
      </c>
      <c r="AR264" s="0" t="n">
        <f aca="false">AN264*D264</f>
        <v>-0</v>
      </c>
      <c r="AS264" s="0" t="n">
        <f aca="false">AH264-AR264</f>
        <v>0</v>
      </c>
    </row>
    <row r="265" customFormat="false" ht="12" hidden="false" customHeight="false" outlineLevel="0" collapsed="false">
      <c r="A265" s="3" t="n">
        <f aca="false">A264+1</f>
        <v>256</v>
      </c>
      <c r="B265" s="3" t="n">
        <f aca="false">IF(A265&lt;$N$4/3,0.1,(IF(A265&gt;2*$N$4/3,0.05,0.12)))</f>
        <v>0.1</v>
      </c>
      <c r="C265" s="4" t="n">
        <f aca="true">RAND()</f>
        <v>0.443000522140708</v>
      </c>
      <c r="D265" s="0" t="n">
        <f aca="false">IF((C265&gt;$M$2),1,0)</f>
        <v>0</v>
      </c>
      <c r="E265" s="0" t="n">
        <f aca="false">1-D265</f>
        <v>1</v>
      </c>
      <c r="F265" s="0" t="n">
        <f aca="true">RAND()</f>
        <v>0.313749335789577</v>
      </c>
      <c r="G265" s="0" t="n">
        <f aca="false">7.75+F265*10</f>
        <v>10.8874933578958</v>
      </c>
      <c r="H265" s="0" t="n">
        <f aca="false">LOGINV(F265,2.64,1.139)</f>
        <v>8.06311286205528</v>
      </c>
      <c r="I265" s="0" t="n">
        <v>19.5</v>
      </c>
      <c r="J265" s="4" t="n">
        <f aca="true">-LN(RAND())/B265</f>
        <v>5.22494952577507</v>
      </c>
      <c r="K265" s="4" t="n">
        <f aca="false">K264+J265</f>
        <v>2583.52308225105</v>
      </c>
      <c r="L265" s="4" t="n">
        <f aca="false">(1/$J$4)*(1+AB264)</f>
        <v>10</v>
      </c>
      <c r="M265" s="4" t="n">
        <f aca="false">L265+MAX(K265,Y$10:Y264)</f>
        <v>2648.67002850573</v>
      </c>
      <c r="N265" s="4" t="n">
        <f aca="false">K265</f>
        <v>2583.52308225105</v>
      </c>
      <c r="O265" s="4" t="n">
        <f aca="false">M265-K265</f>
        <v>65.1469462546834</v>
      </c>
      <c r="P265" s="4" t="n">
        <f aca="false">N265-K265</f>
        <v>0</v>
      </c>
      <c r="Q265" s="4" t="n">
        <f aca="false">A265-MATCH(K265,$M$9:M264,1)</f>
        <v>6</v>
      </c>
      <c r="R265" s="0" t="n">
        <f aca="false">-G265*(O265/3600)</f>
        <v>-0.197024151287516</v>
      </c>
      <c r="S265" s="0" t="n">
        <f aca="false">-1*I265-(H265*(P265/3600))</f>
        <v>-19.5</v>
      </c>
      <c r="T265" s="0" t="n">
        <f aca="false">-H265*(O265/3600)</f>
        <v>-0.145913105630489</v>
      </c>
      <c r="U265" s="0" t="n">
        <f aca="false">T265-S265</f>
        <v>19.3540868943695</v>
      </c>
      <c r="V265" s="0" t="n">
        <f aca="false">1/(1+EXP(U265))</f>
        <v>3.93212085722431E-009</v>
      </c>
      <c r="W265" s="0" t="n">
        <f aca="true">RAND()</f>
        <v>0.4944948989333</v>
      </c>
      <c r="X265" s="0" t="n">
        <f aca="false">IF(W265&lt;V265,1,0)</f>
        <v>0</v>
      </c>
      <c r="Y265" s="0" t="n">
        <f aca="false">(M265*(1-X265)+N265*X265)*D265+M265*E265</f>
        <v>2648.67002850573</v>
      </c>
      <c r="Z265" s="0" t="n">
        <f aca="false">((1-X265)*O265+X265*P265)*D265+E265*O265</f>
        <v>65.1469462546834</v>
      </c>
      <c r="AA265" s="0" t="n">
        <f aca="false">IF(D265*X265&gt;0,AA264,Q265)</f>
        <v>6</v>
      </c>
      <c r="AB265" s="0" t="n">
        <f aca="false">(X265*D265)</f>
        <v>0</v>
      </c>
      <c r="AC265" s="0" t="n">
        <f aca="false">SUM(AB$10:AB264)/K265</f>
        <v>0</v>
      </c>
      <c r="AD265" s="0" t="n">
        <f aca="false">R265*E265+D265*(X265*S265+(1-X265)*T265)</f>
        <v>-0.197024151287516</v>
      </c>
      <c r="AE265" s="0" t="n">
        <f aca="false">Z265</f>
        <v>65.1469462546834</v>
      </c>
      <c r="AF265" s="0" t="n">
        <f aca="false">E265*O265</f>
        <v>65.1469462546834</v>
      </c>
      <c r="AG265" s="0" t="n">
        <f aca="false">((1-X265)*O265+X265*P265)*D265</f>
        <v>0</v>
      </c>
      <c r="AH265" s="0" t="n">
        <f aca="false">D265*(LN(EXP(S265)+EXP(T265)))</f>
        <v>-0</v>
      </c>
      <c r="AJ265" s="0" t="n">
        <f aca="false">$J$5</f>
        <v>10</v>
      </c>
      <c r="AK265" s="4" t="n">
        <f aca="false">AJ265+MAX(K265,AK$10:AK264)</f>
        <v>2648.67002850573</v>
      </c>
      <c r="AL265" s="5" t="n">
        <f aca="false">AK265-K265</f>
        <v>65.1469462546834</v>
      </c>
      <c r="AM265" s="0" t="n">
        <f aca="false">-G265*AL265/3600</f>
        <v>-0.197024151287516</v>
      </c>
      <c r="AN265" s="0" t="n">
        <f aca="false">-H265*AL265/3600</f>
        <v>-0.145913105630489</v>
      </c>
      <c r="AO265" s="0" t="n">
        <f aca="false">AM265*E265+AN265*D265</f>
        <v>-0.197024151287516</v>
      </c>
      <c r="AP265" s="0" t="n">
        <f aca="false">AL265*D265</f>
        <v>0</v>
      </c>
      <c r="AR265" s="0" t="n">
        <f aca="false">AN265*D265</f>
        <v>-0</v>
      </c>
      <c r="AS265" s="0" t="n">
        <f aca="false">AH265-AR265</f>
        <v>0</v>
      </c>
    </row>
    <row r="266" customFormat="false" ht="12" hidden="false" customHeight="false" outlineLevel="0" collapsed="false">
      <c r="A266" s="3" t="n">
        <f aca="false">A265+1</f>
        <v>257</v>
      </c>
      <c r="B266" s="3" t="n">
        <f aca="false">IF(A266&lt;$N$4/3,0.1,(IF(A266&gt;2*$N$4/3,0.05,0.12)))</f>
        <v>0.1</v>
      </c>
      <c r="C266" s="4" t="n">
        <f aca="true">RAND()</f>
        <v>0.0570237889723318</v>
      </c>
      <c r="D266" s="0" t="n">
        <f aca="false">IF((C266&gt;$M$2),1,0)</f>
        <v>0</v>
      </c>
      <c r="E266" s="0" t="n">
        <f aca="false">1-D266</f>
        <v>1</v>
      </c>
      <c r="F266" s="0" t="n">
        <f aca="true">RAND()</f>
        <v>0.909487979726951</v>
      </c>
      <c r="G266" s="0" t="n">
        <f aca="false">7.75+F266*10</f>
        <v>16.8448797972695</v>
      </c>
      <c r="H266" s="0" t="n">
        <f aca="false">LOGINV(F266,2.64,1.139)</f>
        <v>64.2984973545739</v>
      </c>
      <c r="I266" s="0" t="n">
        <v>19.5</v>
      </c>
      <c r="J266" s="4" t="n">
        <f aca="true">-LN(RAND())/B266</f>
        <v>4.55960028571565</v>
      </c>
      <c r="K266" s="4" t="n">
        <f aca="false">K265+J266</f>
        <v>2588.08268253676</v>
      </c>
      <c r="L266" s="4" t="n">
        <f aca="false">(1/$J$4)*(1+AB265)</f>
        <v>10</v>
      </c>
      <c r="M266" s="4" t="n">
        <f aca="false">L266+MAX(K266,Y$10:Y265)</f>
        <v>2658.67002850573</v>
      </c>
      <c r="N266" s="4" t="n">
        <f aca="false">K266</f>
        <v>2588.08268253676</v>
      </c>
      <c r="O266" s="4" t="n">
        <f aca="false">M266-K266</f>
        <v>70.5873459689678</v>
      </c>
      <c r="P266" s="4" t="n">
        <f aca="false">N266-K266</f>
        <v>0</v>
      </c>
      <c r="Q266" s="4" t="n">
        <f aca="false">A266-MATCH(K266,$M$9:M265,1)</f>
        <v>7</v>
      </c>
      <c r="R266" s="0" t="n">
        <f aca="false">-G266*(O266/3600)</f>
        <v>-0.330287599459872</v>
      </c>
      <c r="S266" s="0" t="n">
        <f aca="false">-1*I266-(H266*(P266/3600))</f>
        <v>-19.5</v>
      </c>
      <c r="T266" s="0" t="n">
        <f aca="false">-H266*(O266/3600)</f>
        <v>-1.26073896612558</v>
      </c>
      <c r="U266" s="0" t="n">
        <f aca="false">T266-S266</f>
        <v>18.2392610338744</v>
      </c>
      <c r="V266" s="0" t="n">
        <f aca="false">1/(1+EXP(U266))</f>
        <v>1.19891825741657E-008</v>
      </c>
      <c r="W266" s="0" t="n">
        <f aca="true">RAND()</f>
        <v>0.697090381594404</v>
      </c>
      <c r="X266" s="0" t="n">
        <f aca="false">IF(W266&lt;V266,1,0)</f>
        <v>0</v>
      </c>
      <c r="Y266" s="0" t="n">
        <f aca="false">(M266*(1-X266)+N266*X266)*D266+M266*E266</f>
        <v>2658.67002850573</v>
      </c>
      <c r="Z266" s="0" t="n">
        <f aca="false">((1-X266)*O266+X266*P266)*D266+E266*O266</f>
        <v>70.5873459689678</v>
      </c>
      <c r="AA266" s="0" t="n">
        <f aca="false">IF(D266*X266&gt;0,AA265,Q266)</f>
        <v>7</v>
      </c>
      <c r="AB266" s="0" t="n">
        <f aca="false">(X266*D266)</f>
        <v>0</v>
      </c>
      <c r="AC266" s="0" t="n">
        <f aca="false">SUM(AB$10:AB265)/K266</f>
        <v>0</v>
      </c>
      <c r="AD266" s="0" t="n">
        <f aca="false">R266*E266+D266*(X266*S266+(1-X266)*T266)</f>
        <v>-0.330287599459872</v>
      </c>
      <c r="AE266" s="0" t="n">
        <f aca="false">Z266</f>
        <v>70.5873459689678</v>
      </c>
      <c r="AF266" s="0" t="n">
        <f aca="false">E266*O266</f>
        <v>70.5873459689678</v>
      </c>
      <c r="AG266" s="0" t="n">
        <f aca="false">((1-X266)*O266+X266*P266)*D266</f>
        <v>0</v>
      </c>
      <c r="AH266" s="0" t="n">
        <f aca="false">D266*(LN(EXP(S266)+EXP(T266)))</f>
        <v>-0</v>
      </c>
      <c r="AJ266" s="0" t="n">
        <f aca="false">$J$5</f>
        <v>10</v>
      </c>
      <c r="AK266" s="4" t="n">
        <f aca="false">AJ266+MAX(K266,AK$10:AK265)</f>
        <v>2658.67002850573</v>
      </c>
      <c r="AL266" s="5" t="n">
        <f aca="false">AK266-K266</f>
        <v>70.5873459689678</v>
      </c>
      <c r="AM266" s="0" t="n">
        <f aca="false">-G266*AL266/3600</f>
        <v>-0.330287599459872</v>
      </c>
      <c r="AN266" s="0" t="n">
        <f aca="false">-H266*AL266/3600</f>
        <v>-1.26073896612558</v>
      </c>
      <c r="AO266" s="0" t="n">
        <f aca="false">AM266*E266+AN266*D266</f>
        <v>-0.330287599459872</v>
      </c>
      <c r="AP266" s="0" t="n">
        <f aca="false">AL266*D266</f>
        <v>0</v>
      </c>
      <c r="AR266" s="0" t="n">
        <f aca="false">AN266*D266</f>
        <v>-0</v>
      </c>
      <c r="AS266" s="0" t="n">
        <f aca="false">AH266-AR266</f>
        <v>0</v>
      </c>
    </row>
    <row r="267" customFormat="false" ht="12" hidden="false" customHeight="false" outlineLevel="0" collapsed="false">
      <c r="A267" s="3" t="n">
        <f aca="false">A266+1</f>
        <v>258</v>
      </c>
      <c r="B267" s="3" t="n">
        <f aca="false">IF(A267&lt;$N$4/3,0.1,(IF(A267&gt;2*$N$4/3,0.05,0.12)))</f>
        <v>0.1</v>
      </c>
      <c r="C267" s="4" t="n">
        <f aca="true">RAND()</f>
        <v>0.114544350608201</v>
      </c>
      <c r="D267" s="0" t="n">
        <f aca="false">IF((C267&gt;$M$2),1,0)</f>
        <v>0</v>
      </c>
      <c r="E267" s="0" t="n">
        <f aca="false">1-D267</f>
        <v>1</v>
      </c>
      <c r="F267" s="0" t="n">
        <f aca="true">RAND()</f>
        <v>0.882281739796101</v>
      </c>
      <c r="G267" s="0" t="n">
        <f aca="false">7.75+F267*10</f>
        <v>16.572817397961</v>
      </c>
      <c r="H267" s="0" t="n">
        <f aca="false">LOGINV(F267,2.64,1.139)</f>
        <v>54.1300762602834</v>
      </c>
      <c r="I267" s="0" t="n">
        <v>19.5</v>
      </c>
      <c r="J267" s="4" t="n">
        <f aca="true">-LN(RAND())/B267</f>
        <v>0.259655244673917</v>
      </c>
      <c r="K267" s="4" t="n">
        <f aca="false">K266+J267</f>
        <v>2588.34233778143</v>
      </c>
      <c r="L267" s="4" t="n">
        <f aca="false">(1/$J$4)*(1+AB266)</f>
        <v>10</v>
      </c>
      <c r="M267" s="4" t="n">
        <f aca="false">L267+MAX(K267,Y$10:Y266)</f>
        <v>2668.67002850573</v>
      </c>
      <c r="N267" s="4" t="n">
        <f aca="false">K267</f>
        <v>2588.34233778143</v>
      </c>
      <c r="O267" s="4" t="n">
        <f aca="false">M267-K267</f>
        <v>80.3276907242939</v>
      </c>
      <c r="P267" s="4" t="n">
        <f aca="false">N267-K267</f>
        <v>0</v>
      </c>
      <c r="Q267" s="4" t="n">
        <f aca="false">A267-MATCH(K267,$M$9:M266,1)</f>
        <v>8</v>
      </c>
      <c r="R267" s="0" t="n">
        <f aca="false">-G267*(O267/3600)</f>
        <v>-0.36979337510378</v>
      </c>
      <c r="S267" s="0" t="n">
        <f aca="false">-1*I267-(H267*(P267/3600))</f>
        <v>-19.5</v>
      </c>
      <c r="T267" s="0" t="n">
        <f aca="false">-H267*(O267/3600)</f>
        <v>-1.20781778464403</v>
      </c>
      <c r="U267" s="0" t="n">
        <f aca="false">T267-S267</f>
        <v>18.292182215356</v>
      </c>
      <c r="V267" s="0" t="n">
        <f aca="false">1/(1+EXP(U267))</f>
        <v>1.13711973519747E-008</v>
      </c>
      <c r="W267" s="0" t="n">
        <f aca="true">RAND()</f>
        <v>0.215748848815427</v>
      </c>
      <c r="X267" s="0" t="n">
        <f aca="false">IF(W267&lt;V267,1,0)</f>
        <v>0</v>
      </c>
      <c r="Y267" s="0" t="n">
        <f aca="false">(M267*(1-X267)+N267*X267)*D267+M267*E267</f>
        <v>2668.67002850573</v>
      </c>
      <c r="Z267" s="0" t="n">
        <f aca="false">((1-X267)*O267+X267*P267)*D267+E267*O267</f>
        <v>80.3276907242939</v>
      </c>
      <c r="AA267" s="0" t="n">
        <f aca="false">IF(D267*X267&gt;0,AA266,Q267)</f>
        <v>8</v>
      </c>
      <c r="AB267" s="0" t="n">
        <f aca="false">(X267*D267)</f>
        <v>0</v>
      </c>
      <c r="AC267" s="0" t="n">
        <f aca="false">SUM(AB$10:AB266)/K267</f>
        <v>0</v>
      </c>
      <c r="AD267" s="0" t="n">
        <f aca="false">R267*E267+D267*(X267*S267+(1-X267)*T267)</f>
        <v>-0.36979337510378</v>
      </c>
      <c r="AE267" s="0" t="n">
        <f aca="false">Z267</f>
        <v>80.3276907242939</v>
      </c>
      <c r="AF267" s="0" t="n">
        <f aca="false">E267*O267</f>
        <v>80.3276907242939</v>
      </c>
      <c r="AG267" s="0" t="n">
        <f aca="false">((1-X267)*O267+X267*P267)*D267</f>
        <v>0</v>
      </c>
      <c r="AH267" s="0" t="n">
        <f aca="false">D267*(LN(EXP(S267)+EXP(T267)))</f>
        <v>-0</v>
      </c>
      <c r="AJ267" s="0" t="n">
        <f aca="false">$J$5</f>
        <v>10</v>
      </c>
      <c r="AK267" s="4" t="n">
        <f aca="false">AJ267+MAX(K267,AK$10:AK266)</f>
        <v>2668.67002850573</v>
      </c>
      <c r="AL267" s="5" t="n">
        <f aca="false">AK267-K267</f>
        <v>80.3276907242939</v>
      </c>
      <c r="AM267" s="0" t="n">
        <f aca="false">-G267*AL267/3600</f>
        <v>-0.36979337510378</v>
      </c>
      <c r="AN267" s="0" t="n">
        <f aca="false">-H267*AL267/3600</f>
        <v>-1.20781778464403</v>
      </c>
      <c r="AO267" s="0" t="n">
        <f aca="false">AM267*E267+AN267*D267</f>
        <v>-0.36979337510378</v>
      </c>
      <c r="AP267" s="0" t="n">
        <f aca="false">AL267*D267</f>
        <v>0</v>
      </c>
      <c r="AR267" s="0" t="n">
        <f aca="false">AN267*D267</f>
        <v>-0</v>
      </c>
      <c r="AS267" s="0" t="n">
        <f aca="false">AH267-AR267</f>
        <v>0</v>
      </c>
    </row>
    <row r="268" customFormat="false" ht="12" hidden="false" customHeight="false" outlineLevel="0" collapsed="false">
      <c r="A268" s="3" t="n">
        <f aca="false">A267+1</f>
        <v>259</v>
      </c>
      <c r="B268" s="3" t="n">
        <f aca="false">IF(A268&lt;$N$4/3,0.1,(IF(A268&gt;2*$N$4/3,0.05,0.12)))</f>
        <v>0.1</v>
      </c>
      <c r="C268" s="4" t="n">
        <f aca="true">RAND()</f>
        <v>0.356575737153701</v>
      </c>
      <c r="D268" s="0" t="n">
        <f aca="false">IF((C268&gt;$M$2),1,0)</f>
        <v>0</v>
      </c>
      <c r="E268" s="0" t="n">
        <f aca="false">1-D268</f>
        <v>1</v>
      </c>
      <c r="F268" s="0" t="n">
        <f aca="true">RAND()</f>
        <v>0.727733143773054</v>
      </c>
      <c r="G268" s="0" t="n">
        <f aca="false">7.75+F268*10</f>
        <v>15.0273314377305</v>
      </c>
      <c r="H268" s="0" t="n">
        <f aca="false">LOGINV(F268,2.64,1.139)</f>
        <v>27.9439712988193</v>
      </c>
      <c r="I268" s="0" t="n">
        <v>19.5</v>
      </c>
      <c r="J268" s="4" t="n">
        <f aca="true">-LN(RAND())/B268</f>
        <v>11.3078384528304</v>
      </c>
      <c r="K268" s="4" t="n">
        <f aca="false">K267+J268</f>
        <v>2599.65017623426</v>
      </c>
      <c r="L268" s="4" t="n">
        <f aca="false">(1/$J$4)*(1+AB267)</f>
        <v>10</v>
      </c>
      <c r="M268" s="4" t="n">
        <f aca="false">L268+MAX(K268,Y$10:Y267)</f>
        <v>2678.67002850573</v>
      </c>
      <c r="N268" s="4" t="n">
        <f aca="false">K268</f>
        <v>2599.65017623426</v>
      </c>
      <c r="O268" s="4" t="n">
        <f aca="false">M268-K268</f>
        <v>79.0198522714636</v>
      </c>
      <c r="P268" s="4" t="n">
        <f aca="false">N268-K268</f>
        <v>0</v>
      </c>
      <c r="Q268" s="4" t="n">
        <f aca="false">A268-MATCH(K268,$M$9:M267,1)</f>
        <v>7</v>
      </c>
      <c r="R268" s="0" t="n">
        <f aca="false">-G268*(O268/3600)</f>
        <v>-0.329849308401052</v>
      </c>
      <c r="S268" s="0" t="n">
        <f aca="false">-1*I268-(H268*(P268/3600))</f>
        <v>-19.5</v>
      </c>
      <c r="T268" s="0" t="n">
        <f aca="false">-H268*(O268/3600)</f>
        <v>-0.613369023308533</v>
      </c>
      <c r="U268" s="0" t="n">
        <f aca="false">T268-S268</f>
        <v>18.8866309766915</v>
      </c>
      <c r="V268" s="0" t="n">
        <f aca="false">1/(1+EXP(U268))</f>
        <v>6.27538510205127E-009</v>
      </c>
      <c r="W268" s="0" t="n">
        <f aca="true">RAND()</f>
        <v>0.933543107220296</v>
      </c>
      <c r="X268" s="0" t="n">
        <f aca="false">IF(W268&lt;V268,1,0)</f>
        <v>0</v>
      </c>
      <c r="Y268" s="0" t="n">
        <f aca="false">(M268*(1-X268)+N268*X268)*D268+M268*E268</f>
        <v>2678.67002850573</v>
      </c>
      <c r="Z268" s="0" t="n">
        <f aca="false">((1-X268)*O268+X268*P268)*D268+E268*O268</f>
        <v>79.0198522714636</v>
      </c>
      <c r="AA268" s="0" t="n">
        <f aca="false">IF(D268*X268&gt;0,AA267,Q268)</f>
        <v>7</v>
      </c>
      <c r="AB268" s="0" t="n">
        <f aca="false">(X268*D268)</f>
        <v>0</v>
      </c>
      <c r="AC268" s="0" t="n">
        <f aca="false">SUM(AB$10:AB267)/K268</f>
        <v>0</v>
      </c>
      <c r="AD268" s="0" t="n">
        <f aca="false">R268*E268+D268*(X268*S268+(1-X268)*T268)</f>
        <v>-0.329849308401052</v>
      </c>
      <c r="AE268" s="0" t="n">
        <f aca="false">Z268</f>
        <v>79.0198522714636</v>
      </c>
      <c r="AF268" s="0" t="n">
        <f aca="false">E268*O268</f>
        <v>79.0198522714636</v>
      </c>
      <c r="AG268" s="0" t="n">
        <f aca="false">((1-X268)*O268+X268*P268)*D268</f>
        <v>0</v>
      </c>
      <c r="AH268" s="0" t="n">
        <f aca="false">D268*(LN(EXP(S268)+EXP(T268)))</f>
        <v>-0</v>
      </c>
      <c r="AJ268" s="0" t="n">
        <f aca="false">$J$5</f>
        <v>10</v>
      </c>
      <c r="AK268" s="4" t="n">
        <f aca="false">AJ268+MAX(K268,AK$10:AK267)</f>
        <v>2678.67002850573</v>
      </c>
      <c r="AL268" s="5" t="n">
        <f aca="false">AK268-K268</f>
        <v>79.0198522714636</v>
      </c>
      <c r="AM268" s="0" t="n">
        <f aca="false">-G268*AL268/3600</f>
        <v>-0.329849308401052</v>
      </c>
      <c r="AN268" s="0" t="n">
        <f aca="false">-H268*AL268/3600</f>
        <v>-0.613369023308533</v>
      </c>
      <c r="AO268" s="0" t="n">
        <f aca="false">AM268*E268+AN268*D268</f>
        <v>-0.329849308401052</v>
      </c>
      <c r="AP268" s="0" t="n">
        <f aca="false">AL268*D268</f>
        <v>0</v>
      </c>
      <c r="AR268" s="0" t="n">
        <f aca="false">AN268*D268</f>
        <v>-0</v>
      </c>
      <c r="AS268" s="0" t="n">
        <f aca="false">AH268-AR268</f>
        <v>0</v>
      </c>
    </row>
    <row r="269" customFormat="false" ht="12" hidden="false" customHeight="false" outlineLevel="0" collapsed="false">
      <c r="A269" s="3" t="n">
        <f aca="false">A268+1</f>
        <v>260</v>
      </c>
      <c r="B269" s="3" t="n">
        <f aca="false">IF(A269&lt;$N$4/3,0.1,(IF(A269&gt;2*$N$4/3,0.05,0.12)))</f>
        <v>0.1</v>
      </c>
      <c r="C269" s="4" t="n">
        <f aca="true">RAND()</f>
        <v>0.735809733036757</v>
      </c>
      <c r="D269" s="0" t="n">
        <f aca="false">IF((C269&gt;$M$2),1,0)</f>
        <v>0</v>
      </c>
      <c r="E269" s="0" t="n">
        <f aca="false">1-D269</f>
        <v>1</v>
      </c>
      <c r="F269" s="0" t="n">
        <f aca="true">RAND()</f>
        <v>0.747613124843246</v>
      </c>
      <c r="G269" s="0" t="n">
        <f aca="false">7.75+F269*10</f>
        <v>15.2261312484325</v>
      </c>
      <c r="H269" s="0" t="n">
        <f aca="false">LOGINV(F269,2.64,1.139)</f>
        <v>29.9554152178656</v>
      </c>
      <c r="I269" s="0" t="n">
        <v>19.5</v>
      </c>
      <c r="J269" s="4" t="n">
        <f aca="true">-LN(RAND())/B269</f>
        <v>18.4338860137225</v>
      </c>
      <c r="K269" s="4" t="n">
        <f aca="false">K268+J269</f>
        <v>2618.08406224799</v>
      </c>
      <c r="L269" s="4" t="n">
        <f aca="false">(1/$J$4)*(1+AB268)</f>
        <v>10</v>
      </c>
      <c r="M269" s="4" t="n">
        <f aca="false">L269+MAX(K269,Y$10:Y268)</f>
        <v>2688.67002850573</v>
      </c>
      <c r="N269" s="4" t="n">
        <f aca="false">K269</f>
        <v>2618.08406224799</v>
      </c>
      <c r="O269" s="4" t="n">
        <f aca="false">M269-K269</f>
        <v>70.5859662577409</v>
      </c>
      <c r="P269" s="4" t="n">
        <f aca="false">N269-K269</f>
        <v>0</v>
      </c>
      <c r="Q269" s="4" t="n">
        <f aca="false">A269-MATCH(K269,$M$9:M268,1)</f>
        <v>7</v>
      </c>
      <c r="R269" s="0" t="n">
        <f aca="false">-G269*(O269/3600)</f>
        <v>-0.298541996260497</v>
      </c>
      <c r="S269" s="0" t="n">
        <f aca="false">-1*I269-(H269*(P269/3600))</f>
        <v>-19.5</v>
      </c>
      <c r="T269" s="0" t="n">
        <f aca="false">-H269*(O269/3600)</f>
        <v>-0.587342202168022</v>
      </c>
      <c r="U269" s="0" t="n">
        <f aca="false">T269-S269</f>
        <v>18.912657797832</v>
      </c>
      <c r="V269" s="0" t="n">
        <f aca="false">1/(1+EXP(U269))</f>
        <v>6.1141639156736E-009</v>
      </c>
      <c r="W269" s="0" t="n">
        <f aca="true">RAND()</f>
        <v>0.263082366493987</v>
      </c>
      <c r="X269" s="0" t="n">
        <f aca="false">IF(W269&lt;V269,1,0)</f>
        <v>0</v>
      </c>
      <c r="Y269" s="0" t="n">
        <f aca="false">(M269*(1-X269)+N269*X269)*D269+M269*E269</f>
        <v>2688.67002850573</v>
      </c>
      <c r="Z269" s="0" t="n">
        <f aca="false">((1-X269)*O269+X269*P269)*D269+E269*O269</f>
        <v>70.5859662577409</v>
      </c>
      <c r="AA269" s="0" t="n">
        <f aca="false">IF(D269*X269&gt;0,AA268,Q269)</f>
        <v>7</v>
      </c>
      <c r="AB269" s="0" t="n">
        <f aca="false">(X269*D269)</f>
        <v>0</v>
      </c>
      <c r="AC269" s="0" t="n">
        <f aca="false">SUM(AB$10:AB268)/K269</f>
        <v>0</v>
      </c>
      <c r="AD269" s="0" t="n">
        <f aca="false">R269*E269+D269*(X269*S269+(1-X269)*T269)</f>
        <v>-0.298541996260497</v>
      </c>
      <c r="AE269" s="0" t="n">
        <f aca="false">Z269</f>
        <v>70.5859662577409</v>
      </c>
      <c r="AF269" s="0" t="n">
        <f aca="false">E269*O269</f>
        <v>70.5859662577409</v>
      </c>
      <c r="AG269" s="0" t="n">
        <f aca="false">((1-X269)*O269+X269*P269)*D269</f>
        <v>0</v>
      </c>
      <c r="AH269" s="0" t="n">
        <f aca="false">D269*(LN(EXP(S269)+EXP(T269)))</f>
        <v>-0</v>
      </c>
      <c r="AJ269" s="0" t="n">
        <f aca="false">$J$5</f>
        <v>10</v>
      </c>
      <c r="AK269" s="4" t="n">
        <f aca="false">AJ269+MAX(K269,AK$10:AK268)</f>
        <v>2688.67002850573</v>
      </c>
      <c r="AL269" s="5" t="n">
        <f aca="false">AK269-K269</f>
        <v>70.5859662577409</v>
      </c>
      <c r="AM269" s="0" t="n">
        <f aca="false">-G269*AL269/3600</f>
        <v>-0.298541996260497</v>
      </c>
      <c r="AN269" s="0" t="n">
        <f aca="false">-H269*AL269/3600</f>
        <v>-0.587342202168022</v>
      </c>
      <c r="AO269" s="0" t="n">
        <f aca="false">AM269*E269+AN269*D269</f>
        <v>-0.298541996260497</v>
      </c>
      <c r="AP269" s="0" t="n">
        <f aca="false">AL269*D269</f>
        <v>0</v>
      </c>
      <c r="AR269" s="0" t="n">
        <f aca="false">AN269*D269</f>
        <v>-0</v>
      </c>
      <c r="AS269" s="0" t="n">
        <f aca="false">AH269-AR269</f>
        <v>0</v>
      </c>
    </row>
    <row r="270" customFormat="false" ht="12" hidden="false" customHeight="false" outlineLevel="0" collapsed="false">
      <c r="A270" s="3" t="n">
        <f aca="false">A269+1</f>
        <v>261</v>
      </c>
      <c r="B270" s="3" t="n">
        <f aca="false">IF(A270&lt;$N$4/3,0.1,(IF(A270&gt;2*$N$4/3,0.05,0.12)))</f>
        <v>0.1</v>
      </c>
      <c r="C270" s="4" t="n">
        <f aca="true">RAND()</f>
        <v>0.686655713008633</v>
      </c>
      <c r="D270" s="0" t="n">
        <f aca="false">IF((C270&gt;$M$2),1,0)</f>
        <v>0</v>
      </c>
      <c r="E270" s="0" t="n">
        <f aca="false">1-D270</f>
        <v>1</v>
      </c>
      <c r="F270" s="0" t="n">
        <f aca="true">RAND()</f>
        <v>0.226834853138237</v>
      </c>
      <c r="G270" s="0" t="n">
        <f aca="false">7.75+F270*10</f>
        <v>10.0183485313824</v>
      </c>
      <c r="H270" s="0" t="n">
        <f aca="false">LOGINV(F270,2.64,1.139)</f>
        <v>5.9687327363291</v>
      </c>
      <c r="I270" s="0" t="n">
        <v>19.5</v>
      </c>
      <c r="J270" s="4" t="n">
        <f aca="true">-LN(RAND())/B270</f>
        <v>33.3835953070882</v>
      </c>
      <c r="K270" s="4" t="n">
        <f aca="false">K269+J270</f>
        <v>2651.46765755508</v>
      </c>
      <c r="L270" s="4" t="n">
        <f aca="false">(1/$J$4)*(1+AB269)</f>
        <v>10</v>
      </c>
      <c r="M270" s="4" t="n">
        <f aca="false">L270+MAX(K270,Y$10:Y269)</f>
        <v>2698.67002850573</v>
      </c>
      <c r="N270" s="4" t="n">
        <f aca="false">K270</f>
        <v>2651.46765755508</v>
      </c>
      <c r="O270" s="4" t="n">
        <f aca="false">M270-K270</f>
        <v>47.2023709506525</v>
      </c>
      <c r="P270" s="4" t="n">
        <f aca="false">N270-K270</f>
        <v>0</v>
      </c>
      <c r="Q270" s="4" t="n">
        <f aca="false">A270-MATCH(K270,$M$9:M269,1)</f>
        <v>4</v>
      </c>
      <c r="R270" s="0" t="n">
        <f aca="false">-G270*(O270/3600)</f>
        <v>-0.131358278803121</v>
      </c>
      <c r="S270" s="0" t="n">
        <f aca="false">-1*I270-(H270*(P270/3600))</f>
        <v>-19.5</v>
      </c>
      <c r="T270" s="0" t="n">
        <f aca="false">-H270*(O270/3600)</f>
        <v>-0.0782606490904193</v>
      </c>
      <c r="U270" s="0" t="n">
        <f aca="false">T270-S270</f>
        <v>19.4217393509096</v>
      </c>
      <c r="V270" s="0" t="n">
        <f aca="false">1/(1+EXP(U270))</f>
        <v>3.674902061442E-009</v>
      </c>
      <c r="W270" s="0" t="n">
        <f aca="true">RAND()</f>
        <v>0.67682312512278</v>
      </c>
      <c r="X270" s="0" t="n">
        <f aca="false">IF(W270&lt;V270,1,0)</f>
        <v>0</v>
      </c>
      <c r="Y270" s="0" t="n">
        <f aca="false">(M270*(1-X270)+N270*X270)*D270+M270*E270</f>
        <v>2698.67002850573</v>
      </c>
      <c r="Z270" s="0" t="n">
        <f aca="false">((1-X270)*O270+X270*P270)*D270+E270*O270</f>
        <v>47.2023709506525</v>
      </c>
      <c r="AA270" s="0" t="n">
        <f aca="false">IF(D270*X270&gt;0,AA269,Q270)</f>
        <v>4</v>
      </c>
      <c r="AB270" s="0" t="n">
        <f aca="false">(X270*D270)</f>
        <v>0</v>
      </c>
      <c r="AC270" s="0" t="n">
        <f aca="false">SUM(AB$10:AB269)/K270</f>
        <v>0</v>
      </c>
      <c r="AD270" s="0" t="n">
        <f aca="false">R270*E270+D270*(X270*S270+(1-X270)*T270)</f>
        <v>-0.131358278803121</v>
      </c>
      <c r="AE270" s="0" t="n">
        <f aca="false">Z270</f>
        <v>47.2023709506525</v>
      </c>
      <c r="AF270" s="0" t="n">
        <f aca="false">E270*O270</f>
        <v>47.2023709506525</v>
      </c>
      <c r="AG270" s="0" t="n">
        <f aca="false">((1-X270)*O270+X270*P270)*D270</f>
        <v>0</v>
      </c>
      <c r="AH270" s="0" t="n">
        <f aca="false">D270*(LN(EXP(S270)+EXP(T270)))</f>
        <v>-0</v>
      </c>
      <c r="AJ270" s="0" t="n">
        <f aca="false">$J$5</f>
        <v>10</v>
      </c>
      <c r="AK270" s="4" t="n">
        <f aca="false">AJ270+MAX(K270,AK$10:AK269)</f>
        <v>2698.67002850573</v>
      </c>
      <c r="AL270" s="5" t="n">
        <f aca="false">AK270-K270</f>
        <v>47.2023709506525</v>
      </c>
      <c r="AM270" s="0" t="n">
        <f aca="false">-G270*AL270/3600</f>
        <v>-0.131358278803121</v>
      </c>
      <c r="AN270" s="0" t="n">
        <f aca="false">-H270*AL270/3600</f>
        <v>-0.0782606490904193</v>
      </c>
      <c r="AO270" s="0" t="n">
        <f aca="false">AM270*E270+AN270*D270</f>
        <v>-0.131358278803121</v>
      </c>
      <c r="AP270" s="0" t="n">
        <f aca="false">AL270*D270</f>
        <v>0</v>
      </c>
      <c r="AR270" s="0" t="n">
        <f aca="false">AN270*D270</f>
        <v>-0</v>
      </c>
      <c r="AS270" s="0" t="n">
        <f aca="false">AH270-AR270</f>
        <v>0</v>
      </c>
    </row>
    <row r="271" customFormat="false" ht="12" hidden="false" customHeight="false" outlineLevel="0" collapsed="false">
      <c r="A271" s="3" t="n">
        <f aca="false">A270+1</f>
        <v>262</v>
      </c>
      <c r="B271" s="3" t="n">
        <f aca="false">IF(A271&lt;$N$4/3,0.1,(IF(A271&gt;2*$N$4/3,0.05,0.12)))</f>
        <v>0.1</v>
      </c>
      <c r="C271" s="4" t="n">
        <f aca="true">RAND()</f>
        <v>0.313598853410829</v>
      </c>
      <c r="D271" s="0" t="n">
        <f aca="false">IF((C271&gt;$M$2),1,0)</f>
        <v>0</v>
      </c>
      <c r="E271" s="0" t="n">
        <f aca="false">1-D271</f>
        <v>1</v>
      </c>
      <c r="F271" s="0" t="n">
        <f aca="true">RAND()</f>
        <v>0.250077531353277</v>
      </c>
      <c r="G271" s="0" t="n">
        <f aca="false">7.75+F271*10</f>
        <v>10.2507753135328</v>
      </c>
      <c r="H271" s="0" t="n">
        <f aca="false">LOGINV(F271,2.64,1.139)</f>
        <v>6.50150732188907</v>
      </c>
      <c r="I271" s="0" t="n">
        <v>19.5</v>
      </c>
      <c r="J271" s="4" t="n">
        <f aca="true">-LN(RAND())/B271</f>
        <v>2.27012525901046</v>
      </c>
      <c r="K271" s="4" t="n">
        <f aca="false">K270+J271</f>
        <v>2653.73778281409</v>
      </c>
      <c r="L271" s="4" t="n">
        <f aca="false">(1/$J$4)*(1+AB270)</f>
        <v>10</v>
      </c>
      <c r="M271" s="4" t="n">
        <f aca="false">L271+MAX(K271,Y$10:Y270)</f>
        <v>2708.67002850573</v>
      </c>
      <c r="N271" s="4" t="n">
        <f aca="false">K271</f>
        <v>2653.73778281409</v>
      </c>
      <c r="O271" s="4" t="n">
        <f aca="false">M271-K271</f>
        <v>54.932245691642</v>
      </c>
      <c r="P271" s="4" t="n">
        <f aca="false">N271-K271</f>
        <v>0</v>
      </c>
      <c r="Q271" s="4" t="n">
        <f aca="false">A271-MATCH(K271,$M$9:M270,1)</f>
        <v>5</v>
      </c>
      <c r="R271" s="0" t="n">
        <f aca="false">-G271*(O271/3600)</f>
        <v>-0.156416141125778</v>
      </c>
      <c r="S271" s="0" t="n">
        <f aca="false">-1*I271-(H271*(P271/3600))</f>
        <v>-19.5</v>
      </c>
      <c r="T271" s="0" t="n">
        <f aca="false">-H271*(O271/3600)</f>
        <v>-0.0992062215477834</v>
      </c>
      <c r="U271" s="0" t="n">
        <f aca="false">T271-S271</f>
        <v>19.4007937784522</v>
      </c>
      <c r="V271" s="0" t="n">
        <f aca="false">1/(1+EXP(U271))</f>
        <v>3.75268676738334E-009</v>
      </c>
      <c r="W271" s="0" t="n">
        <f aca="true">RAND()</f>
        <v>0.080058411492907</v>
      </c>
      <c r="X271" s="0" t="n">
        <f aca="false">IF(W271&lt;V271,1,0)</f>
        <v>0</v>
      </c>
      <c r="Y271" s="0" t="n">
        <f aca="false">(M271*(1-X271)+N271*X271)*D271+M271*E271</f>
        <v>2708.67002850573</v>
      </c>
      <c r="Z271" s="0" t="n">
        <f aca="false">((1-X271)*O271+X271*P271)*D271+E271*O271</f>
        <v>54.932245691642</v>
      </c>
      <c r="AA271" s="0" t="n">
        <f aca="false">IF(D271*X271&gt;0,AA270,Q271)</f>
        <v>5</v>
      </c>
      <c r="AB271" s="0" t="n">
        <f aca="false">(X271*D271)</f>
        <v>0</v>
      </c>
      <c r="AC271" s="0" t="n">
        <f aca="false">SUM(AB$10:AB270)/K271</f>
        <v>0</v>
      </c>
      <c r="AD271" s="0" t="n">
        <f aca="false">R271*E271+D271*(X271*S271+(1-X271)*T271)</f>
        <v>-0.156416141125778</v>
      </c>
      <c r="AE271" s="0" t="n">
        <f aca="false">Z271</f>
        <v>54.932245691642</v>
      </c>
      <c r="AF271" s="0" t="n">
        <f aca="false">E271*O271</f>
        <v>54.932245691642</v>
      </c>
      <c r="AG271" s="0" t="n">
        <f aca="false">((1-X271)*O271+X271*P271)*D271</f>
        <v>0</v>
      </c>
      <c r="AH271" s="0" t="n">
        <f aca="false">D271*(LN(EXP(S271)+EXP(T271)))</f>
        <v>-0</v>
      </c>
      <c r="AJ271" s="0" t="n">
        <f aca="false">$J$5</f>
        <v>10</v>
      </c>
      <c r="AK271" s="4" t="n">
        <f aca="false">AJ271+MAX(K271,AK$10:AK270)</f>
        <v>2708.67002850573</v>
      </c>
      <c r="AL271" s="5" t="n">
        <f aca="false">AK271-K271</f>
        <v>54.932245691642</v>
      </c>
      <c r="AM271" s="0" t="n">
        <f aca="false">-G271*AL271/3600</f>
        <v>-0.156416141125778</v>
      </c>
      <c r="AN271" s="0" t="n">
        <f aca="false">-H271*AL271/3600</f>
        <v>-0.0992062215477834</v>
      </c>
      <c r="AO271" s="0" t="n">
        <f aca="false">AM271*E271+AN271*D271</f>
        <v>-0.156416141125778</v>
      </c>
      <c r="AP271" s="0" t="n">
        <f aca="false">AL271*D271</f>
        <v>0</v>
      </c>
      <c r="AR271" s="0" t="n">
        <f aca="false">AN271*D271</f>
        <v>-0</v>
      </c>
      <c r="AS271" s="0" t="n">
        <f aca="false">AH271-AR271</f>
        <v>0</v>
      </c>
    </row>
    <row r="272" customFormat="false" ht="12" hidden="false" customHeight="false" outlineLevel="0" collapsed="false">
      <c r="A272" s="3" t="n">
        <f aca="false">A271+1</f>
        <v>263</v>
      </c>
      <c r="B272" s="3" t="n">
        <f aca="false">IF(A272&lt;$N$4/3,0.1,(IF(A272&gt;2*$N$4/3,0.05,0.12)))</f>
        <v>0.1</v>
      </c>
      <c r="C272" s="4" t="n">
        <f aca="true">RAND()</f>
        <v>0.735905862240964</v>
      </c>
      <c r="D272" s="0" t="n">
        <f aca="false">IF((C272&gt;$M$2),1,0)</f>
        <v>0</v>
      </c>
      <c r="E272" s="0" t="n">
        <f aca="false">1-D272</f>
        <v>1</v>
      </c>
      <c r="F272" s="0" t="n">
        <f aca="true">RAND()</f>
        <v>0.487617075448731</v>
      </c>
      <c r="G272" s="0" t="n">
        <f aca="false">7.75+F272*10</f>
        <v>12.6261707544873</v>
      </c>
      <c r="H272" s="0" t="n">
        <f aca="false">LOGINV(F272,2.64,1.139)</f>
        <v>13.526361124355</v>
      </c>
      <c r="I272" s="0" t="n">
        <v>19.5</v>
      </c>
      <c r="J272" s="4" t="n">
        <f aca="true">-LN(RAND())/B272</f>
        <v>4.63934095022682</v>
      </c>
      <c r="K272" s="4" t="n">
        <f aca="false">K271+J272</f>
        <v>2658.37712376431</v>
      </c>
      <c r="L272" s="4" t="n">
        <f aca="false">(1/$J$4)*(1+AB271)</f>
        <v>10</v>
      </c>
      <c r="M272" s="4" t="n">
        <f aca="false">L272+MAX(K272,Y$10:Y271)</f>
        <v>2718.67002850573</v>
      </c>
      <c r="N272" s="4" t="n">
        <f aca="false">K272</f>
        <v>2658.37712376431</v>
      </c>
      <c r="O272" s="4" t="n">
        <f aca="false">M272-K272</f>
        <v>60.2929047414154</v>
      </c>
      <c r="P272" s="4" t="n">
        <f aca="false">N272-K272</f>
        <v>0</v>
      </c>
      <c r="Q272" s="4" t="n">
        <f aca="false">A272-MATCH(K272,$M$9:M271,1)</f>
        <v>6</v>
      </c>
      <c r="R272" s="0" t="n">
        <f aca="false">-G272*(O272/3600)</f>
        <v>-0.211463475152541</v>
      </c>
      <c r="S272" s="0" t="n">
        <f aca="false">-1*I272-(H272*(P272/3600))</f>
        <v>-19.5</v>
      </c>
      <c r="T272" s="0" t="n">
        <f aca="false">-H272*(O272/3600)</f>
        <v>-0.226539889657979</v>
      </c>
      <c r="U272" s="0" t="n">
        <f aca="false">T272-S272</f>
        <v>19.273460110342</v>
      </c>
      <c r="V272" s="0" t="n">
        <f aca="false">1/(1+EXP(U272))</f>
        <v>4.26228636771334E-009</v>
      </c>
      <c r="W272" s="0" t="n">
        <f aca="true">RAND()</f>
        <v>0.743754997698296</v>
      </c>
      <c r="X272" s="0" t="n">
        <f aca="false">IF(W272&lt;V272,1,0)</f>
        <v>0</v>
      </c>
      <c r="Y272" s="0" t="n">
        <f aca="false">(M272*(1-X272)+N272*X272)*D272+M272*E272</f>
        <v>2718.67002850573</v>
      </c>
      <c r="Z272" s="0" t="n">
        <f aca="false">((1-X272)*O272+X272*P272)*D272+E272*O272</f>
        <v>60.2929047414154</v>
      </c>
      <c r="AA272" s="0" t="n">
        <f aca="false">IF(D272*X272&gt;0,AA271,Q272)</f>
        <v>6</v>
      </c>
      <c r="AB272" s="0" t="n">
        <f aca="false">(X272*D272)</f>
        <v>0</v>
      </c>
      <c r="AC272" s="0" t="n">
        <f aca="false">SUM(AB$10:AB271)/K272</f>
        <v>0</v>
      </c>
      <c r="AD272" s="0" t="n">
        <f aca="false">R272*E272+D272*(X272*S272+(1-X272)*T272)</f>
        <v>-0.211463475152541</v>
      </c>
      <c r="AE272" s="0" t="n">
        <f aca="false">Z272</f>
        <v>60.2929047414154</v>
      </c>
      <c r="AF272" s="0" t="n">
        <f aca="false">E272*O272</f>
        <v>60.2929047414154</v>
      </c>
      <c r="AG272" s="0" t="n">
        <f aca="false">((1-X272)*O272+X272*P272)*D272</f>
        <v>0</v>
      </c>
      <c r="AH272" s="0" t="n">
        <f aca="false">D272*(LN(EXP(S272)+EXP(T272)))</f>
        <v>-0</v>
      </c>
      <c r="AJ272" s="0" t="n">
        <f aca="false">$J$5</f>
        <v>10</v>
      </c>
      <c r="AK272" s="4" t="n">
        <f aca="false">AJ272+MAX(K272,AK$10:AK271)</f>
        <v>2718.67002850573</v>
      </c>
      <c r="AL272" s="5" t="n">
        <f aca="false">AK272-K272</f>
        <v>60.2929047414154</v>
      </c>
      <c r="AM272" s="0" t="n">
        <f aca="false">-G272*AL272/3600</f>
        <v>-0.211463475152541</v>
      </c>
      <c r="AN272" s="0" t="n">
        <f aca="false">-H272*AL272/3600</f>
        <v>-0.226539889657979</v>
      </c>
      <c r="AO272" s="0" t="n">
        <f aca="false">AM272*E272+AN272*D272</f>
        <v>-0.211463475152541</v>
      </c>
      <c r="AP272" s="0" t="n">
        <f aca="false">AL272*D272</f>
        <v>0</v>
      </c>
      <c r="AR272" s="0" t="n">
        <f aca="false">AN272*D272</f>
        <v>-0</v>
      </c>
      <c r="AS272" s="0" t="n">
        <f aca="false">AH272-AR272</f>
        <v>0</v>
      </c>
    </row>
    <row r="273" customFormat="false" ht="12" hidden="false" customHeight="false" outlineLevel="0" collapsed="false">
      <c r="A273" s="3" t="n">
        <f aca="false">A272+1</f>
        <v>264</v>
      </c>
      <c r="B273" s="3" t="n">
        <f aca="false">IF(A273&lt;$N$4/3,0.1,(IF(A273&gt;2*$N$4/3,0.05,0.12)))</f>
        <v>0.1</v>
      </c>
      <c r="C273" s="4" t="n">
        <f aca="true">RAND()</f>
        <v>0.601303481070185</v>
      </c>
      <c r="D273" s="0" t="n">
        <f aca="false">IF((C273&gt;$M$2),1,0)</f>
        <v>0</v>
      </c>
      <c r="E273" s="0" t="n">
        <f aca="false">1-D273</f>
        <v>1</v>
      </c>
      <c r="F273" s="0" t="n">
        <f aca="true">RAND()</f>
        <v>0.896400928208108</v>
      </c>
      <c r="G273" s="0" t="n">
        <f aca="false">7.75+F273*10</f>
        <v>16.7140092820811</v>
      </c>
      <c r="H273" s="0" t="n">
        <f aca="false">LOGINV(F273,2.64,1.139)</f>
        <v>58.9464286070605</v>
      </c>
      <c r="I273" s="0" t="n">
        <v>19.5</v>
      </c>
      <c r="J273" s="4" t="n">
        <f aca="true">-LN(RAND())/B273</f>
        <v>0.449887693467358</v>
      </c>
      <c r="K273" s="4" t="n">
        <f aca="false">K272+J273</f>
        <v>2658.82701145778</v>
      </c>
      <c r="L273" s="4" t="n">
        <f aca="false">(1/$J$4)*(1+AB272)</f>
        <v>10</v>
      </c>
      <c r="M273" s="4" t="n">
        <f aca="false">L273+MAX(K273,Y$10:Y272)</f>
        <v>2728.67002850573</v>
      </c>
      <c r="N273" s="4" t="n">
        <f aca="false">K273</f>
        <v>2658.82701145778</v>
      </c>
      <c r="O273" s="4" t="n">
        <f aca="false">M273-K273</f>
        <v>69.8430170479483</v>
      </c>
      <c r="P273" s="4" t="n">
        <f aca="false">N273-K273</f>
        <v>0</v>
      </c>
      <c r="Q273" s="4" t="n">
        <f aca="false">A273-MATCH(K273,$M$9:M272,1)</f>
        <v>6</v>
      </c>
      <c r="R273" s="0" t="n">
        <f aca="false">-G273*(O273/3600)</f>
        <v>-0.324265787563321</v>
      </c>
      <c r="S273" s="0" t="n">
        <f aca="false">-1*I273-(H273*(P273/3600))</f>
        <v>-19.5</v>
      </c>
      <c r="T273" s="0" t="n">
        <f aca="false">-H273*(O273/3600)</f>
        <v>-1.14361011614405</v>
      </c>
      <c r="U273" s="0" t="n">
        <f aca="false">T273-S273</f>
        <v>18.3563898838559</v>
      </c>
      <c r="V273" s="0" t="n">
        <f aca="false">1/(1+EXP(U273))</f>
        <v>1.06640251622712E-008</v>
      </c>
      <c r="W273" s="0" t="n">
        <f aca="true">RAND()</f>
        <v>0.5529156220221</v>
      </c>
      <c r="X273" s="0" t="n">
        <f aca="false">IF(W273&lt;V273,1,0)</f>
        <v>0</v>
      </c>
      <c r="Y273" s="0" t="n">
        <f aca="false">(M273*(1-X273)+N273*X273)*D273+M273*E273</f>
        <v>2728.67002850573</v>
      </c>
      <c r="Z273" s="0" t="n">
        <f aca="false">((1-X273)*O273+X273*P273)*D273+E273*O273</f>
        <v>69.8430170479483</v>
      </c>
      <c r="AA273" s="0" t="n">
        <f aca="false">IF(D273*X273&gt;0,AA272,Q273)</f>
        <v>6</v>
      </c>
      <c r="AB273" s="0" t="n">
        <f aca="false">(X273*D273)</f>
        <v>0</v>
      </c>
      <c r="AC273" s="0" t="n">
        <f aca="false">SUM(AB$10:AB272)/K273</f>
        <v>0</v>
      </c>
      <c r="AD273" s="0" t="n">
        <f aca="false">R273*E273+D273*(X273*S273+(1-X273)*T273)</f>
        <v>-0.324265787563321</v>
      </c>
      <c r="AE273" s="0" t="n">
        <f aca="false">Z273</f>
        <v>69.8430170479483</v>
      </c>
      <c r="AF273" s="0" t="n">
        <f aca="false">E273*O273</f>
        <v>69.8430170479483</v>
      </c>
      <c r="AG273" s="0" t="n">
        <f aca="false">((1-X273)*O273+X273*P273)*D273</f>
        <v>0</v>
      </c>
      <c r="AH273" s="0" t="n">
        <f aca="false">D273*(LN(EXP(S273)+EXP(T273)))</f>
        <v>-0</v>
      </c>
      <c r="AJ273" s="0" t="n">
        <f aca="false">$J$5</f>
        <v>10</v>
      </c>
      <c r="AK273" s="4" t="n">
        <f aca="false">AJ273+MAX(K273,AK$10:AK272)</f>
        <v>2728.67002850573</v>
      </c>
      <c r="AL273" s="5" t="n">
        <f aca="false">AK273-K273</f>
        <v>69.8430170479483</v>
      </c>
      <c r="AM273" s="0" t="n">
        <f aca="false">-G273*AL273/3600</f>
        <v>-0.32426578756332</v>
      </c>
      <c r="AN273" s="0" t="n">
        <f aca="false">-H273*AL273/3600</f>
        <v>-1.14361011614405</v>
      </c>
      <c r="AO273" s="0" t="n">
        <f aca="false">AM273*E273+AN273*D273</f>
        <v>-0.32426578756332</v>
      </c>
      <c r="AP273" s="0" t="n">
        <f aca="false">AL273*D273</f>
        <v>0</v>
      </c>
      <c r="AR273" s="0" t="n">
        <f aca="false">AN273*D273</f>
        <v>-0</v>
      </c>
      <c r="AS273" s="0" t="n">
        <f aca="false">AH273-AR273</f>
        <v>0</v>
      </c>
    </row>
    <row r="274" customFormat="false" ht="12" hidden="false" customHeight="false" outlineLevel="0" collapsed="false">
      <c r="A274" s="3" t="n">
        <f aca="false">A273+1</f>
        <v>265</v>
      </c>
      <c r="B274" s="3" t="n">
        <f aca="false">IF(A274&lt;$N$4/3,0.1,(IF(A274&gt;2*$N$4/3,0.05,0.12)))</f>
        <v>0.1</v>
      </c>
      <c r="C274" s="4" t="n">
        <f aca="true">RAND()</f>
        <v>0.372696983002071</v>
      </c>
      <c r="D274" s="0" t="n">
        <f aca="false">IF((C274&gt;$M$2),1,0)</f>
        <v>0</v>
      </c>
      <c r="E274" s="0" t="n">
        <f aca="false">1-D274</f>
        <v>1</v>
      </c>
      <c r="F274" s="0" t="n">
        <f aca="true">RAND()</f>
        <v>0.609958143581114</v>
      </c>
      <c r="G274" s="0" t="n">
        <f aca="false">7.75+F274*10</f>
        <v>13.8495814358111</v>
      </c>
      <c r="H274" s="0" t="n">
        <f aca="false">LOGINV(F274,2.64,1.139)</f>
        <v>19.2598020035927</v>
      </c>
      <c r="I274" s="0" t="n">
        <v>19.5</v>
      </c>
      <c r="J274" s="4" t="n">
        <f aca="true">-LN(RAND())/B274</f>
        <v>15.8726636877403</v>
      </c>
      <c r="K274" s="4" t="n">
        <f aca="false">K273+J274</f>
        <v>2674.69967514552</v>
      </c>
      <c r="L274" s="4" t="n">
        <f aca="false">(1/$J$4)*(1+AB273)</f>
        <v>10</v>
      </c>
      <c r="M274" s="4" t="n">
        <f aca="false">L274+MAX(K274,Y$10:Y273)</f>
        <v>2738.67002850573</v>
      </c>
      <c r="N274" s="4" t="n">
        <f aca="false">K274</f>
        <v>2674.69967514552</v>
      </c>
      <c r="O274" s="4" t="n">
        <f aca="false">M274-K274</f>
        <v>63.9703533602078</v>
      </c>
      <c r="P274" s="4" t="n">
        <f aca="false">N274-K274</f>
        <v>0</v>
      </c>
      <c r="Q274" s="4" t="n">
        <f aca="false">A274-MATCH(K274,$M$9:M273,1)</f>
        <v>6</v>
      </c>
      <c r="R274" s="0" t="n">
        <f aca="false">-G274*(O274/3600)</f>
        <v>-0.246100727316615</v>
      </c>
      <c r="S274" s="0" t="n">
        <f aca="false">-1*I274-(H274*(P274/3600))</f>
        <v>-19.5</v>
      </c>
      <c r="T274" s="0" t="n">
        <f aca="false">-H274*(O274/3600)</f>
        <v>-0.342237872171518</v>
      </c>
      <c r="U274" s="0" t="n">
        <f aca="false">T274-S274</f>
        <v>19.1577621278285</v>
      </c>
      <c r="V274" s="0" t="n">
        <f aca="false">1/(1+EXP(U274))</f>
        <v>4.78508459681043E-009</v>
      </c>
      <c r="W274" s="0" t="n">
        <f aca="true">RAND()</f>
        <v>0.317432500831956</v>
      </c>
      <c r="X274" s="0" t="n">
        <f aca="false">IF(W274&lt;V274,1,0)</f>
        <v>0</v>
      </c>
      <c r="Y274" s="0" t="n">
        <f aca="false">(M274*(1-X274)+N274*X274)*D274+M274*E274</f>
        <v>2738.67002850573</v>
      </c>
      <c r="Z274" s="0" t="n">
        <f aca="false">((1-X274)*O274+X274*P274)*D274+E274*O274</f>
        <v>63.9703533602078</v>
      </c>
      <c r="AA274" s="0" t="n">
        <f aca="false">IF(D274*X274&gt;0,AA273,Q274)</f>
        <v>6</v>
      </c>
      <c r="AB274" s="0" t="n">
        <f aca="false">(X274*D274)</f>
        <v>0</v>
      </c>
      <c r="AC274" s="0" t="n">
        <f aca="false">SUM(AB$10:AB273)/K274</f>
        <v>0</v>
      </c>
      <c r="AD274" s="0" t="n">
        <f aca="false">R274*E274+D274*(X274*S274+(1-X274)*T274)</f>
        <v>-0.246100727316615</v>
      </c>
      <c r="AE274" s="0" t="n">
        <f aca="false">Z274</f>
        <v>63.9703533602078</v>
      </c>
      <c r="AF274" s="0" t="n">
        <f aca="false">E274*O274</f>
        <v>63.9703533602078</v>
      </c>
      <c r="AG274" s="0" t="n">
        <f aca="false">((1-X274)*O274+X274*P274)*D274</f>
        <v>0</v>
      </c>
      <c r="AH274" s="0" t="n">
        <f aca="false">D274*(LN(EXP(S274)+EXP(T274)))</f>
        <v>-0</v>
      </c>
      <c r="AJ274" s="0" t="n">
        <f aca="false">$J$5</f>
        <v>10</v>
      </c>
      <c r="AK274" s="4" t="n">
        <f aca="false">AJ274+MAX(K274,AK$10:AK273)</f>
        <v>2738.67002850573</v>
      </c>
      <c r="AL274" s="5" t="n">
        <f aca="false">AK274-K274</f>
        <v>63.9703533602078</v>
      </c>
      <c r="AM274" s="0" t="n">
        <f aca="false">-G274*AL274/3600</f>
        <v>-0.246100727316615</v>
      </c>
      <c r="AN274" s="0" t="n">
        <f aca="false">-H274*AL274/3600</f>
        <v>-0.342237872171518</v>
      </c>
      <c r="AO274" s="0" t="n">
        <f aca="false">AM274*E274+AN274*D274</f>
        <v>-0.246100727316615</v>
      </c>
      <c r="AP274" s="0" t="n">
        <f aca="false">AL274*D274</f>
        <v>0</v>
      </c>
      <c r="AR274" s="0" t="n">
        <f aca="false">AN274*D274</f>
        <v>-0</v>
      </c>
      <c r="AS274" s="0" t="n">
        <f aca="false">AH274-AR274</f>
        <v>0</v>
      </c>
    </row>
    <row r="275" customFormat="false" ht="12" hidden="false" customHeight="false" outlineLevel="0" collapsed="false">
      <c r="A275" s="3" t="n">
        <f aca="false">A274+1</f>
        <v>266</v>
      </c>
      <c r="B275" s="3" t="n">
        <f aca="false">IF(A275&lt;$N$4/3,0.1,(IF(A275&gt;2*$N$4/3,0.05,0.12)))</f>
        <v>0.1</v>
      </c>
      <c r="C275" s="4" t="n">
        <f aca="true">RAND()</f>
        <v>0.249572656070171</v>
      </c>
      <c r="D275" s="0" t="n">
        <f aca="false">IF((C275&gt;$M$2),1,0)</f>
        <v>0</v>
      </c>
      <c r="E275" s="0" t="n">
        <f aca="false">1-D275</f>
        <v>1</v>
      </c>
      <c r="F275" s="0" t="n">
        <f aca="true">RAND()</f>
        <v>0.554443798007787</v>
      </c>
      <c r="G275" s="0" t="n">
        <f aca="false">7.75+F275*10</f>
        <v>13.2944379800779</v>
      </c>
      <c r="H275" s="0" t="n">
        <f aca="false">LOGINV(F275,2.64,1.139)</f>
        <v>16.3777777989749</v>
      </c>
      <c r="I275" s="0" t="n">
        <v>19.5</v>
      </c>
      <c r="J275" s="4" t="n">
        <f aca="true">-LN(RAND())/B275</f>
        <v>28.3819324507645</v>
      </c>
      <c r="K275" s="4" t="n">
        <f aca="false">K274+J275</f>
        <v>2703.08160759629</v>
      </c>
      <c r="L275" s="4" t="n">
        <f aca="false">(1/$J$4)*(1+AB274)</f>
        <v>10</v>
      </c>
      <c r="M275" s="4" t="n">
        <f aca="false">L275+MAX(K275,Y$10:Y274)</f>
        <v>2748.67002850573</v>
      </c>
      <c r="N275" s="4" t="n">
        <f aca="false">K275</f>
        <v>2703.08160759629</v>
      </c>
      <c r="O275" s="4" t="n">
        <f aca="false">M275-K275</f>
        <v>45.5884209094434</v>
      </c>
      <c r="P275" s="4" t="n">
        <f aca="false">N275-K275</f>
        <v>0</v>
      </c>
      <c r="Q275" s="4" t="n">
        <f aca="false">A275-MATCH(K275,$M$9:M274,1)</f>
        <v>4</v>
      </c>
      <c r="R275" s="0" t="n">
        <f aca="false">-G275*(O275/3600)</f>
        <v>-0.1683534539973</v>
      </c>
      <c r="S275" s="0" t="n">
        <f aca="false">-1*I275-(H275*(P275/3600))</f>
        <v>-19.5</v>
      </c>
      <c r="T275" s="0" t="n">
        <f aca="false">-H275*(O275/3600)</f>
        <v>-0.207399174405835</v>
      </c>
      <c r="U275" s="0" t="n">
        <f aca="false">T275-S275</f>
        <v>19.2926008255942</v>
      </c>
      <c r="V275" s="0" t="n">
        <f aca="false">1/(1+EXP(U275))</f>
        <v>4.18147898103776E-009</v>
      </c>
      <c r="W275" s="0" t="n">
        <f aca="true">RAND()</f>
        <v>0.2693039307125</v>
      </c>
      <c r="X275" s="0" t="n">
        <f aca="false">IF(W275&lt;V275,1,0)</f>
        <v>0</v>
      </c>
      <c r="Y275" s="0" t="n">
        <f aca="false">(M275*(1-X275)+N275*X275)*D275+M275*E275</f>
        <v>2748.67002850573</v>
      </c>
      <c r="Z275" s="0" t="n">
        <f aca="false">((1-X275)*O275+X275*P275)*D275+E275*O275</f>
        <v>45.5884209094434</v>
      </c>
      <c r="AA275" s="0" t="n">
        <f aca="false">IF(D275*X275&gt;0,AA274,Q275)</f>
        <v>4</v>
      </c>
      <c r="AB275" s="0" t="n">
        <f aca="false">(X275*D275)</f>
        <v>0</v>
      </c>
      <c r="AC275" s="0" t="n">
        <f aca="false">SUM(AB$10:AB274)/K275</f>
        <v>0</v>
      </c>
      <c r="AD275" s="0" t="n">
        <f aca="false">R275*E275+D275*(X275*S275+(1-X275)*T275)</f>
        <v>-0.1683534539973</v>
      </c>
      <c r="AE275" s="0" t="n">
        <f aca="false">Z275</f>
        <v>45.5884209094434</v>
      </c>
      <c r="AF275" s="0" t="n">
        <f aca="false">E275*O275</f>
        <v>45.5884209094434</v>
      </c>
      <c r="AG275" s="0" t="n">
        <f aca="false">((1-X275)*O275+X275*P275)*D275</f>
        <v>0</v>
      </c>
      <c r="AH275" s="0" t="n">
        <f aca="false">D275*(LN(EXP(S275)+EXP(T275)))</f>
        <v>-0</v>
      </c>
      <c r="AJ275" s="0" t="n">
        <f aca="false">$J$5</f>
        <v>10</v>
      </c>
      <c r="AK275" s="4" t="n">
        <f aca="false">AJ275+MAX(K275,AK$10:AK274)</f>
        <v>2748.67002850573</v>
      </c>
      <c r="AL275" s="5" t="n">
        <f aca="false">AK275-K275</f>
        <v>45.5884209094434</v>
      </c>
      <c r="AM275" s="0" t="n">
        <f aca="false">-G275*AL275/3600</f>
        <v>-0.1683534539973</v>
      </c>
      <c r="AN275" s="0" t="n">
        <f aca="false">-H275*AL275/3600</f>
        <v>-0.207399174405835</v>
      </c>
      <c r="AO275" s="0" t="n">
        <f aca="false">AM275*E275+AN275*D275</f>
        <v>-0.1683534539973</v>
      </c>
      <c r="AP275" s="0" t="n">
        <f aca="false">AL275*D275</f>
        <v>0</v>
      </c>
      <c r="AR275" s="0" t="n">
        <f aca="false">AN275*D275</f>
        <v>-0</v>
      </c>
      <c r="AS275" s="0" t="n">
        <f aca="false">AH275-AR275</f>
        <v>0</v>
      </c>
    </row>
    <row r="276" customFormat="false" ht="12" hidden="false" customHeight="false" outlineLevel="0" collapsed="false">
      <c r="A276" s="3" t="n">
        <f aca="false">A275+1</f>
        <v>267</v>
      </c>
      <c r="B276" s="3" t="n">
        <f aca="false">IF(A276&lt;$N$4/3,0.1,(IF(A276&gt;2*$N$4/3,0.05,0.12)))</f>
        <v>0.1</v>
      </c>
      <c r="C276" s="4" t="n">
        <f aca="true">RAND()</f>
        <v>0.215243704561399</v>
      </c>
      <c r="D276" s="0" t="n">
        <f aca="false">IF((C276&gt;$M$2),1,0)</f>
        <v>0</v>
      </c>
      <c r="E276" s="0" t="n">
        <f aca="false">1-D276</f>
        <v>1</v>
      </c>
      <c r="F276" s="0" t="n">
        <f aca="true">RAND()</f>
        <v>0.171724042840074</v>
      </c>
      <c r="G276" s="0" t="n">
        <f aca="false">7.75+F276*10</f>
        <v>9.46724042840074</v>
      </c>
      <c r="H276" s="0" t="n">
        <f aca="false">LOGINV(F276,2.64,1.139)</f>
        <v>4.76329987990064</v>
      </c>
      <c r="I276" s="0" t="n">
        <v>19.5</v>
      </c>
      <c r="J276" s="4" t="n">
        <f aca="true">-LN(RAND())/B276</f>
        <v>0.956094569716053</v>
      </c>
      <c r="K276" s="4" t="n">
        <f aca="false">K275+J276</f>
        <v>2704.037702166</v>
      </c>
      <c r="L276" s="4" t="n">
        <f aca="false">(1/$J$4)*(1+AB275)</f>
        <v>10</v>
      </c>
      <c r="M276" s="4" t="n">
        <f aca="false">L276+MAX(K276,Y$10:Y275)</f>
        <v>2758.67002850573</v>
      </c>
      <c r="N276" s="4" t="n">
        <f aca="false">K276</f>
        <v>2704.037702166</v>
      </c>
      <c r="O276" s="4" t="n">
        <f aca="false">M276-K276</f>
        <v>54.6323263397271</v>
      </c>
      <c r="P276" s="4" t="n">
        <f aca="false">N276-K276</f>
        <v>0</v>
      </c>
      <c r="Q276" s="4" t="n">
        <f aca="false">A276-MATCH(K276,$M$9:M275,1)</f>
        <v>5</v>
      </c>
      <c r="R276" s="0" t="n">
        <f aca="false">-G276*(O276/3600)</f>
        <v>-0.143671491283624</v>
      </c>
      <c r="S276" s="0" t="n">
        <f aca="false">-1*I276-(H276*(P276/3600))</f>
        <v>-19.5</v>
      </c>
      <c r="T276" s="0" t="n">
        <f aca="false">-H276*(O276/3600)</f>
        <v>-0.0722861537479764</v>
      </c>
      <c r="U276" s="0" t="n">
        <f aca="false">T276-S276</f>
        <v>19.427713846252</v>
      </c>
      <c r="V276" s="0" t="n">
        <f aca="false">1/(1+EXP(U276))</f>
        <v>3.6530118329199E-009</v>
      </c>
      <c r="W276" s="0" t="n">
        <f aca="true">RAND()</f>
        <v>0.553600124325897</v>
      </c>
      <c r="X276" s="0" t="n">
        <f aca="false">IF(W276&lt;V276,1,0)</f>
        <v>0</v>
      </c>
      <c r="Y276" s="0" t="n">
        <f aca="false">(M276*(1-X276)+N276*X276)*D276+M276*E276</f>
        <v>2758.67002850573</v>
      </c>
      <c r="Z276" s="0" t="n">
        <f aca="false">((1-X276)*O276+X276*P276)*D276+E276*O276</f>
        <v>54.6323263397271</v>
      </c>
      <c r="AA276" s="0" t="n">
        <f aca="false">IF(D276*X276&gt;0,AA275,Q276)</f>
        <v>5</v>
      </c>
      <c r="AB276" s="0" t="n">
        <f aca="false">(X276*D276)</f>
        <v>0</v>
      </c>
      <c r="AC276" s="0" t="n">
        <f aca="false">SUM(AB$10:AB275)/K276</f>
        <v>0</v>
      </c>
      <c r="AD276" s="0" t="n">
        <f aca="false">R276*E276+D276*(X276*S276+(1-X276)*T276)</f>
        <v>-0.143671491283624</v>
      </c>
      <c r="AE276" s="0" t="n">
        <f aca="false">Z276</f>
        <v>54.6323263397271</v>
      </c>
      <c r="AF276" s="0" t="n">
        <f aca="false">E276*O276</f>
        <v>54.6323263397271</v>
      </c>
      <c r="AG276" s="0" t="n">
        <f aca="false">((1-X276)*O276+X276*P276)*D276</f>
        <v>0</v>
      </c>
      <c r="AH276" s="0" t="n">
        <f aca="false">D276*(LN(EXP(S276)+EXP(T276)))</f>
        <v>-0</v>
      </c>
      <c r="AJ276" s="0" t="n">
        <f aca="false">$J$5</f>
        <v>10</v>
      </c>
      <c r="AK276" s="4" t="n">
        <f aca="false">AJ276+MAX(K276,AK$10:AK275)</f>
        <v>2758.67002850573</v>
      </c>
      <c r="AL276" s="5" t="n">
        <f aca="false">AK276-K276</f>
        <v>54.6323263397271</v>
      </c>
      <c r="AM276" s="0" t="n">
        <f aca="false">-G276*AL276/3600</f>
        <v>-0.143671491283624</v>
      </c>
      <c r="AN276" s="0" t="n">
        <f aca="false">-H276*AL276/3600</f>
        <v>-0.0722861537479764</v>
      </c>
      <c r="AO276" s="0" t="n">
        <f aca="false">AM276*E276+AN276*D276</f>
        <v>-0.143671491283624</v>
      </c>
      <c r="AP276" s="0" t="n">
        <f aca="false">AL276*D276</f>
        <v>0</v>
      </c>
      <c r="AR276" s="0" t="n">
        <f aca="false">AN276*D276</f>
        <v>-0</v>
      </c>
      <c r="AS276" s="0" t="n">
        <f aca="false">AH276-AR276</f>
        <v>0</v>
      </c>
    </row>
    <row r="277" customFormat="false" ht="12" hidden="false" customHeight="false" outlineLevel="0" collapsed="false">
      <c r="A277" s="3" t="n">
        <f aca="false">A276+1</f>
        <v>268</v>
      </c>
      <c r="B277" s="3" t="n">
        <f aca="false">IF(A277&lt;$N$4/3,0.1,(IF(A277&gt;2*$N$4/3,0.05,0.12)))</f>
        <v>0.1</v>
      </c>
      <c r="C277" s="4" t="n">
        <f aca="true">RAND()</f>
        <v>0.233450571579027</v>
      </c>
      <c r="D277" s="0" t="n">
        <f aca="false">IF((C277&gt;$M$2),1,0)</f>
        <v>0</v>
      </c>
      <c r="E277" s="0" t="n">
        <f aca="false">1-D277</f>
        <v>1</v>
      </c>
      <c r="F277" s="0" t="n">
        <f aca="true">RAND()</f>
        <v>0.530445109930533</v>
      </c>
      <c r="G277" s="0" t="n">
        <f aca="false">7.75+F277*10</f>
        <v>13.0544510993053</v>
      </c>
      <c r="H277" s="0" t="n">
        <f aca="false">LOGINV(F277,2.64,1.139)</f>
        <v>15.2870618941977</v>
      </c>
      <c r="I277" s="0" t="n">
        <v>19.5</v>
      </c>
      <c r="J277" s="4" t="n">
        <f aca="true">-LN(RAND())/B277</f>
        <v>14.5877284285487</v>
      </c>
      <c r="K277" s="4" t="n">
        <f aca="false">K276+J277</f>
        <v>2718.62543059455</v>
      </c>
      <c r="L277" s="4" t="n">
        <f aca="false">(1/$J$4)*(1+AB276)</f>
        <v>10</v>
      </c>
      <c r="M277" s="4" t="n">
        <f aca="false">L277+MAX(K277,Y$10:Y276)</f>
        <v>2768.67002850573</v>
      </c>
      <c r="N277" s="4" t="n">
        <f aca="false">K277</f>
        <v>2718.62543059455</v>
      </c>
      <c r="O277" s="4" t="n">
        <f aca="false">M277-K277</f>
        <v>50.0445979111782</v>
      </c>
      <c r="P277" s="4" t="n">
        <f aca="false">N277-K277</f>
        <v>0</v>
      </c>
      <c r="Q277" s="4" t="n">
        <f aca="false">A277-MATCH(K277,$M$9:M276,1)</f>
        <v>5</v>
      </c>
      <c r="R277" s="0" t="n">
        <f aca="false">-G277*(O277/3600)</f>
        <v>-0.181473543393298</v>
      </c>
      <c r="S277" s="0" t="n">
        <f aca="false">-1*I277-(H277*(P277/3600))</f>
        <v>-19.5</v>
      </c>
      <c r="T277" s="0" t="n">
        <f aca="false">-H277*(O277/3600)</f>
        <v>-0.212509684927339</v>
      </c>
      <c r="U277" s="0" t="n">
        <f aca="false">T277-S277</f>
        <v>19.2874903150727</v>
      </c>
      <c r="V277" s="0" t="n">
        <f aca="false">1/(1+EXP(U277))</f>
        <v>4.20290317092139E-009</v>
      </c>
      <c r="W277" s="0" t="n">
        <f aca="true">RAND()</f>
        <v>0.936828843253842</v>
      </c>
      <c r="X277" s="0" t="n">
        <f aca="false">IF(W277&lt;V277,1,0)</f>
        <v>0</v>
      </c>
      <c r="Y277" s="0" t="n">
        <f aca="false">(M277*(1-X277)+N277*X277)*D277+M277*E277</f>
        <v>2768.67002850573</v>
      </c>
      <c r="Z277" s="0" t="n">
        <f aca="false">((1-X277)*O277+X277*P277)*D277+E277*O277</f>
        <v>50.0445979111782</v>
      </c>
      <c r="AA277" s="0" t="n">
        <f aca="false">IF(D277*X277&gt;0,AA276,Q277)</f>
        <v>5</v>
      </c>
      <c r="AB277" s="0" t="n">
        <f aca="false">(X277*D277)</f>
        <v>0</v>
      </c>
      <c r="AC277" s="0" t="n">
        <f aca="false">SUM(AB$10:AB276)/K277</f>
        <v>0</v>
      </c>
      <c r="AD277" s="0" t="n">
        <f aca="false">R277*E277+D277*(X277*S277+(1-X277)*T277)</f>
        <v>-0.181473543393298</v>
      </c>
      <c r="AE277" s="0" t="n">
        <f aca="false">Z277</f>
        <v>50.0445979111782</v>
      </c>
      <c r="AF277" s="0" t="n">
        <f aca="false">E277*O277</f>
        <v>50.0445979111782</v>
      </c>
      <c r="AG277" s="0" t="n">
        <f aca="false">((1-X277)*O277+X277*P277)*D277</f>
        <v>0</v>
      </c>
      <c r="AH277" s="0" t="n">
        <f aca="false">D277*(LN(EXP(S277)+EXP(T277)))</f>
        <v>-0</v>
      </c>
      <c r="AJ277" s="0" t="n">
        <f aca="false">$J$5</f>
        <v>10</v>
      </c>
      <c r="AK277" s="4" t="n">
        <f aca="false">AJ277+MAX(K277,AK$10:AK276)</f>
        <v>2768.67002850573</v>
      </c>
      <c r="AL277" s="5" t="n">
        <f aca="false">AK277-K277</f>
        <v>50.0445979111782</v>
      </c>
      <c r="AM277" s="0" t="n">
        <f aca="false">-G277*AL277/3600</f>
        <v>-0.181473543393298</v>
      </c>
      <c r="AN277" s="0" t="n">
        <f aca="false">-H277*AL277/3600</f>
        <v>-0.212509684927339</v>
      </c>
      <c r="AO277" s="0" t="n">
        <f aca="false">AM277*E277+AN277*D277</f>
        <v>-0.181473543393298</v>
      </c>
      <c r="AP277" s="0" t="n">
        <f aca="false">AL277*D277</f>
        <v>0</v>
      </c>
      <c r="AR277" s="0" t="n">
        <f aca="false">AN277*D277</f>
        <v>-0</v>
      </c>
      <c r="AS277" s="0" t="n">
        <f aca="false">AH277-AR277</f>
        <v>0</v>
      </c>
    </row>
    <row r="278" customFormat="false" ht="12" hidden="false" customHeight="false" outlineLevel="0" collapsed="false">
      <c r="A278" s="3" t="n">
        <f aca="false">A277+1</f>
        <v>269</v>
      </c>
      <c r="B278" s="3" t="n">
        <f aca="false">IF(A278&lt;$N$4/3,0.1,(IF(A278&gt;2*$N$4/3,0.05,0.12)))</f>
        <v>0.1</v>
      </c>
      <c r="C278" s="4" t="n">
        <f aca="true">RAND()</f>
        <v>0.24202235268728</v>
      </c>
      <c r="D278" s="0" t="n">
        <f aca="false">IF((C278&gt;$M$2),1,0)</f>
        <v>0</v>
      </c>
      <c r="E278" s="0" t="n">
        <f aca="false">1-D278</f>
        <v>1</v>
      </c>
      <c r="F278" s="0" t="n">
        <f aca="true">RAND()</f>
        <v>0.606541934054721</v>
      </c>
      <c r="G278" s="0" t="n">
        <f aca="false">7.75+F278*10</f>
        <v>13.8154193405472</v>
      </c>
      <c r="H278" s="0" t="n">
        <f aca="false">LOGINV(F278,2.64,1.139)</f>
        <v>19.0657101611196</v>
      </c>
      <c r="I278" s="0" t="n">
        <v>19.5</v>
      </c>
      <c r="J278" s="4" t="n">
        <f aca="true">-LN(RAND())/B278</f>
        <v>40.6437893763832</v>
      </c>
      <c r="K278" s="4" t="n">
        <f aca="false">K277+J278</f>
        <v>2759.26921997093</v>
      </c>
      <c r="L278" s="4" t="n">
        <f aca="false">(1/$J$4)*(1+AB277)</f>
        <v>10</v>
      </c>
      <c r="M278" s="4" t="n">
        <f aca="false">L278+MAX(K278,Y$10:Y277)</f>
        <v>2778.67002850573</v>
      </c>
      <c r="N278" s="4" t="n">
        <f aca="false">K278</f>
        <v>2759.26921997093</v>
      </c>
      <c r="O278" s="4" t="n">
        <f aca="false">M278-K278</f>
        <v>19.400808534795</v>
      </c>
      <c r="P278" s="4" t="n">
        <f aca="false">N278-K278</f>
        <v>0</v>
      </c>
      <c r="Q278" s="4" t="n">
        <f aca="false">A278-MATCH(K278,$M$9:M277,1)</f>
        <v>1</v>
      </c>
      <c r="R278" s="0" t="n">
        <f aca="false">-G278*(O278/3600)</f>
        <v>-0.0744528626260724</v>
      </c>
      <c r="S278" s="0" t="n">
        <f aca="false">-1*I278-(H278*(P278/3600))</f>
        <v>-19.5</v>
      </c>
      <c r="T278" s="0" t="n">
        <f aca="false">-H278*(O278/3600)</f>
        <v>-0.102747275671049</v>
      </c>
      <c r="U278" s="0" t="n">
        <f aca="false">T278-S278</f>
        <v>19.397252724329</v>
      </c>
      <c r="V278" s="0" t="n">
        <f aca="false">1/(1+EXP(U278))</f>
        <v>3.76599878966994E-009</v>
      </c>
      <c r="W278" s="0" t="n">
        <f aca="true">RAND()</f>
        <v>0.798335945550556</v>
      </c>
      <c r="X278" s="0" t="n">
        <f aca="false">IF(W278&lt;V278,1,0)</f>
        <v>0</v>
      </c>
      <c r="Y278" s="0" t="n">
        <f aca="false">(M278*(1-X278)+N278*X278)*D278+M278*E278</f>
        <v>2778.67002850573</v>
      </c>
      <c r="Z278" s="0" t="n">
        <f aca="false">((1-X278)*O278+X278*P278)*D278+E278*O278</f>
        <v>19.400808534795</v>
      </c>
      <c r="AA278" s="0" t="n">
        <f aca="false">IF(D278*X278&gt;0,AA277,Q278)</f>
        <v>1</v>
      </c>
      <c r="AB278" s="0" t="n">
        <f aca="false">(X278*D278)</f>
        <v>0</v>
      </c>
      <c r="AC278" s="0" t="n">
        <f aca="false">SUM(AB$10:AB277)/K278</f>
        <v>0</v>
      </c>
      <c r="AD278" s="0" t="n">
        <f aca="false">R278*E278+D278*(X278*S278+(1-X278)*T278)</f>
        <v>-0.0744528626260724</v>
      </c>
      <c r="AE278" s="0" t="n">
        <f aca="false">Z278</f>
        <v>19.400808534795</v>
      </c>
      <c r="AF278" s="0" t="n">
        <f aca="false">E278*O278</f>
        <v>19.400808534795</v>
      </c>
      <c r="AG278" s="0" t="n">
        <f aca="false">((1-X278)*O278+X278*P278)*D278</f>
        <v>0</v>
      </c>
      <c r="AH278" s="0" t="n">
        <f aca="false">D278*(LN(EXP(S278)+EXP(T278)))</f>
        <v>-0</v>
      </c>
      <c r="AJ278" s="0" t="n">
        <f aca="false">$J$5</f>
        <v>10</v>
      </c>
      <c r="AK278" s="4" t="n">
        <f aca="false">AJ278+MAX(K278,AK$10:AK277)</f>
        <v>2778.67002850573</v>
      </c>
      <c r="AL278" s="5" t="n">
        <f aca="false">AK278-K278</f>
        <v>19.400808534795</v>
      </c>
      <c r="AM278" s="0" t="n">
        <f aca="false">-G278*AL278/3600</f>
        <v>-0.0744528626260724</v>
      </c>
      <c r="AN278" s="0" t="n">
        <f aca="false">-H278*AL278/3600</f>
        <v>-0.102747275671049</v>
      </c>
      <c r="AO278" s="0" t="n">
        <f aca="false">AM278*E278+AN278*D278</f>
        <v>-0.0744528626260724</v>
      </c>
      <c r="AP278" s="0" t="n">
        <f aca="false">AL278*D278</f>
        <v>0</v>
      </c>
      <c r="AR278" s="0" t="n">
        <f aca="false">AN278*D278</f>
        <v>-0</v>
      </c>
      <c r="AS278" s="0" t="n">
        <f aca="false">AH278-AR278</f>
        <v>0</v>
      </c>
    </row>
    <row r="279" customFormat="false" ht="12" hidden="false" customHeight="false" outlineLevel="0" collapsed="false">
      <c r="A279" s="3" t="n">
        <f aca="false">A278+1</f>
        <v>270</v>
      </c>
      <c r="B279" s="3" t="n">
        <f aca="false">IF(A279&lt;$N$4/3,0.1,(IF(A279&gt;2*$N$4/3,0.05,0.12)))</f>
        <v>0.1</v>
      </c>
      <c r="C279" s="4" t="n">
        <f aca="true">RAND()</f>
        <v>0.981425079302154</v>
      </c>
      <c r="D279" s="0" t="n">
        <f aca="false">IF((C279&gt;$M$2),1,0)</f>
        <v>1</v>
      </c>
      <c r="E279" s="0" t="n">
        <f aca="false">1-D279</f>
        <v>0</v>
      </c>
      <c r="F279" s="0" t="n">
        <f aca="true">RAND()</f>
        <v>0.931384065569918</v>
      </c>
      <c r="G279" s="0" t="n">
        <f aca="false">7.75+F279*10</f>
        <v>17.0638406556992</v>
      </c>
      <c r="H279" s="0" t="n">
        <f aca="false">LOGINV(F279,2.64,1.139)</f>
        <v>76.153992010516</v>
      </c>
      <c r="I279" s="0" t="n">
        <v>19.5</v>
      </c>
      <c r="J279" s="4" t="n">
        <f aca="true">-LN(RAND())/B279</f>
        <v>3.42758784120693</v>
      </c>
      <c r="K279" s="4" t="n">
        <f aca="false">K278+J279</f>
        <v>2762.69680781214</v>
      </c>
      <c r="L279" s="4" t="n">
        <f aca="false">(1/$J$4)*(1+AB278)</f>
        <v>10</v>
      </c>
      <c r="M279" s="4" t="n">
        <f aca="false">L279+MAX(K279,Y$10:Y278)</f>
        <v>2788.67002850573</v>
      </c>
      <c r="N279" s="4" t="n">
        <f aca="false">K279</f>
        <v>2762.69680781214</v>
      </c>
      <c r="O279" s="4" t="n">
        <f aca="false">M279-K279</f>
        <v>25.9732206935882</v>
      </c>
      <c r="P279" s="4" t="n">
        <f aca="false">N279-K279</f>
        <v>0</v>
      </c>
      <c r="Q279" s="4" t="n">
        <f aca="false">A279-MATCH(K279,$M$9:M278,1)</f>
        <v>2</v>
      </c>
      <c r="R279" s="0" t="n">
        <f aca="false">-G279*(O279/3600)</f>
        <v>-0.123111916452972</v>
      </c>
      <c r="S279" s="0" t="n">
        <f aca="false">-1*I279-(H279*(P279/3600))</f>
        <v>-19.5</v>
      </c>
      <c r="T279" s="0" t="n">
        <f aca="false">-H279*(O279/3600)</f>
        <v>-0.549434566996358</v>
      </c>
      <c r="U279" s="0" t="n">
        <f aca="false">T279-S279</f>
        <v>18.9505654330036</v>
      </c>
      <c r="V279" s="0" t="n">
        <f aca="false">1/(1+EXP(U279))</f>
        <v>5.88672842723852E-009</v>
      </c>
      <c r="W279" s="0" t="n">
        <f aca="true">RAND()</f>
        <v>0.81569602357841</v>
      </c>
      <c r="X279" s="0" t="n">
        <f aca="false">IF(W279&lt;V279,1,0)</f>
        <v>0</v>
      </c>
      <c r="Y279" s="0" t="n">
        <f aca="false">(M279*(1-X279)+N279*X279)*D279+M279*E279</f>
        <v>2788.67002850573</v>
      </c>
      <c r="Z279" s="0" t="n">
        <f aca="false">((1-X279)*O279+X279*P279)*D279+E279*O279</f>
        <v>25.9732206935882</v>
      </c>
      <c r="AA279" s="0" t="n">
        <f aca="false">IF(D279*X279&gt;0,AA278,Q279)</f>
        <v>2</v>
      </c>
      <c r="AB279" s="0" t="n">
        <f aca="false">(X279*D279)</f>
        <v>0</v>
      </c>
      <c r="AC279" s="0" t="n">
        <f aca="false">SUM(AB$10:AB278)/K279</f>
        <v>0</v>
      </c>
      <c r="AD279" s="0" t="n">
        <f aca="false">R279*E279+D279*(X279*S279+(1-X279)*T279)</f>
        <v>-0.549434566996358</v>
      </c>
      <c r="AE279" s="0" t="n">
        <f aca="false">Z279</f>
        <v>25.9732206935882</v>
      </c>
      <c r="AF279" s="0" t="n">
        <f aca="false">E279*O279</f>
        <v>0</v>
      </c>
      <c r="AG279" s="0" t="n">
        <f aca="false">((1-X279)*O279+X279*P279)*D279</f>
        <v>25.9732206935882</v>
      </c>
      <c r="AH279" s="0" t="n">
        <f aca="false">D279*(LN(EXP(S279)+EXP(T279)))</f>
        <v>-0.549434561109629</v>
      </c>
      <c r="AJ279" s="0" t="n">
        <f aca="false">$J$5</f>
        <v>10</v>
      </c>
      <c r="AK279" s="4" t="n">
        <f aca="false">AJ279+MAX(K279,AK$10:AK278)</f>
        <v>2788.67002850573</v>
      </c>
      <c r="AL279" s="5" t="n">
        <f aca="false">AK279-K279</f>
        <v>25.9732206935882</v>
      </c>
      <c r="AM279" s="0" t="n">
        <f aca="false">-G279*AL279/3600</f>
        <v>-0.123111916452972</v>
      </c>
      <c r="AN279" s="0" t="n">
        <f aca="false">-H279*AL279/3600</f>
        <v>-0.549434566996358</v>
      </c>
      <c r="AO279" s="0" t="n">
        <f aca="false">AM279*E279+AN279*D279</f>
        <v>-0.549434566996358</v>
      </c>
      <c r="AP279" s="0" t="n">
        <f aca="false">AL279*D279</f>
        <v>25.9732206935882</v>
      </c>
      <c r="AR279" s="0" t="n">
        <f aca="false">AN279*D279</f>
        <v>-0.549434566996358</v>
      </c>
      <c r="AS279" s="0" t="n">
        <f aca="false">AH279-AR279</f>
        <v>5.88672843804261E-009</v>
      </c>
    </row>
    <row r="280" customFormat="false" ht="12" hidden="false" customHeight="false" outlineLevel="0" collapsed="false">
      <c r="A280" s="3" t="n">
        <f aca="false">A279+1</f>
        <v>271</v>
      </c>
      <c r="B280" s="3" t="n">
        <f aca="false">IF(A280&lt;$N$4/3,0.1,(IF(A280&gt;2*$N$4/3,0.05,0.12)))</f>
        <v>0.1</v>
      </c>
      <c r="C280" s="4" t="n">
        <f aca="true">RAND()</f>
        <v>0.422331008503368</v>
      </c>
      <c r="D280" s="0" t="n">
        <f aca="false">IF((C280&gt;$M$2),1,0)</f>
        <v>0</v>
      </c>
      <c r="E280" s="0" t="n">
        <f aca="false">1-D280</f>
        <v>1</v>
      </c>
      <c r="F280" s="0" t="n">
        <f aca="true">RAND()</f>
        <v>0.80244287621569</v>
      </c>
      <c r="G280" s="0" t="n">
        <f aca="false">7.75+F280*10</f>
        <v>15.7744287621569</v>
      </c>
      <c r="H280" s="0" t="n">
        <f aca="false">LOGINV(F280,2.64,1.139)</f>
        <v>36.9136724325931</v>
      </c>
      <c r="I280" s="0" t="n">
        <v>19.5</v>
      </c>
      <c r="J280" s="4" t="n">
        <f aca="true">-LN(RAND())/B280</f>
        <v>3.70029504665654</v>
      </c>
      <c r="K280" s="4" t="n">
        <f aca="false">K279+J280</f>
        <v>2766.3971028588</v>
      </c>
      <c r="L280" s="4" t="n">
        <f aca="false">(1/$J$4)*(1+AB279)</f>
        <v>10</v>
      </c>
      <c r="M280" s="4" t="n">
        <f aca="false">L280+MAX(K280,Y$10:Y279)</f>
        <v>2798.67002850573</v>
      </c>
      <c r="N280" s="4" t="n">
        <f aca="false">K280</f>
        <v>2766.3971028588</v>
      </c>
      <c r="O280" s="4" t="n">
        <f aca="false">M280-K280</f>
        <v>32.2729256469315</v>
      </c>
      <c r="P280" s="4" t="n">
        <f aca="false">N280-K280</f>
        <v>0</v>
      </c>
      <c r="Q280" s="4" t="n">
        <f aca="false">A280-MATCH(K280,$M$9:M279,1)</f>
        <v>3</v>
      </c>
      <c r="R280" s="0" t="n">
        <f aca="false">-G280*(O280/3600)</f>
        <v>-0.141413046267752</v>
      </c>
      <c r="S280" s="0" t="n">
        <f aca="false">-1*I280-(H280*(P280/3600))</f>
        <v>-19.5</v>
      </c>
      <c r="T280" s="0" t="n">
        <f aca="false">-H280*(O280/3600)</f>
        <v>-0.330920057158962</v>
      </c>
      <c r="U280" s="0" t="n">
        <f aca="false">T280-S280</f>
        <v>19.169079942841</v>
      </c>
      <c r="V280" s="0" t="n">
        <f aca="false">1/(1+EXP(U280))</f>
        <v>4.73123320963031E-009</v>
      </c>
      <c r="W280" s="0" t="n">
        <f aca="true">RAND()</f>
        <v>0.158915987718985</v>
      </c>
      <c r="X280" s="0" t="n">
        <f aca="false">IF(W280&lt;V280,1,0)</f>
        <v>0</v>
      </c>
      <c r="Y280" s="0" t="n">
        <f aca="false">(M280*(1-X280)+N280*X280)*D280+M280*E280</f>
        <v>2798.67002850573</v>
      </c>
      <c r="Z280" s="0" t="n">
        <f aca="false">((1-X280)*O280+X280*P280)*D280+E280*O280</f>
        <v>32.2729256469315</v>
      </c>
      <c r="AA280" s="0" t="n">
        <f aca="false">IF(D280*X280&gt;0,AA279,Q280)</f>
        <v>3</v>
      </c>
      <c r="AB280" s="0" t="n">
        <f aca="false">(X280*D280)</f>
        <v>0</v>
      </c>
      <c r="AC280" s="0" t="n">
        <f aca="false">SUM(AB$10:AB279)/K280</f>
        <v>0</v>
      </c>
      <c r="AD280" s="0" t="n">
        <f aca="false">R280*E280+D280*(X280*S280+(1-X280)*T280)</f>
        <v>-0.141413046267752</v>
      </c>
      <c r="AE280" s="0" t="n">
        <f aca="false">Z280</f>
        <v>32.2729256469315</v>
      </c>
      <c r="AF280" s="0" t="n">
        <f aca="false">E280*O280</f>
        <v>32.2729256469315</v>
      </c>
      <c r="AG280" s="0" t="n">
        <f aca="false">((1-X280)*O280+X280*P280)*D280</f>
        <v>0</v>
      </c>
      <c r="AH280" s="0" t="n">
        <f aca="false">D280*(LN(EXP(S280)+EXP(T280)))</f>
        <v>-0</v>
      </c>
      <c r="AJ280" s="0" t="n">
        <f aca="false">$J$5</f>
        <v>10</v>
      </c>
      <c r="AK280" s="4" t="n">
        <f aca="false">AJ280+MAX(K280,AK$10:AK279)</f>
        <v>2798.67002850573</v>
      </c>
      <c r="AL280" s="5" t="n">
        <f aca="false">AK280-K280</f>
        <v>32.2729256469315</v>
      </c>
      <c r="AM280" s="0" t="n">
        <f aca="false">-G280*AL280/3600</f>
        <v>-0.141413046267752</v>
      </c>
      <c r="AN280" s="0" t="n">
        <f aca="false">-H280*AL280/3600</f>
        <v>-0.330920057158962</v>
      </c>
      <c r="AO280" s="0" t="n">
        <f aca="false">AM280*E280+AN280*D280</f>
        <v>-0.141413046267752</v>
      </c>
      <c r="AP280" s="0" t="n">
        <f aca="false">AL280*D280</f>
        <v>0</v>
      </c>
      <c r="AR280" s="0" t="n">
        <f aca="false">AN280*D280</f>
        <v>-0</v>
      </c>
      <c r="AS280" s="0" t="n">
        <f aca="false">AH280-AR280</f>
        <v>0</v>
      </c>
    </row>
    <row r="281" customFormat="false" ht="12" hidden="false" customHeight="false" outlineLevel="0" collapsed="false">
      <c r="A281" s="3" t="n">
        <f aca="false">A280+1</f>
        <v>272</v>
      </c>
      <c r="B281" s="3" t="n">
        <f aca="false">IF(A281&lt;$N$4/3,0.1,(IF(A281&gt;2*$N$4/3,0.05,0.12)))</f>
        <v>0.1</v>
      </c>
      <c r="C281" s="4" t="n">
        <f aca="true">RAND()</f>
        <v>0.219924451899573</v>
      </c>
      <c r="D281" s="0" t="n">
        <f aca="false">IF((C281&gt;$M$2),1,0)</f>
        <v>0</v>
      </c>
      <c r="E281" s="0" t="n">
        <f aca="false">1-D281</f>
        <v>1</v>
      </c>
      <c r="F281" s="0" t="n">
        <f aca="true">RAND()</f>
        <v>0.201076316719477</v>
      </c>
      <c r="G281" s="0" t="n">
        <f aca="false">7.75+F281*10</f>
        <v>9.76076316719477</v>
      </c>
      <c r="H281" s="0" t="n">
        <f aca="false">LOGINV(F281,2.64,1.139)</f>
        <v>5.39657911109276</v>
      </c>
      <c r="I281" s="0" t="n">
        <v>19.5</v>
      </c>
      <c r="J281" s="4" t="n">
        <f aca="true">-LN(RAND())/B281</f>
        <v>13.3458186380242</v>
      </c>
      <c r="K281" s="4" t="n">
        <f aca="false">K280+J281</f>
        <v>2779.74292149682</v>
      </c>
      <c r="L281" s="4" t="n">
        <f aca="false">(1/$J$4)*(1+AB280)</f>
        <v>10</v>
      </c>
      <c r="M281" s="4" t="n">
        <f aca="false">L281+MAX(K281,Y$10:Y280)</f>
        <v>2808.67002850573</v>
      </c>
      <c r="N281" s="4" t="n">
        <f aca="false">K281</f>
        <v>2779.74292149682</v>
      </c>
      <c r="O281" s="4" t="n">
        <f aca="false">M281-K281</f>
        <v>28.9271070089071</v>
      </c>
      <c r="P281" s="4" t="n">
        <f aca="false">N281-K281</f>
        <v>0</v>
      </c>
      <c r="Q281" s="4" t="n">
        <f aca="false">A281-MATCH(K281,$M$9:M280,1)</f>
        <v>2</v>
      </c>
      <c r="R281" s="0" t="n">
        <f aca="false">-G281*(O281/3600)</f>
        <v>-0.078430733507234</v>
      </c>
      <c r="S281" s="0" t="n">
        <f aca="false">-1*I281-(H281*(P281/3600))</f>
        <v>-19.5</v>
      </c>
      <c r="T281" s="0" t="n">
        <f aca="false">-H281*(O281/3600)</f>
        <v>-0.0433631726190592</v>
      </c>
      <c r="U281" s="0" t="n">
        <f aca="false">T281-S281</f>
        <v>19.4566368273809</v>
      </c>
      <c r="V281" s="0" t="n">
        <f aca="false">1/(1+EXP(U281))</f>
        <v>3.54886915913002E-009</v>
      </c>
      <c r="W281" s="0" t="n">
        <f aca="true">RAND()</f>
        <v>0.0204661383550607</v>
      </c>
      <c r="X281" s="0" t="n">
        <f aca="false">IF(W281&lt;V281,1,0)</f>
        <v>0</v>
      </c>
      <c r="Y281" s="0" t="n">
        <f aca="false">(M281*(1-X281)+N281*X281)*D281+M281*E281</f>
        <v>2808.67002850573</v>
      </c>
      <c r="Z281" s="0" t="n">
        <f aca="false">((1-X281)*O281+X281*P281)*D281+E281*O281</f>
        <v>28.9271070089071</v>
      </c>
      <c r="AA281" s="0" t="n">
        <f aca="false">IF(D281*X281&gt;0,AA280,Q281)</f>
        <v>2</v>
      </c>
      <c r="AB281" s="0" t="n">
        <f aca="false">(X281*D281)</f>
        <v>0</v>
      </c>
      <c r="AC281" s="0" t="n">
        <f aca="false">SUM(AB$10:AB280)/K281</f>
        <v>0</v>
      </c>
      <c r="AD281" s="0" t="n">
        <f aca="false">R281*E281+D281*(X281*S281+(1-X281)*T281)</f>
        <v>-0.078430733507234</v>
      </c>
      <c r="AE281" s="0" t="n">
        <f aca="false">Z281</f>
        <v>28.9271070089071</v>
      </c>
      <c r="AF281" s="0" t="n">
        <f aca="false">E281*O281</f>
        <v>28.9271070089071</v>
      </c>
      <c r="AG281" s="0" t="n">
        <f aca="false">((1-X281)*O281+X281*P281)*D281</f>
        <v>0</v>
      </c>
      <c r="AH281" s="0" t="n">
        <f aca="false">D281*(LN(EXP(S281)+EXP(T281)))</f>
        <v>-0</v>
      </c>
      <c r="AJ281" s="0" t="n">
        <f aca="false">$J$5</f>
        <v>10</v>
      </c>
      <c r="AK281" s="4" t="n">
        <f aca="false">AJ281+MAX(K281,AK$10:AK280)</f>
        <v>2808.67002850573</v>
      </c>
      <c r="AL281" s="5" t="n">
        <f aca="false">AK281-K281</f>
        <v>28.9271070089071</v>
      </c>
      <c r="AM281" s="0" t="n">
        <f aca="false">-G281*AL281/3600</f>
        <v>-0.078430733507234</v>
      </c>
      <c r="AN281" s="0" t="n">
        <f aca="false">-H281*AL281/3600</f>
        <v>-0.0433631726190592</v>
      </c>
      <c r="AO281" s="0" t="n">
        <f aca="false">AM281*E281+AN281*D281</f>
        <v>-0.078430733507234</v>
      </c>
      <c r="AP281" s="0" t="n">
        <f aca="false">AL281*D281</f>
        <v>0</v>
      </c>
      <c r="AR281" s="0" t="n">
        <f aca="false">AN281*D281</f>
        <v>-0</v>
      </c>
      <c r="AS281" s="0" t="n">
        <f aca="false">AH281-AR281</f>
        <v>0</v>
      </c>
    </row>
    <row r="282" customFormat="false" ht="12" hidden="false" customHeight="false" outlineLevel="0" collapsed="false">
      <c r="A282" s="3" t="n">
        <f aca="false">A281+1</f>
        <v>273</v>
      </c>
      <c r="B282" s="3" t="n">
        <f aca="false">IF(A282&lt;$N$4/3,0.1,(IF(A282&gt;2*$N$4/3,0.05,0.12)))</f>
        <v>0.1</v>
      </c>
      <c r="C282" s="4" t="n">
        <f aca="true">RAND()</f>
        <v>0.0993734303596366</v>
      </c>
      <c r="D282" s="0" t="n">
        <f aca="false">IF((C282&gt;$M$2),1,0)</f>
        <v>0</v>
      </c>
      <c r="E282" s="0" t="n">
        <f aca="false">1-D282</f>
        <v>1</v>
      </c>
      <c r="F282" s="0" t="n">
        <f aca="true">RAND()</f>
        <v>0.756996305189028</v>
      </c>
      <c r="G282" s="0" t="n">
        <f aca="false">7.75+F282*10</f>
        <v>15.3199630518903</v>
      </c>
      <c r="H282" s="0" t="n">
        <f aca="false">LOGINV(F282,2.64,1.139)</f>
        <v>30.985231083328</v>
      </c>
      <c r="I282" s="0" t="n">
        <v>19.5</v>
      </c>
      <c r="J282" s="4" t="n">
        <f aca="true">-LN(RAND())/B282</f>
        <v>2.12763307177955</v>
      </c>
      <c r="K282" s="4" t="n">
        <f aca="false">K281+J282</f>
        <v>2781.8705545686</v>
      </c>
      <c r="L282" s="4" t="n">
        <f aca="false">(1/$J$4)*(1+AB281)</f>
        <v>10</v>
      </c>
      <c r="M282" s="4" t="n">
        <f aca="false">L282+MAX(K282,Y$10:Y281)</f>
        <v>2818.67002850573</v>
      </c>
      <c r="N282" s="4" t="n">
        <f aca="false">K282</f>
        <v>2781.8705545686</v>
      </c>
      <c r="O282" s="4" t="n">
        <f aca="false">M282-K282</f>
        <v>36.7994739371275</v>
      </c>
      <c r="P282" s="4" t="n">
        <f aca="false">N282-K282</f>
        <v>0</v>
      </c>
      <c r="Q282" s="4" t="n">
        <f aca="false">A282-MATCH(K282,$M$9:M281,1)</f>
        <v>3</v>
      </c>
      <c r="R282" s="0" t="n">
        <f aca="false">-G282*(O282/3600)</f>
        <v>-0.156601828068276</v>
      </c>
      <c r="S282" s="0" t="n">
        <f aca="false">-1*I282-(H282*(P282/3600))</f>
        <v>-19.5</v>
      </c>
      <c r="T282" s="0" t="n">
        <f aca="false">-H282*(O282/3600)</f>
        <v>-0.316733389913</v>
      </c>
      <c r="U282" s="0" t="n">
        <f aca="false">T282-S282</f>
        <v>19.183266610087</v>
      </c>
      <c r="V282" s="0" t="n">
        <f aca="false">1/(1+EXP(U282))</f>
        <v>4.66458664284709E-009</v>
      </c>
      <c r="W282" s="0" t="n">
        <f aca="true">RAND()</f>
        <v>0.107245185245045</v>
      </c>
      <c r="X282" s="0" t="n">
        <f aca="false">IF(W282&lt;V282,1,0)</f>
        <v>0</v>
      </c>
      <c r="Y282" s="0" t="n">
        <f aca="false">(M282*(1-X282)+N282*X282)*D282+M282*E282</f>
        <v>2818.67002850573</v>
      </c>
      <c r="Z282" s="0" t="n">
        <f aca="false">((1-X282)*O282+X282*P282)*D282+E282*O282</f>
        <v>36.7994739371275</v>
      </c>
      <c r="AA282" s="0" t="n">
        <f aca="false">IF(D282*X282&gt;0,AA281,Q282)</f>
        <v>3</v>
      </c>
      <c r="AB282" s="0" t="n">
        <f aca="false">(X282*D282)</f>
        <v>0</v>
      </c>
      <c r="AC282" s="0" t="n">
        <f aca="false">SUM(AB$10:AB281)/K282</f>
        <v>0</v>
      </c>
      <c r="AD282" s="0" t="n">
        <f aca="false">R282*E282+D282*(X282*S282+(1-X282)*T282)</f>
        <v>-0.156601828068276</v>
      </c>
      <c r="AE282" s="0" t="n">
        <f aca="false">Z282</f>
        <v>36.7994739371275</v>
      </c>
      <c r="AF282" s="0" t="n">
        <f aca="false">E282*O282</f>
        <v>36.7994739371275</v>
      </c>
      <c r="AG282" s="0" t="n">
        <f aca="false">((1-X282)*O282+X282*P282)*D282</f>
        <v>0</v>
      </c>
      <c r="AH282" s="0" t="n">
        <f aca="false">D282*(LN(EXP(S282)+EXP(T282)))</f>
        <v>-0</v>
      </c>
      <c r="AJ282" s="0" t="n">
        <f aca="false">$J$5</f>
        <v>10</v>
      </c>
      <c r="AK282" s="4" t="n">
        <f aca="false">AJ282+MAX(K282,AK$10:AK281)</f>
        <v>2818.67002850573</v>
      </c>
      <c r="AL282" s="5" t="n">
        <f aca="false">AK282-K282</f>
        <v>36.7994739371275</v>
      </c>
      <c r="AM282" s="0" t="n">
        <f aca="false">-G282*AL282/3600</f>
        <v>-0.156601828068276</v>
      </c>
      <c r="AN282" s="0" t="n">
        <f aca="false">-H282*AL282/3600</f>
        <v>-0.316733389913</v>
      </c>
      <c r="AO282" s="0" t="n">
        <f aca="false">AM282*E282+AN282*D282</f>
        <v>-0.156601828068276</v>
      </c>
      <c r="AP282" s="0" t="n">
        <f aca="false">AL282*D282</f>
        <v>0</v>
      </c>
      <c r="AR282" s="0" t="n">
        <f aca="false">AN282*D282</f>
        <v>-0</v>
      </c>
      <c r="AS282" s="0" t="n">
        <f aca="false">AH282-AR282</f>
        <v>0</v>
      </c>
    </row>
    <row r="283" customFormat="false" ht="12" hidden="false" customHeight="false" outlineLevel="0" collapsed="false">
      <c r="A283" s="3" t="n">
        <f aca="false">A282+1</f>
        <v>274</v>
      </c>
      <c r="B283" s="3" t="n">
        <f aca="false">IF(A283&lt;$N$4/3,0.1,(IF(A283&gt;2*$N$4/3,0.05,0.12)))</f>
        <v>0.1</v>
      </c>
      <c r="C283" s="4" t="n">
        <f aca="true">RAND()</f>
        <v>0.284164014239617</v>
      </c>
      <c r="D283" s="0" t="n">
        <f aca="false">IF((C283&gt;$M$2),1,0)</f>
        <v>0</v>
      </c>
      <c r="E283" s="0" t="n">
        <f aca="false">1-D283</f>
        <v>1</v>
      </c>
      <c r="F283" s="0" t="n">
        <f aca="true">RAND()</f>
        <v>0.0690999121948092</v>
      </c>
      <c r="G283" s="0" t="n">
        <f aca="false">7.75+F283*10</f>
        <v>8.44099912194809</v>
      </c>
      <c r="H283" s="0" t="n">
        <f aca="false">LOGINV(F283,2.64,1.139)</f>
        <v>2.58933337848546</v>
      </c>
      <c r="I283" s="0" t="n">
        <v>19.5</v>
      </c>
      <c r="J283" s="4" t="n">
        <f aca="true">-LN(RAND())/B283</f>
        <v>10.6344102331779</v>
      </c>
      <c r="K283" s="4" t="n">
        <f aca="false">K282+J283</f>
        <v>2792.50496480178</v>
      </c>
      <c r="L283" s="4" t="n">
        <f aca="false">(1/$J$4)*(1+AB282)</f>
        <v>10</v>
      </c>
      <c r="M283" s="4" t="n">
        <f aca="false">L283+MAX(K283,Y$10:Y282)</f>
        <v>2828.67002850573</v>
      </c>
      <c r="N283" s="4" t="n">
        <f aca="false">K283</f>
        <v>2792.50496480178</v>
      </c>
      <c r="O283" s="4" t="n">
        <f aca="false">M283-K283</f>
        <v>36.1650637039497</v>
      </c>
      <c r="P283" s="4" t="n">
        <f aca="false">N283-K283</f>
        <v>0</v>
      </c>
      <c r="Q283" s="4" t="n">
        <f aca="false">A283-MATCH(K283,$M$9:M282,1)</f>
        <v>3</v>
      </c>
      <c r="R283" s="0" t="n">
        <f aca="false">-G283*(O283/3600)</f>
        <v>-0.0847970197139546</v>
      </c>
      <c r="S283" s="0" t="n">
        <f aca="false">-1*I283-(H283*(P283/3600))</f>
        <v>-19.5</v>
      </c>
      <c r="T283" s="0" t="n">
        <f aca="false">-H283*(O283/3600)</f>
        <v>-0.0260120573843584</v>
      </c>
      <c r="U283" s="0" t="n">
        <f aca="false">T283-S283</f>
        <v>19.4739879426156</v>
      </c>
      <c r="V283" s="0" t="n">
        <f aca="false">1/(1+EXP(U283))</f>
        <v>3.48782345863707E-009</v>
      </c>
      <c r="W283" s="0" t="n">
        <f aca="true">RAND()</f>
        <v>0.477703422681843</v>
      </c>
      <c r="X283" s="0" t="n">
        <f aca="false">IF(W283&lt;V283,1,0)</f>
        <v>0</v>
      </c>
      <c r="Y283" s="0" t="n">
        <f aca="false">(M283*(1-X283)+N283*X283)*D283+M283*E283</f>
        <v>2828.67002850573</v>
      </c>
      <c r="Z283" s="0" t="n">
        <f aca="false">((1-X283)*O283+X283*P283)*D283+E283*O283</f>
        <v>36.1650637039497</v>
      </c>
      <c r="AA283" s="0" t="n">
        <f aca="false">IF(D283*X283&gt;0,AA282,Q283)</f>
        <v>3</v>
      </c>
      <c r="AB283" s="0" t="n">
        <f aca="false">(X283*D283)</f>
        <v>0</v>
      </c>
      <c r="AC283" s="0" t="n">
        <f aca="false">SUM(AB$10:AB282)/K283</f>
        <v>0</v>
      </c>
      <c r="AD283" s="0" t="n">
        <f aca="false">R283*E283+D283*(X283*S283+(1-X283)*T283)</f>
        <v>-0.0847970197139546</v>
      </c>
      <c r="AE283" s="0" t="n">
        <f aca="false">Z283</f>
        <v>36.1650637039497</v>
      </c>
      <c r="AF283" s="0" t="n">
        <f aca="false">E283*O283</f>
        <v>36.1650637039497</v>
      </c>
      <c r="AG283" s="0" t="n">
        <f aca="false">((1-X283)*O283+X283*P283)*D283</f>
        <v>0</v>
      </c>
      <c r="AH283" s="0" t="n">
        <f aca="false">D283*(LN(EXP(S283)+EXP(T283)))</f>
        <v>-0</v>
      </c>
      <c r="AJ283" s="0" t="n">
        <f aca="false">$J$5</f>
        <v>10</v>
      </c>
      <c r="AK283" s="4" t="n">
        <f aca="false">AJ283+MAX(K283,AK$10:AK282)</f>
        <v>2828.67002850573</v>
      </c>
      <c r="AL283" s="5" t="n">
        <f aca="false">AK283-K283</f>
        <v>36.1650637039497</v>
      </c>
      <c r="AM283" s="0" t="n">
        <f aca="false">-G283*AL283/3600</f>
        <v>-0.0847970197139546</v>
      </c>
      <c r="AN283" s="0" t="n">
        <f aca="false">-H283*AL283/3600</f>
        <v>-0.0260120573843584</v>
      </c>
      <c r="AO283" s="0" t="n">
        <f aca="false">AM283*E283+AN283*D283</f>
        <v>-0.0847970197139546</v>
      </c>
      <c r="AP283" s="0" t="n">
        <f aca="false">AL283*D283</f>
        <v>0</v>
      </c>
      <c r="AR283" s="0" t="n">
        <f aca="false">AN283*D283</f>
        <v>-0</v>
      </c>
      <c r="AS283" s="0" t="n">
        <f aca="false">AH283-AR283</f>
        <v>0</v>
      </c>
    </row>
    <row r="284" customFormat="false" ht="12" hidden="false" customHeight="false" outlineLevel="0" collapsed="false">
      <c r="A284" s="3" t="n">
        <f aca="false">A283+1</f>
        <v>275</v>
      </c>
      <c r="B284" s="3" t="n">
        <f aca="false">IF(A284&lt;$N$4/3,0.1,(IF(A284&gt;2*$N$4/3,0.05,0.12)))</f>
        <v>0.1</v>
      </c>
      <c r="C284" s="4" t="n">
        <f aca="true">RAND()</f>
        <v>0.591185037808692</v>
      </c>
      <c r="D284" s="0" t="n">
        <f aca="false">IF((C284&gt;$M$2),1,0)</f>
        <v>0</v>
      </c>
      <c r="E284" s="0" t="n">
        <f aca="false">1-D284</f>
        <v>1</v>
      </c>
      <c r="F284" s="0" t="n">
        <f aca="true">RAND()</f>
        <v>0.652652615999169</v>
      </c>
      <c r="G284" s="0" t="n">
        <f aca="false">7.75+F284*10</f>
        <v>14.2765261599917</v>
      </c>
      <c r="H284" s="0" t="n">
        <f aca="false">LOGINV(F284,2.64,1.139)</f>
        <v>21.9123042263141</v>
      </c>
      <c r="I284" s="0" t="n">
        <v>19.5</v>
      </c>
      <c r="J284" s="4" t="n">
        <f aca="true">-LN(RAND())/B284</f>
        <v>2.48325031767365</v>
      </c>
      <c r="K284" s="4" t="n">
        <f aca="false">K283+J284</f>
        <v>2794.98821511945</v>
      </c>
      <c r="L284" s="4" t="n">
        <f aca="false">(1/$J$4)*(1+AB283)</f>
        <v>10</v>
      </c>
      <c r="M284" s="4" t="n">
        <f aca="false">L284+MAX(K284,Y$10:Y283)</f>
        <v>2838.67002850573</v>
      </c>
      <c r="N284" s="4" t="n">
        <f aca="false">K284</f>
        <v>2794.98821511945</v>
      </c>
      <c r="O284" s="4" t="n">
        <f aca="false">M284-K284</f>
        <v>43.6818133862762</v>
      </c>
      <c r="P284" s="4" t="n">
        <f aca="false">N284-K284</f>
        <v>0</v>
      </c>
      <c r="Q284" s="4" t="n">
        <f aca="false">A284-MATCH(K284,$M$9:M283,1)</f>
        <v>4</v>
      </c>
      <c r="R284" s="0" t="n">
        <f aca="false">-G284*(O284/3600)</f>
        <v>-0.173229042090291</v>
      </c>
      <c r="S284" s="0" t="n">
        <f aca="false">-1*I284-(H284*(P284/3600))</f>
        <v>-19.5</v>
      </c>
      <c r="T284" s="0" t="n">
        <f aca="false">-H284*(O284/3600)</f>
        <v>-0.265880328910323</v>
      </c>
      <c r="U284" s="0" t="n">
        <f aca="false">T284-S284</f>
        <v>19.2341196710897</v>
      </c>
      <c r="V284" s="0" t="n">
        <f aca="false">1/(1+EXP(U284))</f>
        <v>4.43330857263212E-009</v>
      </c>
      <c r="W284" s="0" t="n">
        <f aca="true">RAND()</f>
        <v>0.864917775459792</v>
      </c>
      <c r="X284" s="0" t="n">
        <f aca="false">IF(W284&lt;V284,1,0)</f>
        <v>0</v>
      </c>
      <c r="Y284" s="0" t="n">
        <f aca="false">(M284*(1-X284)+N284*X284)*D284+M284*E284</f>
        <v>2838.67002850573</v>
      </c>
      <c r="Z284" s="0" t="n">
        <f aca="false">((1-X284)*O284+X284*P284)*D284+E284*O284</f>
        <v>43.6818133862762</v>
      </c>
      <c r="AA284" s="0" t="n">
        <f aca="false">IF(D284*X284&gt;0,AA283,Q284)</f>
        <v>4</v>
      </c>
      <c r="AB284" s="0" t="n">
        <f aca="false">(X284*D284)</f>
        <v>0</v>
      </c>
      <c r="AC284" s="0" t="n">
        <f aca="false">SUM(AB$10:AB283)/K284</f>
        <v>0</v>
      </c>
      <c r="AD284" s="0" t="n">
        <f aca="false">R284*E284+D284*(X284*S284+(1-X284)*T284)</f>
        <v>-0.173229042090291</v>
      </c>
      <c r="AE284" s="0" t="n">
        <f aca="false">Z284</f>
        <v>43.6818133862762</v>
      </c>
      <c r="AF284" s="0" t="n">
        <f aca="false">E284*O284</f>
        <v>43.6818133862762</v>
      </c>
      <c r="AG284" s="0" t="n">
        <f aca="false">((1-X284)*O284+X284*P284)*D284</f>
        <v>0</v>
      </c>
      <c r="AH284" s="0" t="n">
        <f aca="false">D284*(LN(EXP(S284)+EXP(T284)))</f>
        <v>-0</v>
      </c>
      <c r="AJ284" s="0" t="n">
        <f aca="false">$J$5</f>
        <v>10</v>
      </c>
      <c r="AK284" s="4" t="n">
        <f aca="false">AJ284+MAX(K284,AK$10:AK283)</f>
        <v>2838.67002850573</v>
      </c>
      <c r="AL284" s="5" t="n">
        <f aca="false">AK284-K284</f>
        <v>43.6818133862762</v>
      </c>
      <c r="AM284" s="0" t="n">
        <f aca="false">-G284*AL284/3600</f>
        <v>-0.173229042090291</v>
      </c>
      <c r="AN284" s="0" t="n">
        <f aca="false">-H284*AL284/3600</f>
        <v>-0.265880328910323</v>
      </c>
      <c r="AO284" s="0" t="n">
        <f aca="false">AM284*E284+AN284*D284</f>
        <v>-0.173229042090291</v>
      </c>
      <c r="AP284" s="0" t="n">
        <f aca="false">AL284*D284</f>
        <v>0</v>
      </c>
      <c r="AR284" s="0" t="n">
        <f aca="false">AN284*D284</f>
        <v>-0</v>
      </c>
      <c r="AS284" s="0" t="n">
        <f aca="false">AH284-AR284</f>
        <v>0</v>
      </c>
    </row>
    <row r="285" customFormat="false" ht="12" hidden="false" customHeight="false" outlineLevel="0" collapsed="false">
      <c r="A285" s="3" t="n">
        <f aca="false">A284+1</f>
        <v>276</v>
      </c>
      <c r="B285" s="3" t="n">
        <f aca="false">IF(A285&lt;$N$4/3,0.1,(IF(A285&gt;2*$N$4/3,0.05,0.12)))</f>
        <v>0.1</v>
      </c>
      <c r="C285" s="4" t="n">
        <f aca="true">RAND()</f>
        <v>0.163245873182991</v>
      </c>
      <c r="D285" s="0" t="n">
        <f aca="false">IF((C285&gt;$M$2),1,0)</f>
        <v>0</v>
      </c>
      <c r="E285" s="0" t="n">
        <f aca="false">1-D285</f>
        <v>1</v>
      </c>
      <c r="F285" s="0" t="n">
        <f aca="true">RAND()</f>
        <v>0.411096498749457</v>
      </c>
      <c r="G285" s="0" t="n">
        <f aca="false">7.75+F285*10</f>
        <v>11.8609649874946</v>
      </c>
      <c r="H285" s="0" t="n">
        <f aca="false">LOGINV(F285,2.64,1.139)</f>
        <v>10.8486202591738</v>
      </c>
      <c r="I285" s="0" t="n">
        <v>19.5</v>
      </c>
      <c r="J285" s="4" t="n">
        <f aca="true">-LN(RAND())/B285</f>
        <v>10.1658730422682</v>
      </c>
      <c r="K285" s="4" t="n">
        <f aca="false">K284+J285</f>
        <v>2805.15408816172</v>
      </c>
      <c r="L285" s="4" t="n">
        <f aca="false">(1/$J$4)*(1+AB284)</f>
        <v>10</v>
      </c>
      <c r="M285" s="4" t="n">
        <f aca="false">L285+MAX(K285,Y$10:Y284)</f>
        <v>2848.67002850573</v>
      </c>
      <c r="N285" s="4" t="n">
        <f aca="false">K285</f>
        <v>2805.15408816172</v>
      </c>
      <c r="O285" s="4" t="n">
        <f aca="false">M285-K285</f>
        <v>43.515940344008</v>
      </c>
      <c r="P285" s="4" t="n">
        <f aca="false">N285-K285</f>
        <v>0</v>
      </c>
      <c r="Q285" s="4" t="n">
        <f aca="false">A285-MATCH(K285,$M$9:M284,1)</f>
        <v>4</v>
      </c>
      <c r="R285" s="0" t="n">
        <f aca="false">-G285*(O285/3600)</f>
        <v>-0.143372512449495</v>
      </c>
      <c r="S285" s="0" t="n">
        <f aca="false">-1*I285-(H285*(P285/3600))</f>
        <v>-19.5</v>
      </c>
      <c r="T285" s="0" t="n">
        <f aca="false">-H285*(O285/3600)</f>
        <v>-0.131135531114724</v>
      </c>
      <c r="U285" s="0" t="n">
        <f aca="false">T285-S285</f>
        <v>19.3688644688853</v>
      </c>
      <c r="V285" s="0" t="n">
        <f aca="false">1/(1+EXP(U285))</f>
        <v>3.87444088319372E-009</v>
      </c>
      <c r="W285" s="0" t="n">
        <f aca="true">RAND()</f>
        <v>0.529916304870888</v>
      </c>
      <c r="X285" s="0" t="n">
        <f aca="false">IF(W285&lt;V285,1,0)</f>
        <v>0</v>
      </c>
      <c r="Y285" s="0" t="n">
        <f aca="false">(M285*(1-X285)+N285*X285)*D285+M285*E285</f>
        <v>2848.67002850573</v>
      </c>
      <c r="Z285" s="0" t="n">
        <f aca="false">((1-X285)*O285+X285*P285)*D285+E285*O285</f>
        <v>43.515940344008</v>
      </c>
      <c r="AA285" s="0" t="n">
        <f aca="false">IF(D285*X285&gt;0,AA284,Q285)</f>
        <v>4</v>
      </c>
      <c r="AB285" s="0" t="n">
        <f aca="false">(X285*D285)</f>
        <v>0</v>
      </c>
      <c r="AC285" s="0" t="n">
        <f aca="false">SUM(AB$10:AB284)/K285</f>
        <v>0</v>
      </c>
      <c r="AD285" s="0" t="n">
        <f aca="false">R285*E285+D285*(X285*S285+(1-X285)*T285)</f>
        <v>-0.143372512449495</v>
      </c>
      <c r="AE285" s="0" t="n">
        <f aca="false">Z285</f>
        <v>43.515940344008</v>
      </c>
      <c r="AF285" s="0" t="n">
        <f aca="false">E285*O285</f>
        <v>43.515940344008</v>
      </c>
      <c r="AG285" s="0" t="n">
        <f aca="false">((1-X285)*O285+X285*P285)*D285</f>
        <v>0</v>
      </c>
      <c r="AH285" s="0" t="n">
        <f aca="false">D285*(LN(EXP(S285)+EXP(T285)))</f>
        <v>-0</v>
      </c>
      <c r="AJ285" s="0" t="n">
        <f aca="false">$J$5</f>
        <v>10</v>
      </c>
      <c r="AK285" s="4" t="n">
        <f aca="false">AJ285+MAX(K285,AK$10:AK284)</f>
        <v>2848.67002850573</v>
      </c>
      <c r="AL285" s="5" t="n">
        <f aca="false">AK285-K285</f>
        <v>43.515940344008</v>
      </c>
      <c r="AM285" s="0" t="n">
        <f aca="false">-G285*AL285/3600</f>
        <v>-0.143372512449495</v>
      </c>
      <c r="AN285" s="0" t="n">
        <f aca="false">-H285*AL285/3600</f>
        <v>-0.131135531114724</v>
      </c>
      <c r="AO285" s="0" t="n">
        <f aca="false">AM285*E285+AN285*D285</f>
        <v>-0.143372512449495</v>
      </c>
      <c r="AP285" s="0" t="n">
        <f aca="false">AL285*D285</f>
        <v>0</v>
      </c>
      <c r="AR285" s="0" t="n">
        <f aca="false">AN285*D285</f>
        <v>-0</v>
      </c>
      <c r="AS285" s="0" t="n">
        <f aca="false">AH285-AR285</f>
        <v>0</v>
      </c>
    </row>
    <row r="286" customFormat="false" ht="12" hidden="false" customHeight="false" outlineLevel="0" collapsed="false">
      <c r="A286" s="3" t="n">
        <f aca="false">A285+1</f>
        <v>277</v>
      </c>
      <c r="B286" s="3" t="n">
        <f aca="false">IF(A286&lt;$N$4/3,0.1,(IF(A286&gt;2*$N$4/3,0.05,0.12)))</f>
        <v>0.1</v>
      </c>
      <c r="C286" s="4" t="n">
        <f aca="true">RAND()</f>
        <v>0.653236307446318</v>
      </c>
      <c r="D286" s="0" t="n">
        <f aca="false">IF((C286&gt;$M$2),1,0)</f>
        <v>0</v>
      </c>
      <c r="E286" s="0" t="n">
        <f aca="false">1-D286</f>
        <v>1</v>
      </c>
      <c r="F286" s="0" t="n">
        <f aca="true">RAND()</f>
        <v>0.23181661993149</v>
      </c>
      <c r="G286" s="0" t="n">
        <f aca="false">7.75+F286*10</f>
        <v>10.0681661993149</v>
      </c>
      <c r="H286" s="0" t="n">
        <f aca="false">LOGINV(F286,2.64,1.139)</f>
        <v>6.08150805326949</v>
      </c>
      <c r="I286" s="0" t="n">
        <v>19.5</v>
      </c>
      <c r="J286" s="4" t="n">
        <f aca="true">-LN(RAND())/B286</f>
        <v>9.86030122163329</v>
      </c>
      <c r="K286" s="4" t="n">
        <f aca="false">K285+J286</f>
        <v>2815.01438938335</v>
      </c>
      <c r="L286" s="4" t="n">
        <f aca="false">(1/$J$4)*(1+AB285)</f>
        <v>10</v>
      </c>
      <c r="M286" s="4" t="n">
        <f aca="false">L286+MAX(K286,Y$10:Y285)</f>
        <v>2858.67002850573</v>
      </c>
      <c r="N286" s="4" t="n">
        <f aca="false">K286</f>
        <v>2815.01438938335</v>
      </c>
      <c r="O286" s="4" t="n">
        <f aca="false">M286-K286</f>
        <v>43.6556391223749</v>
      </c>
      <c r="P286" s="4" t="n">
        <f aca="false">N286-K286</f>
        <v>0</v>
      </c>
      <c r="Q286" s="4" t="n">
        <f aca="false">A286-MATCH(K286,$M$9:M285,1)</f>
        <v>4</v>
      </c>
      <c r="R286" s="0" t="n">
        <f aca="false">-G286*(O286/3600)</f>
        <v>-0.122092286172607</v>
      </c>
      <c r="S286" s="0" t="n">
        <f aca="false">-1*I286-(H286*(P286/3600))</f>
        <v>-19.5</v>
      </c>
      <c r="T286" s="0" t="n">
        <f aca="false">-H286*(O286/3600)</f>
        <v>-0.0737478113592636</v>
      </c>
      <c r="U286" s="0" t="n">
        <f aca="false">T286-S286</f>
        <v>19.4262521886407</v>
      </c>
      <c r="V286" s="0" t="n">
        <f aca="false">1/(1+EXP(U286))</f>
        <v>3.65835518957772E-009</v>
      </c>
      <c r="W286" s="0" t="n">
        <f aca="true">RAND()</f>
        <v>0.414210452340499</v>
      </c>
      <c r="X286" s="0" t="n">
        <f aca="false">IF(W286&lt;V286,1,0)</f>
        <v>0</v>
      </c>
      <c r="Y286" s="0" t="n">
        <f aca="false">(M286*(1-X286)+N286*X286)*D286+M286*E286</f>
        <v>2858.67002850573</v>
      </c>
      <c r="Z286" s="0" t="n">
        <f aca="false">((1-X286)*O286+X286*P286)*D286+E286*O286</f>
        <v>43.6556391223749</v>
      </c>
      <c r="AA286" s="0" t="n">
        <f aca="false">IF(D286*X286&gt;0,AA285,Q286)</f>
        <v>4</v>
      </c>
      <c r="AB286" s="0" t="n">
        <f aca="false">(X286*D286)</f>
        <v>0</v>
      </c>
      <c r="AC286" s="0" t="n">
        <f aca="false">SUM(AB$10:AB285)/K286</f>
        <v>0</v>
      </c>
      <c r="AD286" s="0" t="n">
        <f aca="false">R286*E286+D286*(X286*S286+(1-X286)*T286)</f>
        <v>-0.122092286172607</v>
      </c>
      <c r="AE286" s="0" t="n">
        <f aca="false">Z286</f>
        <v>43.6556391223749</v>
      </c>
      <c r="AF286" s="0" t="n">
        <f aca="false">E286*O286</f>
        <v>43.6556391223749</v>
      </c>
      <c r="AG286" s="0" t="n">
        <f aca="false">((1-X286)*O286+X286*P286)*D286</f>
        <v>0</v>
      </c>
      <c r="AH286" s="0" t="n">
        <f aca="false">D286*(LN(EXP(S286)+EXP(T286)))</f>
        <v>-0</v>
      </c>
      <c r="AJ286" s="0" t="n">
        <f aca="false">$J$5</f>
        <v>10</v>
      </c>
      <c r="AK286" s="4" t="n">
        <f aca="false">AJ286+MAX(K286,AK$10:AK285)</f>
        <v>2858.67002850573</v>
      </c>
      <c r="AL286" s="5" t="n">
        <f aca="false">AK286-K286</f>
        <v>43.6556391223749</v>
      </c>
      <c r="AM286" s="0" t="n">
        <f aca="false">-G286*AL286/3600</f>
        <v>-0.122092286172607</v>
      </c>
      <c r="AN286" s="0" t="n">
        <f aca="false">-H286*AL286/3600</f>
        <v>-0.0737478113592636</v>
      </c>
      <c r="AO286" s="0" t="n">
        <f aca="false">AM286*E286+AN286*D286</f>
        <v>-0.122092286172607</v>
      </c>
      <c r="AP286" s="0" t="n">
        <f aca="false">AL286*D286</f>
        <v>0</v>
      </c>
      <c r="AR286" s="0" t="n">
        <f aca="false">AN286*D286</f>
        <v>-0</v>
      </c>
      <c r="AS286" s="0" t="n">
        <f aca="false">AH286-AR286</f>
        <v>0</v>
      </c>
    </row>
    <row r="287" customFormat="false" ht="12" hidden="false" customHeight="false" outlineLevel="0" collapsed="false">
      <c r="A287" s="3" t="n">
        <f aca="false">A286+1</f>
        <v>278</v>
      </c>
      <c r="B287" s="3" t="n">
        <f aca="false">IF(A287&lt;$N$4/3,0.1,(IF(A287&gt;2*$N$4/3,0.05,0.12)))</f>
        <v>0.1</v>
      </c>
      <c r="C287" s="4" t="n">
        <f aca="true">RAND()</f>
        <v>0.727186688770881</v>
      </c>
      <c r="D287" s="0" t="n">
        <f aca="false">IF((C287&gt;$M$2),1,0)</f>
        <v>0</v>
      </c>
      <c r="E287" s="0" t="n">
        <f aca="false">1-D287</f>
        <v>1</v>
      </c>
      <c r="F287" s="0" t="n">
        <f aca="true">RAND()</f>
        <v>0.0354438223516614</v>
      </c>
      <c r="G287" s="0" t="n">
        <f aca="false">7.75+F287*10</f>
        <v>8.10443822351661</v>
      </c>
      <c r="H287" s="0" t="n">
        <f aca="false">LOGINV(F287,2.64,1.139)</f>
        <v>1.79094271441151</v>
      </c>
      <c r="I287" s="0" t="n">
        <v>19.5</v>
      </c>
      <c r="J287" s="4" t="n">
        <f aca="true">-LN(RAND())/B287</f>
        <v>19.5652957482632</v>
      </c>
      <c r="K287" s="4" t="n">
        <f aca="false">K286+J287</f>
        <v>2834.57968513162</v>
      </c>
      <c r="L287" s="4" t="n">
        <f aca="false">(1/$J$4)*(1+AB286)</f>
        <v>10</v>
      </c>
      <c r="M287" s="4" t="n">
        <f aca="false">L287+MAX(K287,Y$10:Y286)</f>
        <v>2868.67002850573</v>
      </c>
      <c r="N287" s="4" t="n">
        <f aca="false">K287</f>
        <v>2834.57968513162</v>
      </c>
      <c r="O287" s="4" t="n">
        <f aca="false">M287-K287</f>
        <v>34.0903433741119</v>
      </c>
      <c r="P287" s="4" t="n">
        <f aca="false">N287-K287</f>
        <v>0</v>
      </c>
      <c r="Q287" s="4" t="n">
        <f aca="false">A287-MATCH(K287,$M$9:M286,1)</f>
        <v>3</v>
      </c>
      <c r="R287" s="0" t="n">
        <f aca="false">-G287*(O287/3600)</f>
        <v>-0.0767453005260996</v>
      </c>
      <c r="S287" s="0" t="n">
        <f aca="false">-1*I287-(H287*(P287/3600))</f>
        <v>-19.5</v>
      </c>
      <c r="T287" s="0" t="n">
        <f aca="false">-H287*(O287/3600)</f>
        <v>-0.016959403360459</v>
      </c>
      <c r="U287" s="0" t="n">
        <f aca="false">T287-S287</f>
        <v>19.4830405966395</v>
      </c>
      <c r="V287" s="0" t="n">
        <f aca="false">1/(1+EXP(U287))</f>
        <v>3.456391883917E-009</v>
      </c>
      <c r="W287" s="0" t="n">
        <f aca="true">RAND()</f>
        <v>0.207736166699474</v>
      </c>
      <c r="X287" s="0" t="n">
        <f aca="false">IF(W287&lt;V287,1,0)</f>
        <v>0</v>
      </c>
      <c r="Y287" s="0" t="n">
        <f aca="false">(M287*(1-X287)+N287*X287)*D287+M287*E287</f>
        <v>2868.67002850573</v>
      </c>
      <c r="Z287" s="0" t="n">
        <f aca="false">((1-X287)*O287+X287*P287)*D287+E287*O287</f>
        <v>34.0903433741119</v>
      </c>
      <c r="AA287" s="0" t="n">
        <f aca="false">IF(D287*X287&gt;0,AA286,Q287)</f>
        <v>3</v>
      </c>
      <c r="AB287" s="0" t="n">
        <f aca="false">(X287*D287)</f>
        <v>0</v>
      </c>
      <c r="AC287" s="0" t="n">
        <f aca="false">SUM(AB$10:AB286)/K287</f>
        <v>0</v>
      </c>
      <c r="AD287" s="0" t="n">
        <f aca="false">R287*E287+D287*(X287*S287+(1-X287)*T287)</f>
        <v>-0.0767453005260996</v>
      </c>
      <c r="AE287" s="0" t="n">
        <f aca="false">Z287</f>
        <v>34.0903433741119</v>
      </c>
      <c r="AF287" s="0" t="n">
        <f aca="false">E287*O287</f>
        <v>34.0903433741119</v>
      </c>
      <c r="AG287" s="0" t="n">
        <f aca="false">((1-X287)*O287+X287*P287)*D287</f>
        <v>0</v>
      </c>
      <c r="AH287" s="0" t="n">
        <f aca="false">D287*(LN(EXP(S287)+EXP(T287)))</f>
        <v>-0</v>
      </c>
      <c r="AJ287" s="0" t="n">
        <f aca="false">$J$5</f>
        <v>10</v>
      </c>
      <c r="AK287" s="4" t="n">
        <f aca="false">AJ287+MAX(K287,AK$10:AK286)</f>
        <v>2868.67002850573</v>
      </c>
      <c r="AL287" s="5" t="n">
        <f aca="false">AK287-K287</f>
        <v>34.0903433741119</v>
      </c>
      <c r="AM287" s="0" t="n">
        <f aca="false">-G287*AL287/3600</f>
        <v>-0.0767453005260996</v>
      </c>
      <c r="AN287" s="0" t="n">
        <f aca="false">-H287*AL287/3600</f>
        <v>-0.016959403360459</v>
      </c>
      <c r="AO287" s="0" t="n">
        <f aca="false">AM287*E287+AN287*D287</f>
        <v>-0.0767453005260996</v>
      </c>
      <c r="AP287" s="0" t="n">
        <f aca="false">AL287*D287</f>
        <v>0</v>
      </c>
      <c r="AR287" s="0" t="n">
        <f aca="false">AN287*D287</f>
        <v>-0</v>
      </c>
      <c r="AS287" s="0" t="n">
        <f aca="false">AH287-AR287</f>
        <v>0</v>
      </c>
    </row>
    <row r="288" customFormat="false" ht="12" hidden="false" customHeight="false" outlineLevel="0" collapsed="false">
      <c r="A288" s="3" t="n">
        <f aca="false">A287+1</f>
        <v>279</v>
      </c>
      <c r="B288" s="3" t="n">
        <f aca="false">IF(A288&lt;$N$4/3,0.1,(IF(A288&gt;2*$N$4/3,0.05,0.12)))</f>
        <v>0.1</v>
      </c>
      <c r="C288" s="4" t="n">
        <f aca="true">RAND()</f>
        <v>0.919246599593884</v>
      </c>
      <c r="D288" s="0" t="n">
        <f aca="false">IF((C288&gt;$M$2),1,0)</f>
        <v>1</v>
      </c>
      <c r="E288" s="0" t="n">
        <f aca="false">1-D288</f>
        <v>0</v>
      </c>
      <c r="F288" s="0" t="n">
        <f aca="true">RAND()</f>
        <v>0.638368814709227</v>
      </c>
      <c r="G288" s="0" t="n">
        <f aca="false">7.75+F288*10</f>
        <v>14.1336881470923</v>
      </c>
      <c r="H288" s="0" t="n">
        <f aca="false">LOGINV(F288,2.64,1.139)</f>
        <v>20.9748119842146</v>
      </c>
      <c r="I288" s="0" t="n">
        <v>19.5</v>
      </c>
      <c r="J288" s="4" t="n">
        <f aca="true">-LN(RAND())/B288</f>
        <v>14.5823995415333</v>
      </c>
      <c r="K288" s="4" t="n">
        <f aca="false">K287+J288</f>
        <v>2849.16208467315</v>
      </c>
      <c r="L288" s="4" t="n">
        <f aca="false">(1/$J$4)*(1+AB287)</f>
        <v>10</v>
      </c>
      <c r="M288" s="4" t="n">
        <f aca="false">L288+MAX(K288,Y$10:Y287)</f>
        <v>2878.67002850573</v>
      </c>
      <c r="N288" s="4" t="n">
        <f aca="false">K288</f>
        <v>2849.16208467315</v>
      </c>
      <c r="O288" s="4" t="n">
        <f aca="false">M288-K288</f>
        <v>29.5079438325784</v>
      </c>
      <c r="P288" s="4" t="n">
        <f aca="false">N288-K288</f>
        <v>0</v>
      </c>
      <c r="Q288" s="4" t="n">
        <f aca="false">A288-MATCH(K288,$M$9:M287,1)</f>
        <v>2</v>
      </c>
      <c r="R288" s="0" t="n">
        <f aca="false">-G288*(O288/3600)</f>
        <v>-0.11584890999766</v>
      </c>
      <c r="S288" s="0" t="n">
        <f aca="false">-1*I288-(H288*(P288/3600))</f>
        <v>-19.5</v>
      </c>
      <c r="T288" s="0" t="n">
        <f aca="false">-H288*(O288/3600)</f>
        <v>-0.171923214980305</v>
      </c>
      <c r="U288" s="0" t="n">
        <f aca="false">T288-S288</f>
        <v>19.3280767850197</v>
      </c>
      <c r="V288" s="0" t="n">
        <f aca="false">1/(1+EXP(U288))</f>
        <v>4.03573744817304E-009</v>
      </c>
      <c r="W288" s="0" t="n">
        <f aca="true">RAND()</f>
        <v>0.0232053516938502</v>
      </c>
      <c r="X288" s="0" t="n">
        <f aca="false">IF(W288&lt;V288,1,0)</f>
        <v>0</v>
      </c>
      <c r="Y288" s="0" t="n">
        <f aca="false">(M288*(1-X288)+N288*X288)*D288+M288*E288</f>
        <v>2878.67002850573</v>
      </c>
      <c r="Z288" s="0" t="n">
        <f aca="false">((1-X288)*O288+X288*P288)*D288+E288*O288</f>
        <v>29.5079438325784</v>
      </c>
      <c r="AA288" s="0" t="n">
        <f aca="false">IF(D288*X288&gt;0,AA287,Q288)</f>
        <v>2</v>
      </c>
      <c r="AB288" s="0" t="n">
        <f aca="false">(X288*D288)</f>
        <v>0</v>
      </c>
      <c r="AC288" s="0" t="n">
        <f aca="false">SUM(AB$10:AB287)/K288</f>
        <v>0</v>
      </c>
      <c r="AD288" s="0" t="n">
        <f aca="false">R288*E288+D288*(X288*S288+(1-X288)*T288)</f>
        <v>-0.171923214980305</v>
      </c>
      <c r="AE288" s="0" t="n">
        <f aca="false">Z288</f>
        <v>29.5079438325784</v>
      </c>
      <c r="AF288" s="0" t="n">
        <f aca="false">E288*O288</f>
        <v>0</v>
      </c>
      <c r="AG288" s="0" t="n">
        <f aca="false">((1-X288)*O288+X288*P288)*D288</f>
        <v>29.5079438325784</v>
      </c>
      <c r="AH288" s="0" t="n">
        <f aca="false">D288*(LN(EXP(S288)+EXP(T288)))</f>
        <v>-0.171923210944567</v>
      </c>
      <c r="AJ288" s="0" t="n">
        <f aca="false">$J$5</f>
        <v>10</v>
      </c>
      <c r="AK288" s="4" t="n">
        <f aca="false">AJ288+MAX(K288,AK$10:AK287)</f>
        <v>2878.67002850573</v>
      </c>
      <c r="AL288" s="5" t="n">
        <f aca="false">AK288-K288</f>
        <v>29.5079438325784</v>
      </c>
      <c r="AM288" s="0" t="n">
        <f aca="false">-G288*AL288/3600</f>
        <v>-0.11584890999766</v>
      </c>
      <c r="AN288" s="0" t="n">
        <f aca="false">-H288*AL288/3600</f>
        <v>-0.171923214980305</v>
      </c>
      <c r="AO288" s="0" t="n">
        <f aca="false">AM288*E288+AN288*D288</f>
        <v>-0.171923214980305</v>
      </c>
      <c r="AP288" s="0" t="n">
        <f aca="false">AL288*D288</f>
        <v>29.5079438325784</v>
      </c>
      <c r="AR288" s="0" t="n">
        <f aca="false">AN288*D288</f>
        <v>-0.171923214980305</v>
      </c>
      <c r="AS288" s="0" t="n">
        <f aca="false">AH288-AR288</f>
        <v>4.03573735541229E-009</v>
      </c>
    </row>
    <row r="289" customFormat="false" ht="12" hidden="false" customHeight="false" outlineLevel="0" collapsed="false">
      <c r="A289" s="3" t="n">
        <f aca="false">A288+1</f>
        <v>280</v>
      </c>
      <c r="B289" s="3" t="n">
        <f aca="false">IF(A289&lt;$N$4/3,0.1,(IF(A289&gt;2*$N$4/3,0.05,0.12)))</f>
        <v>0.1</v>
      </c>
      <c r="C289" s="4" t="n">
        <f aca="true">RAND()</f>
        <v>0.631806898496728</v>
      </c>
      <c r="D289" s="0" t="n">
        <f aca="false">IF((C289&gt;$M$2),1,0)</f>
        <v>0</v>
      </c>
      <c r="E289" s="0" t="n">
        <f aca="false">1-D289</f>
        <v>1</v>
      </c>
      <c r="F289" s="0" t="n">
        <f aca="true">RAND()</f>
        <v>0.814485585683974</v>
      </c>
      <c r="G289" s="0" t="n">
        <f aca="false">7.75+F289*10</f>
        <v>15.8948558568397</v>
      </c>
      <c r="H289" s="0" t="n">
        <f aca="false">LOGINV(F289,2.64,1.139)</f>
        <v>38.8182316956702</v>
      </c>
      <c r="I289" s="0" t="n">
        <v>19.5</v>
      </c>
      <c r="J289" s="4" t="n">
        <f aca="true">-LN(RAND())/B289</f>
        <v>0.40300562554214</v>
      </c>
      <c r="K289" s="4" t="n">
        <f aca="false">K288+J289</f>
        <v>2849.56509029869</v>
      </c>
      <c r="L289" s="4" t="n">
        <f aca="false">(1/$J$4)*(1+AB288)</f>
        <v>10</v>
      </c>
      <c r="M289" s="4" t="n">
        <f aca="false">L289+MAX(K289,Y$10:Y288)</f>
        <v>2888.67002850573</v>
      </c>
      <c r="N289" s="4" t="n">
        <f aca="false">K289</f>
        <v>2849.56509029869</v>
      </c>
      <c r="O289" s="4" t="n">
        <f aca="false">M289-K289</f>
        <v>39.1049382070364</v>
      </c>
      <c r="P289" s="4" t="n">
        <f aca="false">N289-K289</f>
        <v>0</v>
      </c>
      <c r="Q289" s="4" t="n">
        <f aca="false">A289-MATCH(K289,$M$9:M288,1)</f>
        <v>3</v>
      </c>
      <c r="R289" s="0" t="n">
        <f aca="false">-G289*(O289/3600)</f>
        <v>-0.172657598914297</v>
      </c>
      <c r="S289" s="0" t="n">
        <f aca="false">-1*I289-(H289*(P289/3600))</f>
        <v>-19.5</v>
      </c>
      <c r="T289" s="0" t="n">
        <f aca="false">-H289*(O289/3600)</f>
        <v>-0.421662375490446</v>
      </c>
      <c r="U289" s="0" t="n">
        <f aca="false">T289-S289</f>
        <v>19.0783376245096</v>
      </c>
      <c r="V289" s="0" t="n">
        <f aca="false">1/(1+EXP(U289))</f>
        <v>5.18063796138338E-009</v>
      </c>
      <c r="W289" s="0" t="n">
        <f aca="true">RAND()</f>
        <v>0.226877194996781</v>
      </c>
      <c r="X289" s="0" t="n">
        <f aca="false">IF(W289&lt;V289,1,0)</f>
        <v>0</v>
      </c>
      <c r="Y289" s="0" t="n">
        <f aca="false">(M289*(1-X289)+N289*X289)*D289+M289*E289</f>
        <v>2888.67002850573</v>
      </c>
      <c r="Z289" s="0" t="n">
        <f aca="false">((1-X289)*O289+X289*P289)*D289+E289*O289</f>
        <v>39.1049382070364</v>
      </c>
      <c r="AA289" s="0" t="n">
        <f aca="false">IF(D289*X289&gt;0,AA288,Q289)</f>
        <v>3</v>
      </c>
      <c r="AB289" s="0" t="n">
        <f aca="false">(X289*D289)</f>
        <v>0</v>
      </c>
      <c r="AC289" s="0" t="n">
        <f aca="false">SUM(AB$10:AB288)/K289</f>
        <v>0</v>
      </c>
      <c r="AD289" s="0" t="n">
        <f aca="false">R289*E289+D289*(X289*S289+(1-X289)*T289)</f>
        <v>-0.172657598914297</v>
      </c>
      <c r="AE289" s="0" t="n">
        <f aca="false">Z289</f>
        <v>39.1049382070364</v>
      </c>
      <c r="AF289" s="0" t="n">
        <f aca="false">E289*O289</f>
        <v>39.1049382070364</v>
      </c>
      <c r="AG289" s="0" t="n">
        <f aca="false">((1-X289)*O289+X289*P289)*D289</f>
        <v>0</v>
      </c>
      <c r="AH289" s="0" t="n">
        <f aca="false">D289*(LN(EXP(S289)+EXP(T289)))</f>
        <v>-0</v>
      </c>
      <c r="AJ289" s="0" t="n">
        <f aca="false">$J$5</f>
        <v>10</v>
      </c>
      <c r="AK289" s="4" t="n">
        <f aca="false">AJ289+MAX(K289,AK$10:AK288)</f>
        <v>2888.67002850573</v>
      </c>
      <c r="AL289" s="5" t="n">
        <f aca="false">AK289-K289</f>
        <v>39.1049382070364</v>
      </c>
      <c r="AM289" s="0" t="n">
        <f aca="false">-G289*AL289/3600</f>
        <v>-0.172657598914297</v>
      </c>
      <c r="AN289" s="0" t="n">
        <f aca="false">-H289*AL289/3600</f>
        <v>-0.421662375490446</v>
      </c>
      <c r="AO289" s="0" t="n">
        <f aca="false">AM289*E289+AN289*D289</f>
        <v>-0.172657598914297</v>
      </c>
      <c r="AP289" s="0" t="n">
        <f aca="false">AL289*D289</f>
        <v>0</v>
      </c>
      <c r="AR289" s="0" t="n">
        <f aca="false">AN289*D289</f>
        <v>-0</v>
      </c>
      <c r="AS289" s="0" t="n">
        <f aca="false">AH289-AR289</f>
        <v>0</v>
      </c>
    </row>
    <row r="290" customFormat="false" ht="12" hidden="false" customHeight="false" outlineLevel="0" collapsed="false">
      <c r="A290" s="3" t="n">
        <f aca="false">A289+1</f>
        <v>281</v>
      </c>
      <c r="B290" s="3" t="n">
        <f aca="false">IF(A290&lt;$N$4/3,0.1,(IF(A290&gt;2*$N$4/3,0.05,0.12)))</f>
        <v>0.1</v>
      </c>
      <c r="C290" s="4" t="n">
        <f aca="true">RAND()</f>
        <v>0.234618375084573</v>
      </c>
      <c r="D290" s="0" t="n">
        <f aca="false">IF((C290&gt;$M$2),1,0)</f>
        <v>0</v>
      </c>
      <c r="E290" s="0" t="n">
        <f aca="false">1-D290</f>
        <v>1</v>
      </c>
      <c r="F290" s="0" t="n">
        <f aca="true">RAND()</f>
        <v>0.400176881880165</v>
      </c>
      <c r="G290" s="0" t="n">
        <f aca="false">7.75+F290*10</f>
        <v>11.7517688188017</v>
      </c>
      <c r="H290" s="0" t="n">
        <f aca="false">LOGINV(F290,2.64,1.139)</f>
        <v>10.5061320931781</v>
      </c>
      <c r="I290" s="0" t="n">
        <v>19.5</v>
      </c>
      <c r="J290" s="4" t="n">
        <f aca="true">-LN(RAND())/B290</f>
        <v>14.4300685926907</v>
      </c>
      <c r="K290" s="4" t="n">
        <f aca="false">K289+J290</f>
        <v>2863.99515889138</v>
      </c>
      <c r="L290" s="4" t="n">
        <f aca="false">(1/$J$4)*(1+AB289)</f>
        <v>10</v>
      </c>
      <c r="M290" s="4" t="n">
        <f aca="false">L290+MAX(K290,Y$10:Y289)</f>
        <v>2898.67002850573</v>
      </c>
      <c r="N290" s="4" t="n">
        <f aca="false">K290</f>
        <v>2863.99515889138</v>
      </c>
      <c r="O290" s="4" t="n">
        <f aca="false">M290-K290</f>
        <v>34.6748696143459</v>
      </c>
      <c r="P290" s="4" t="n">
        <f aca="false">N290-K290</f>
        <v>0</v>
      </c>
      <c r="Q290" s="4" t="n">
        <f aca="false">A290-MATCH(K290,$M$9:M289,1)</f>
        <v>3</v>
      </c>
      <c r="R290" s="0" t="n">
        <f aca="false">-G290*(O290/3600)</f>
        <v>-0.113191958758301</v>
      </c>
      <c r="S290" s="0" t="n">
        <f aca="false">-1*I290-(H290*(P290/3600))</f>
        <v>-19.5</v>
      </c>
      <c r="T290" s="0" t="n">
        <f aca="false">-H290*(O290/3600)</f>
        <v>-0.101194100133901</v>
      </c>
      <c r="U290" s="0" t="n">
        <f aca="false">T290-S290</f>
        <v>19.3988058998661</v>
      </c>
      <c r="V290" s="0" t="n">
        <f aca="false">1/(1+EXP(U290))</f>
        <v>3.76015407260963E-009</v>
      </c>
      <c r="W290" s="0" t="n">
        <f aca="true">RAND()</f>
        <v>0.255385180617876</v>
      </c>
      <c r="X290" s="0" t="n">
        <f aca="false">IF(W290&lt;V290,1,0)</f>
        <v>0</v>
      </c>
      <c r="Y290" s="0" t="n">
        <f aca="false">(M290*(1-X290)+N290*X290)*D290+M290*E290</f>
        <v>2898.67002850573</v>
      </c>
      <c r="Z290" s="0" t="n">
        <f aca="false">((1-X290)*O290+X290*P290)*D290+E290*O290</f>
        <v>34.6748696143459</v>
      </c>
      <c r="AA290" s="0" t="n">
        <f aca="false">IF(D290*X290&gt;0,AA289,Q290)</f>
        <v>3</v>
      </c>
      <c r="AB290" s="0" t="n">
        <f aca="false">(X290*D290)</f>
        <v>0</v>
      </c>
      <c r="AC290" s="0" t="n">
        <f aca="false">SUM(AB$10:AB289)/K290</f>
        <v>0</v>
      </c>
      <c r="AD290" s="0" t="n">
        <f aca="false">R290*E290+D290*(X290*S290+(1-X290)*T290)</f>
        <v>-0.113191958758301</v>
      </c>
      <c r="AE290" s="0" t="n">
        <f aca="false">Z290</f>
        <v>34.6748696143459</v>
      </c>
      <c r="AF290" s="0" t="n">
        <f aca="false">E290*O290</f>
        <v>34.6748696143459</v>
      </c>
      <c r="AG290" s="0" t="n">
        <f aca="false">((1-X290)*O290+X290*P290)*D290</f>
        <v>0</v>
      </c>
      <c r="AH290" s="0" t="n">
        <f aca="false">D290*(LN(EXP(S290)+EXP(T290)))</f>
        <v>-0</v>
      </c>
      <c r="AJ290" s="0" t="n">
        <f aca="false">$J$5</f>
        <v>10</v>
      </c>
      <c r="AK290" s="4" t="n">
        <f aca="false">AJ290+MAX(K290,AK$10:AK289)</f>
        <v>2898.67002850573</v>
      </c>
      <c r="AL290" s="5" t="n">
        <f aca="false">AK290-K290</f>
        <v>34.6748696143459</v>
      </c>
      <c r="AM290" s="0" t="n">
        <f aca="false">-G290*AL290/3600</f>
        <v>-0.113191958758301</v>
      </c>
      <c r="AN290" s="0" t="n">
        <f aca="false">-H290*AL290/3600</f>
        <v>-0.101194100133901</v>
      </c>
      <c r="AO290" s="0" t="n">
        <f aca="false">AM290*E290+AN290*D290</f>
        <v>-0.113191958758301</v>
      </c>
      <c r="AP290" s="0" t="n">
        <f aca="false">AL290*D290</f>
        <v>0</v>
      </c>
      <c r="AR290" s="0" t="n">
        <f aca="false">AN290*D290</f>
        <v>-0</v>
      </c>
      <c r="AS290" s="0" t="n">
        <f aca="false">AH290-AR290</f>
        <v>0</v>
      </c>
    </row>
    <row r="291" customFormat="false" ht="12" hidden="false" customHeight="false" outlineLevel="0" collapsed="false">
      <c r="A291" s="3" t="n">
        <f aca="false">A290+1</f>
        <v>282</v>
      </c>
      <c r="B291" s="3" t="n">
        <f aca="false">IF(A291&lt;$N$4/3,0.1,(IF(A291&gt;2*$N$4/3,0.05,0.12)))</f>
        <v>0.1</v>
      </c>
      <c r="C291" s="4" t="n">
        <f aca="true">RAND()</f>
        <v>0.299345765559484</v>
      </c>
      <c r="D291" s="0" t="n">
        <f aca="false">IF((C291&gt;$M$2),1,0)</f>
        <v>0</v>
      </c>
      <c r="E291" s="0" t="n">
        <f aca="false">1-D291</f>
        <v>1</v>
      </c>
      <c r="F291" s="0" t="n">
        <f aca="true">RAND()</f>
        <v>0.147601719341908</v>
      </c>
      <c r="G291" s="0" t="n">
        <f aca="false">7.75+F291*10</f>
        <v>9.22601719341908</v>
      </c>
      <c r="H291" s="0" t="n">
        <f aca="false">LOGINV(F291,2.64,1.139)</f>
        <v>4.25342040811259</v>
      </c>
      <c r="I291" s="0" t="n">
        <v>19.5</v>
      </c>
      <c r="J291" s="4" t="n">
        <f aca="true">-LN(RAND())/B291</f>
        <v>1.3847634948574</v>
      </c>
      <c r="K291" s="4" t="n">
        <f aca="false">K290+J291</f>
        <v>2865.37992238624</v>
      </c>
      <c r="L291" s="4" t="n">
        <f aca="false">(1/$J$4)*(1+AB290)</f>
        <v>10</v>
      </c>
      <c r="M291" s="4" t="n">
        <f aca="false">L291+MAX(K291,Y$10:Y290)</f>
        <v>2908.67002850573</v>
      </c>
      <c r="N291" s="4" t="n">
        <f aca="false">K291</f>
        <v>2865.37992238624</v>
      </c>
      <c r="O291" s="4" t="n">
        <f aca="false">M291-K291</f>
        <v>43.2901061194884</v>
      </c>
      <c r="P291" s="4" t="n">
        <f aca="false">N291-K291</f>
        <v>0</v>
      </c>
      <c r="Q291" s="4" t="n">
        <f aca="false">A291-MATCH(K291,$M$9:M290,1)</f>
        <v>4</v>
      </c>
      <c r="R291" s="0" t="n">
        <f aca="false">-G291*(O291/3600)</f>
        <v>-0.110943128712038</v>
      </c>
      <c r="S291" s="0" t="n">
        <f aca="false">-1*I291-(H291*(P291/3600))</f>
        <v>-19.5</v>
      </c>
      <c r="T291" s="0" t="n">
        <f aca="false">-H291*(O291/3600)</f>
        <v>-0.0511475057883311</v>
      </c>
      <c r="U291" s="0" t="n">
        <f aca="false">T291-S291</f>
        <v>19.4488524942117</v>
      </c>
      <c r="V291" s="0" t="n">
        <f aca="false">1/(1+EXP(U291))</f>
        <v>3.57660254184168E-009</v>
      </c>
      <c r="W291" s="0" t="n">
        <f aca="true">RAND()</f>
        <v>0.545296313183598</v>
      </c>
      <c r="X291" s="0" t="n">
        <f aca="false">IF(W291&lt;V291,1,0)</f>
        <v>0</v>
      </c>
      <c r="Y291" s="0" t="n">
        <f aca="false">(M291*(1-X291)+N291*X291)*D291+M291*E291</f>
        <v>2908.67002850573</v>
      </c>
      <c r="Z291" s="0" t="n">
        <f aca="false">((1-X291)*O291+X291*P291)*D291+E291*O291</f>
        <v>43.2901061194884</v>
      </c>
      <c r="AA291" s="0" t="n">
        <f aca="false">IF(D291*X291&gt;0,AA290,Q291)</f>
        <v>4</v>
      </c>
      <c r="AB291" s="0" t="n">
        <f aca="false">(X291*D291)</f>
        <v>0</v>
      </c>
      <c r="AC291" s="0" t="n">
        <f aca="false">SUM(AB$10:AB290)/K291</f>
        <v>0</v>
      </c>
      <c r="AD291" s="0" t="n">
        <f aca="false">R291*E291+D291*(X291*S291+(1-X291)*T291)</f>
        <v>-0.110943128712038</v>
      </c>
      <c r="AE291" s="0" t="n">
        <f aca="false">Z291</f>
        <v>43.2901061194884</v>
      </c>
      <c r="AF291" s="0" t="n">
        <f aca="false">E291*O291</f>
        <v>43.2901061194884</v>
      </c>
      <c r="AG291" s="0" t="n">
        <f aca="false">((1-X291)*O291+X291*P291)*D291</f>
        <v>0</v>
      </c>
      <c r="AH291" s="0" t="n">
        <f aca="false">D291*(LN(EXP(S291)+EXP(T291)))</f>
        <v>-0</v>
      </c>
      <c r="AJ291" s="0" t="n">
        <f aca="false">$J$5</f>
        <v>10</v>
      </c>
      <c r="AK291" s="4" t="n">
        <f aca="false">AJ291+MAX(K291,AK$10:AK290)</f>
        <v>2908.67002850573</v>
      </c>
      <c r="AL291" s="5" t="n">
        <f aca="false">AK291-K291</f>
        <v>43.2901061194884</v>
      </c>
      <c r="AM291" s="0" t="n">
        <f aca="false">-G291*AL291/3600</f>
        <v>-0.110943128712038</v>
      </c>
      <c r="AN291" s="0" t="n">
        <f aca="false">-H291*AL291/3600</f>
        <v>-0.0511475057883311</v>
      </c>
      <c r="AO291" s="0" t="n">
        <f aca="false">AM291*E291+AN291*D291</f>
        <v>-0.110943128712038</v>
      </c>
      <c r="AP291" s="0" t="n">
        <f aca="false">AL291*D291</f>
        <v>0</v>
      </c>
      <c r="AR291" s="0" t="n">
        <f aca="false">AN291*D291</f>
        <v>-0</v>
      </c>
      <c r="AS291" s="0" t="n">
        <f aca="false">AH291-AR291</f>
        <v>0</v>
      </c>
    </row>
    <row r="292" customFormat="false" ht="12" hidden="false" customHeight="false" outlineLevel="0" collapsed="false">
      <c r="A292" s="3" t="n">
        <f aca="false">A291+1</f>
        <v>283</v>
      </c>
      <c r="B292" s="3" t="n">
        <f aca="false">IF(A292&lt;$N$4/3,0.1,(IF(A292&gt;2*$N$4/3,0.05,0.12)))</f>
        <v>0.1</v>
      </c>
      <c r="C292" s="4" t="n">
        <f aca="true">RAND()</f>
        <v>0.635100632639266</v>
      </c>
      <c r="D292" s="0" t="n">
        <f aca="false">IF((C292&gt;$M$2),1,0)</f>
        <v>0</v>
      </c>
      <c r="E292" s="0" t="n">
        <f aca="false">1-D292</f>
        <v>1</v>
      </c>
      <c r="F292" s="0" t="n">
        <f aca="true">RAND()</f>
        <v>0.00717491649848977</v>
      </c>
      <c r="G292" s="0" t="n">
        <f aca="false">7.75+F292*10</f>
        <v>7.8217491649849</v>
      </c>
      <c r="H292" s="0" t="n">
        <f aca="false">LOGINV(F292,2.64,1.139)</f>
        <v>0.861818808003306</v>
      </c>
      <c r="I292" s="0" t="n">
        <v>19.5</v>
      </c>
      <c r="J292" s="4" t="n">
        <f aca="true">-LN(RAND())/B292</f>
        <v>23.754056981056</v>
      </c>
      <c r="K292" s="4" t="n">
        <f aca="false">K291+J292</f>
        <v>2889.1339793673</v>
      </c>
      <c r="L292" s="4" t="n">
        <f aca="false">(1/$J$4)*(1+AB291)</f>
        <v>10</v>
      </c>
      <c r="M292" s="4" t="n">
        <f aca="false">L292+MAX(K292,Y$10:Y291)</f>
        <v>2918.67002850573</v>
      </c>
      <c r="N292" s="4" t="n">
        <f aca="false">K292</f>
        <v>2889.1339793673</v>
      </c>
      <c r="O292" s="4" t="n">
        <f aca="false">M292-K292</f>
        <v>29.5360491384326</v>
      </c>
      <c r="P292" s="4" t="n">
        <f aca="false">N292-K292</f>
        <v>0</v>
      </c>
      <c r="Q292" s="4" t="n">
        <f aca="false">A292-MATCH(K292,$M$9:M291,1)</f>
        <v>2</v>
      </c>
      <c r="R292" s="0" t="n">
        <f aca="false">-G292*(O292/3600)</f>
        <v>-0.064173213245969</v>
      </c>
      <c r="S292" s="0" t="n">
        <f aca="false">-1*I292-(H292*(P292/3600))</f>
        <v>-19.5</v>
      </c>
      <c r="T292" s="0" t="n">
        <f aca="false">-H292*(O292/3600)</f>
        <v>-0.00707075629489197</v>
      </c>
      <c r="U292" s="0" t="n">
        <f aca="false">T292-S292</f>
        <v>19.4929292437051</v>
      </c>
      <c r="V292" s="0" t="n">
        <f aca="false">1/(1+EXP(U292))</f>
        <v>3.4223812811417E-009</v>
      </c>
      <c r="W292" s="0" t="n">
        <f aca="true">RAND()</f>
        <v>0.700886425174612</v>
      </c>
      <c r="X292" s="0" t="n">
        <f aca="false">IF(W292&lt;V292,1,0)</f>
        <v>0</v>
      </c>
      <c r="Y292" s="0" t="n">
        <f aca="false">(M292*(1-X292)+N292*X292)*D292+M292*E292</f>
        <v>2918.67002850573</v>
      </c>
      <c r="Z292" s="0" t="n">
        <f aca="false">((1-X292)*O292+X292*P292)*D292+E292*O292</f>
        <v>29.5360491384326</v>
      </c>
      <c r="AA292" s="0" t="n">
        <f aca="false">IF(D292*X292&gt;0,AA291,Q292)</f>
        <v>2</v>
      </c>
      <c r="AB292" s="0" t="n">
        <f aca="false">(X292*D292)</f>
        <v>0</v>
      </c>
      <c r="AC292" s="0" t="n">
        <f aca="false">SUM(AB$10:AB291)/K292</f>
        <v>0</v>
      </c>
      <c r="AD292" s="0" t="n">
        <f aca="false">R292*E292+D292*(X292*S292+(1-X292)*T292)</f>
        <v>-0.064173213245969</v>
      </c>
      <c r="AE292" s="0" t="n">
        <f aca="false">Z292</f>
        <v>29.5360491384326</v>
      </c>
      <c r="AF292" s="0" t="n">
        <f aca="false">E292*O292</f>
        <v>29.5360491384326</v>
      </c>
      <c r="AG292" s="0" t="n">
        <f aca="false">((1-X292)*O292+X292*P292)*D292</f>
        <v>0</v>
      </c>
      <c r="AH292" s="0" t="n">
        <f aca="false">D292*(LN(EXP(S292)+EXP(T292)))</f>
        <v>-0</v>
      </c>
      <c r="AJ292" s="0" t="n">
        <f aca="false">$J$5</f>
        <v>10</v>
      </c>
      <c r="AK292" s="4" t="n">
        <f aca="false">AJ292+MAX(K292,AK$10:AK291)</f>
        <v>2918.67002850573</v>
      </c>
      <c r="AL292" s="5" t="n">
        <f aca="false">AK292-K292</f>
        <v>29.5360491384326</v>
      </c>
      <c r="AM292" s="0" t="n">
        <f aca="false">-G292*AL292/3600</f>
        <v>-0.064173213245969</v>
      </c>
      <c r="AN292" s="0" t="n">
        <f aca="false">-H292*AL292/3600</f>
        <v>-0.00707075629489197</v>
      </c>
      <c r="AO292" s="0" t="n">
        <f aca="false">AM292*E292+AN292*D292</f>
        <v>-0.064173213245969</v>
      </c>
      <c r="AP292" s="0" t="n">
        <f aca="false">AL292*D292</f>
        <v>0</v>
      </c>
      <c r="AR292" s="0" t="n">
        <f aca="false">AN292*D292</f>
        <v>-0</v>
      </c>
      <c r="AS292" s="0" t="n">
        <f aca="false">AH292-AR292</f>
        <v>0</v>
      </c>
    </row>
    <row r="293" customFormat="false" ht="12" hidden="false" customHeight="false" outlineLevel="0" collapsed="false">
      <c r="A293" s="3" t="n">
        <f aca="false">A292+1</f>
        <v>284</v>
      </c>
      <c r="B293" s="3" t="n">
        <f aca="false">IF(A293&lt;$N$4/3,0.1,(IF(A293&gt;2*$N$4/3,0.05,0.12)))</f>
        <v>0.1</v>
      </c>
      <c r="C293" s="4" t="n">
        <f aca="true">RAND()</f>
        <v>0.339709131433635</v>
      </c>
      <c r="D293" s="0" t="n">
        <f aca="false">IF((C293&gt;$M$2),1,0)</f>
        <v>0</v>
      </c>
      <c r="E293" s="0" t="n">
        <f aca="false">1-D293</f>
        <v>1</v>
      </c>
      <c r="F293" s="0" t="n">
        <f aca="true">RAND()</f>
        <v>0.324048469548142</v>
      </c>
      <c r="G293" s="0" t="n">
        <f aca="false">7.75+F293*10</f>
        <v>10.9904846954814</v>
      </c>
      <c r="H293" s="0" t="n">
        <f aca="false">LOGINV(F293,2.64,1.139)</f>
        <v>8.33240227509411</v>
      </c>
      <c r="I293" s="0" t="n">
        <v>19.5</v>
      </c>
      <c r="J293" s="4" t="n">
        <f aca="true">-LN(RAND())/B293</f>
        <v>2.71774690311931</v>
      </c>
      <c r="K293" s="4" t="n">
        <f aca="false">K292+J293</f>
        <v>2891.85172627042</v>
      </c>
      <c r="L293" s="4" t="n">
        <f aca="false">(1/$J$4)*(1+AB292)</f>
        <v>10</v>
      </c>
      <c r="M293" s="4" t="n">
        <f aca="false">L293+MAX(K293,Y$10:Y292)</f>
        <v>2928.67002850573</v>
      </c>
      <c r="N293" s="4" t="n">
        <f aca="false">K293</f>
        <v>2891.85172627042</v>
      </c>
      <c r="O293" s="4" t="n">
        <f aca="false">M293-K293</f>
        <v>36.8183022353132</v>
      </c>
      <c r="P293" s="4" t="n">
        <f aca="false">N293-K293</f>
        <v>0</v>
      </c>
      <c r="Q293" s="4" t="n">
        <f aca="false">A293-MATCH(K293,$M$9:M292,1)</f>
        <v>3</v>
      </c>
      <c r="R293" s="0" t="n">
        <f aca="false">-G293*(O293/3600)</f>
        <v>-0.112403052008561</v>
      </c>
      <c r="S293" s="0" t="n">
        <f aca="false">-1*I293-(H293*(P293/3600))</f>
        <v>-19.5</v>
      </c>
      <c r="T293" s="0" t="n">
        <f aca="false">-H293*(O293/3600)</f>
        <v>-0.0852180292529518</v>
      </c>
      <c r="U293" s="0" t="n">
        <f aca="false">T293-S293</f>
        <v>19.414781970747</v>
      </c>
      <c r="V293" s="0" t="n">
        <f aca="false">1/(1+EXP(U293))</f>
        <v>3.70055890074784E-009</v>
      </c>
      <c r="W293" s="0" t="n">
        <f aca="true">RAND()</f>
        <v>0.536397685750878</v>
      </c>
      <c r="X293" s="0" t="n">
        <f aca="false">IF(W293&lt;V293,1,0)</f>
        <v>0</v>
      </c>
      <c r="Y293" s="0" t="n">
        <f aca="false">(M293*(1-X293)+N293*X293)*D293+M293*E293</f>
        <v>2928.67002850573</v>
      </c>
      <c r="Z293" s="0" t="n">
        <f aca="false">((1-X293)*O293+X293*P293)*D293+E293*O293</f>
        <v>36.8183022353132</v>
      </c>
      <c r="AA293" s="0" t="n">
        <f aca="false">IF(D293*X293&gt;0,AA292,Q293)</f>
        <v>3</v>
      </c>
      <c r="AB293" s="0" t="n">
        <f aca="false">(X293*D293)</f>
        <v>0</v>
      </c>
      <c r="AC293" s="0" t="n">
        <f aca="false">SUM(AB$10:AB292)/K293</f>
        <v>0</v>
      </c>
      <c r="AD293" s="0" t="n">
        <f aca="false">R293*E293+D293*(X293*S293+(1-X293)*T293)</f>
        <v>-0.112403052008561</v>
      </c>
      <c r="AE293" s="0" t="n">
        <f aca="false">Z293</f>
        <v>36.8183022353132</v>
      </c>
      <c r="AF293" s="0" t="n">
        <f aca="false">E293*O293</f>
        <v>36.8183022353132</v>
      </c>
      <c r="AG293" s="0" t="n">
        <f aca="false">((1-X293)*O293+X293*P293)*D293</f>
        <v>0</v>
      </c>
      <c r="AH293" s="0" t="n">
        <f aca="false">D293*(LN(EXP(S293)+EXP(T293)))</f>
        <v>-0</v>
      </c>
      <c r="AJ293" s="0" t="n">
        <f aca="false">$J$5</f>
        <v>10</v>
      </c>
      <c r="AK293" s="4" t="n">
        <f aca="false">AJ293+MAX(K293,AK$10:AK292)</f>
        <v>2928.67002850573</v>
      </c>
      <c r="AL293" s="5" t="n">
        <f aca="false">AK293-K293</f>
        <v>36.8183022353132</v>
      </c>
      <c r="AM293" s="0" t="n">
        <f aca="false">-G293*AL293/3600</f>
        <v>-0.112403052008561</v>
      </c>
      <c r="AN293" s="0" t="n">
        <f aca="false">-H293*AL293/3600</f>
        <v>-0.0852180292529518</v>
      </c>
      <c r="AO293" s="0" t="n">
        <f aca="false">AM293*E293+AN293*D293</f>
        <v>-0.112403052008561</v>
      </c>
      <c r="AP293" s="0" t="n">
        <f aca="false">AL293*D293</f>
        <v>0</v>
      </c>
      <c r="AR293" s="0" t="n">
        <f aca="false">AN293*D293</f>
        <v>-0</v>
      </c>
      <c r="AS293" s="0" t="n">
        <f aca="false">AH293-AR293</f>
        <v>0</v>
      </c>
    </row>
    <row r="294" customFormat="false" ht="12" hidden="false" customHeight="false" outlineLevel="0" collapsed="false">
      <c r="A294" s="3" t="n">
        <f aca="false">A293+1</f>
        <v>285</v>
      </c>
      <c r="B294" s="3" t="n">
        <f aca="false">IF(A294&lt;$N$4/3,0.1,(IF(A294&gt;2*$N$4/3,0.05,0.12)))</f>
        <v>0.1</v>
      </c>
      <c r="C294" s="4" t="n">
        <f aca="true">RAND()</f>
        <v>0.357148254671805</v>
      </c>
      <c r="D294" s="0" t="n">
        <f aca="false">IF((C294&gt;$M$2),1,0)</f>
        <v>0</v>
      </c>
      <c r="E294" s="0" t="n">
        <f aca="false">1-D294</f>
        <v>1</v>
      </c>
      <c r="F294" s="0" t="n">
        <f aca="true">RAND()</f>
        <v>0.0796176763621877</v>
      </c>
      <c r="G294" s="0" t="n">
        <f aca="false">7.75+F294*10</f>
        <v>8.54617676362188</v>
      </c>
      <c r="H294" s="0" t="n">
        <f aca="false">LOGINV(F294,2.64,1.139)</f>
        <v>2.81986504743231</v>
      </c>
      <c r="I294" s="0" t="n">
        <v>19.5</v>
      </c>
      <c r="J294" s="4" t="n">
        <f aca="true">-LN(RAND())/B294</f>
        <v>26.1997332198351</v>
      </c>
      <c r="K294" s="4" t="n">
        <f aca="false">K293+J294</f>
        <v>2918.05145949025</v>
      </c>
      <c r="L294" s="4" t="n">
        <f aca="false">(1/$J$4)*(1+AB293)</f>
        <v>10</v>
      </c>
      <c r="M294" s="4" t="n">
        <f aca="false">L294+MAX(K294,Y$10:Y293)</f>
        <v>2938.67002850573</v>
      </c>
      <c r="N294" s="4" t="n">
        <f aca="false">K294</f>
        <v>2918.05145949025</v>
      </c>
      <c r="O294" s="4" t="n">
        <f aca="false">M294-K294</f>
        <v>20.618569015478</v>
      </c>
      <c r="P294" s="4" t="n">
        <f aca="false">N294-K294</f>
        <v>0</v>
      </c>
      <c r="Q294" s="4" t="n">
        <f aca="false">A294-MATCH(K294,$M$9:M293,1)</f>
        <v>2</v>
      </c>
      <c r="R294" s="0" t="n">
        <f aca="false">-G294*(O294/3600)</f>
        <v>-0.0489472042831144</v>
      </c>
      <c r="S294" s="0" t="n">
        <f aca="false">-1*I294-(H294*(P294/3600))</f>
        <v>-19.5</v>
      </c>
      <c r="T294" s="0" t="n">
        <f aca="false">-H294*(O294/3600)</f>
        <v>-0.0161504394707826</v>
      </c>
      <c r="U294" s="0" t="n">
        <f aca="false">T294-S294</f>
        <v>19.4838495605292</v>
      </c>
      <c r="V294" s="0" t="n">
        <f aca="false">1/(1+EXP(U294))</f>
        <v>3.45359691836951E-009</v>
      </c>
      <c r="W294" s="0" t="n">
        <f aca="true">RAND()</f>
        <v>0.0364754386757233</v>
      </c>
      <c r="X294" s="0" t="n">
        <f aca="false">IF(W294&lt;V294,1,0)</f>
        <v>0</v>
      </c>
      <c r="Y294" s="0" t="n">
        <f aca="false">(M294*(1-X294)+N294*X294)*D294+M294*E294</f>
        <v>2938.67002850573</v>
      </c>
      <c r="Z294" s="0" t="n">
        <f aca="false">((1-X294)*O294+X294*P294)*D294+E294*O294</f>
        <v>20.618569015478</v>
      </c>
      <c r="AA294" s="0" t="n">
        <f aca="false">IF(D294*X294&gt;0,AA293,Q294)</f>
        <v>2</v>
      </c>
      <c r="AB294" s="0" t="n">
        <f aca="false">(X294*D294)</f>
        <v>0</v>
      </c>
      <c r="AC294" s="0" t="n">
        <f aca="false">SUM(AB$10:AB293)/K294</f>
        <v>0</v>
      </c>
      <c r="AD294" s="0" t="n">
        <f aca="false">R294*E294+D294*(X294*S294+(1-X294)*T294)</f>
        <v>-0.0489472042831144</v>
      </c>
      <c r="AE294" s="0" t="n">
        <f aca="false">Z294</f>
        <v>20.618569015478</v>
      </c>
      <c r="AF294" s="0" t="n">
        <f aca="false">E294*O294</f>
        <v>20.618569015478</v>
      </c>
      <c r="AG294" s="0" t="n">
        <f aca="false">((1-X294)*O294+X294*P294)*D294</f>
        <v>0</v>
      </c>
      <c r="AH294" s="0" t="n">
        <f aca="false">D294*(LN(EXP(S294)+EXP(T294)))</f>
        <v>-0</v>
      </c>
      <c r="AJ294" s="0" t="n">
        <f aca="false">$J$5</f>
        <v>10</v>
      </c>
      <c r="AK294" s="4" t="n">
        <f aca="false">AJ294+MAX(K294,AK$10:AK293)</f>
        <v>2938.67002850573</v>
      </c>
      <c r="AL294" s="5" t="n">
        <f aca="false">AK294-K294</f>
        <v>20.618569015478</v>
      </c>
      <c r="AM294" s="0" t="n">
        <f aca="false">-G294*AL294/3600</f>
        <v>-0.0489472042831144</v>
      </c>
      <c r="AN294" s="0" t="n">
        <f aca="false">-H294*AL294/3600</f>
        <v>-0.0161504394707826</v>
      </c>
      <c r="AO294" s="0" t="n">
        <f aca="false">AM294*E294+AN294*D294</f>
        <v>-0.0489472042831144</v>
      </c>
      <c r="AP294" s="0" t="n">
        <f aca="false">AL294*D294</f>
        <v>0</v>
      </c>
      <c r="AR294" s="0" t="n">
        <f aca="false">AN294*D294</f>
        <v>-0</v>
      </c>
      <c r="AS294" s="0" t="n">
        <f aca="false">AH294-AR294</f>
        <v>0</v>
      </c>
    </row>
    <row r="295" customFormat="false" ht="12" hidden="false" customHeight="false" outlineLevel="0" collapsed="false">
      <c r="A295" s="3" t="n">
        <f aca="false">A294+1</f>
        <v>286</v>
      </c>
      <c r="B295" s="3" t="n">
        <f aca="false">IF(A295&lt;$N$4/3,0.1,(IF(A295&gt;2*$N$4/3,0.05,0.12)))</f>
        <v>0.1</v>
      </c>
      <c r="C295" s="4" t="n">
        <f aca="true">RAND()</f>
        <v>0.393998122915402</v>
      </c>
      <c r="D295" s="0" t="n">
        <f aca="false">IF((C295&gt;$M$2),1,0)</f>
        <v>0</v>
      </c>
      <c r="E295" s="0" t="n">
        <f aca="false">1-D295</f>
        <v>1</v>
      </c>
      <c r="F295" s="0" t="n">
        <f aca="true">RAND()</f>
        <v>0.0750485679689093</v>
      </c>
      <c r="G295" s="0" t="n">
        <f aca="false">7.75+F295*10</f>
        <v>8.50048567968909</v>
      </c>
      <c r="H295" s="0" t="n">
        <f aca="false">LOGINV(F295,2.64,1.139)</f>
        <v>2.7203603454414</v>
      </c>
      <c r="I295" s="0" t="n">
        <v>19.5</v>
      </c>
      <c r="J295" s="4" t="n">
        <f aca="true">-LN(RAND())/B295</f>
        <v>0.468130173092934</v>
      </c>
      <c r="K295" s="4" t="n">
        <f aca="false">K294+J295</f>
        <v>2918.51958966334</v>
      </c>
      <c r="L295" s="4" t="n">
        <f aca="false">(1/$J$4)*(1+AB294)</f>
        <v>10</v>
      </c>
      <c r="M295" s="4" t="n">
        <f aca="false">L295+MAX(K295,Y$10:Y294)</f>
        <v>2948.67002850573</v>
      </c>
      <c r="N295" s="4" t="n">
        <f aca="false">K295</f>
        <v>2918.51958966334</v>
      </c>
      <c r="O295" s="4" t="n">
        <f aca="false">M295-K295</f>
        <v>30.150438842385</v>
      </c>
      <c r="P295" s="4" t="n">
        <f aca="false">N295-K295</f>
        <v>0</v>
      </c>
      <c r="Q295" s="4" t="n">
        <f aca="false">A295-MATCH(K295,$M$9:M294,1)</f>
        <v>3</v>
      </c>
      <c r="R295" s="0" t="n">
        <f aca="false">-G295*(O295/3600)</f>
        <v>-0.0711926037822322</v>
      </c>
      <c r="S295" s="0" t="n">
        <f aca="false">-1*I295-(H295*(P295/3600))</f>
        <v>-19.5</v>
      </c>
      <c r="T295" s="0" t="n">
        <f aca="false">-H295*(O295/3600)</f>
        <v>-0.0227833495068001</v>
      </c>
      <c r="U295" s="0" t="n">
        <f aca="false">T295-S295</f>
        <v>19.4772166504932</v>
      </c>
      <c r="V295" s="0" t="n">
        <f aca="false">1/(1+EXP(U295))</f>
        <v>3.47658045555303E-009</v>
      </c>
      <c r="W295" s="0" t="n">
        <f aca="true">RAND()</f>
        <v>0.304045791072897</v>
      </c>
      <c r="X295" s="0" t="n">
        <f aca="false">IF(W295&lt;V295,1,0)</f>
        <v>0</v>
      </c>
      <c r="Y295" s="0" t="n">
        <f aca="false">(M295*(1-X295)+N295*X295)*D295+M295*E295</f>
        <v>2948.67002850573</v>
      </c>
      <c r="Z295" s="0" t="n">
        <f aca="false">((1-X295)*O295+X295*P295)*D295+E295*O295</f>
        <v>30.150438842385</v>
      </c>
      <c r="AA295" s="0" t="n">
        <f aca="false">IF(D295*X295&gt;0,AA294,Q295)</f>
        <v>3</v>
      </c>
      <c r="AB295" s="0" t="n">
        <f aca="false">(X295*D295)</f>
        <v>0</v>
      </c>
      <c r="AC295" s="0" t="n">
        <f aca="false">SUM(AB$10:AB294)/K295</f>
        <v>0</v>
      </c>
      <c r="AD295" s="0" t="n">
        <f aca="false">R295*E295+D295*(X295*S295+(1-X295)*T295)</f>
        <v>-0.0711926037822322</v>
      </c>
      <c r="AE295" s="0" t="n">
        <f aca="false">Z295</f>
        <v>30.150438842385</v>
      </c>
      <c r="AF295" s="0" t="n">
        <f aca="false">E295*O295</f>
        <v>30.150438842385</v>
      </c>
      <c r="AG295" s="0" t="n">
        <f aca="false">((1-X295)*O295+X295*P295)*D295</f>
        <v>0</v>
      </c>
      <c r="AH295" s="0" t="n">
        <f aca="false">D295*(LN(EXP(S295)+EXP(T295)))</f>
        <v>-0</v>
      </c>
      <c r="AJ295" s="0" t="n">
        <f aca="false">$J$5</f>
        <v>10</v>
      </c>
      <c r="AK295" s="4" t="n">
        <f aca="false">AJ295+MAX(K295,AK$10:AK294)</f>
        <v>2948.67002850573</v>
      </c>
      <c r="AL295" s="5" t="n">
        <f aca="false">AK295-K295</f>
        <v>30.150438842385</v>
      </c>
      <c r="AM295" s="0" t="n">
        <f aca="false">-G295*AL295/3600</f>
        <v>-0.0711926037822322</v>
      </c>
      <c r="AN295" s="0" t="n">
        <f aca="false">-H295*AL295/3600</f>
        <v>-0.0227833495068001</v>
      </c>
      <c r="AO295" s="0" t="n">
        <f aca="false">AM295*E295+AN295*D295</f>
        <v>-0.0711926037822322</v>
      </c>
      <c r="AP295" s="0" t="n">
        <f aca="false">AL295*D295</f>
        <v>0</v>
      </c>
      <c r="AR295" s="0" t="n">
        <f aca="false">AN295*D295</f>
        <v>-0</v>
      </c>
      <c r="AS295" s="0" t="n">
        <f aca="false">AH295-AR295</f>
        <v>0</v>
      </c>
    </row>
    <row r="296" customFormat="false" ht="12" hidden="false" customHeight="false" outlineLevel="0" collapsed="false">
      <c r="A296" s="3" t="n">
        <f aca="false">A295+1</f>
        <v>287</v>
      </c>
      <c r="B296" s="3" t="n">
        <f aca="false">IF(A296&lt;$N$4/3,0.1,(IF(A296&gt;2*$N$4/3,0.05,0.12)))</f>
        <v>0.1</v>
      </c>
      <c r="C296" s="4" t="n">
        <f aca="true">RAND()</f>
        <v>0.692521736282618</v>
      </c>
      <c r="D296" s="0" t="n">
        <f aca="false">IF((C296&gt;$M$2),1,0)</f>
        <v>0</v>
      </c>
      <c r="E296" s="0" t="n">
        <f aca="false">1-D296</f>
        <v>1</v>
      </c>
      <c r="F296" s="0" t="n">
        <f aca="true">RAND()</f>
        <v>0.48404414599397</v>
      </c>
      <c r="G296" s="0" t="n">
        <f aca="false">7.75+F296*10</f>
        <v>12.5904414599397</v>
      </c>
      <c r="H296" s="0" t="n">
        <f aca="false">LOGINV(F296,2.64,1.139)</f>
        <v>13.3889948997098</v>
      </c>
      <c r="I296" s="0" t="n">
        <v>19.5</v>
      </c>
      <c r="J296" s="4" t="n">
        <f aca="true">-LN(RAND())/B296</f>
        <v>20.4183714833556</v>
      </c>
      <c r="K296" s="4" t="n">
        <f aca="false">K295+J296</f>
        <v>2938.9379611467</v>
      </c>
      <c r="L296" s="4" t="n">
        <f aca="false">(1/$J$4)*(1+AB295)</f>
        <v>10</v>
      </c>
      <c r="M296" s="4" t="n">
        <f aca="false">L296+MAX(K296,Y$10:Y295)</f>
        <v>2958.67002850573</v>
      </c>
      <c r="N296" s="4" t="n">
        <f aca="false">K296</f>
        <v>2938.9379611467</v>
      </c>
      <c r="O296" s="4" t="n">
        <f aca="false">M296-K296</f>
        <v>19.7320673590293</v>
      </c>
      <c r="P296" s="4" t="n">
        <f aca="false">N296-K296</f>
        <v>0</v>
      </c>
      <c r="Q296" s="4" t="n">
        <f aca="false">A296-MATCH(K296,$M$9:M295,1)</f>
        <v>1</v>
      </c>
      <c r="R296" s="0" t="n">
        <f aca="false">-G296*(O296/3600)</f>
        <v>-0.0690098441576238</v>
      </c>
      <c r="S296" s="0" t="n">
        <f aca="false">-1*I296-(H296*(P296/3600))</f>
        <v>-19.5</v>
      </c>
      <c r="T296" s="0" t="n">
        <f aca="false">-H296*(O296/3600)</f>
        <v>-0.0733868192307705</v>
      </c>
      <c r="U296" s="0" t="n">
        <f aca="false">T296-S296</f>
        <v>19.4266131807692</v>
      </c>
      <c r="V296" s="0" t="n">
        <f aca="false">1/(1+EXP(U296))</f>
        <v>3.65703479049705E-009</v>
      </c>
      <c r="W296" s="0" t="n">
        <f aca="true">RAND()</f>
        <v>0.475817701983864</v>
      </c>
      <c r="X296" s="0" t="n">
        <f aca="false">IF(W296&lt;V296,1,0)</f>
        <v>0</v>
      </c>
      <c r="Y296" s="0" t="n">
        <f aca="false">(M296*(1-X296)+N296*X296)*D296+M296*E296</f>
        <v>2958.67002850573</v>
      </c>
      <c r="Z296" s="0" t="n">
        <f aca="false">((1-X296)*O296+X296*P296)*D296+E296*O296</f>
        <v>19.7320673590293</v>
      </c>
      <c r="AA296" s="0" t="n">
        <f aca="false">IF(D296*X296&gt;0,AA295,Q296)</f>
        <v>1</v>
      </c>
      <c r="AB296" s="0" t="n">
        <f aca="false">(X296*D296)</f>
        <v>0</v>
      </c>
      <c r="AC296" s="0" t="n">
        <f aca="false">SUM(AB$10:AB295)/K296</f>
        <v>0</v>
      </c>
      <c r="AD296" s="0" t="n">
        <f aca="false">R296*E296+D296*(X296*S296+(1-X296)*T296)</f>
        <v>-0.0690098441576238</v>
      </c>
      <c r="AE296" s="0" t="n">
        <f aca="false">Z296</f>
        <v>19.7320673590293</v>
      </c>
      <c r="AF296" s="0" t="n">
        <f aca="false">E296*O296</f>
        <v>19.7320673590293</v>
      </c>
      <c r="AG296" s="0" t="n">
        <f aca="false">((1-X296)*O296+X296*P296)*D296</f>
        <v>0</v>
      </c>
      <c r="AH296" s="0" t="n">
        <f aca="false">D296*(LN(EXP(S296)+EXP(T296)))</f>
        <v>-0</v>
      </c>
      <c r="AJ296" s="0" t="n">
        <f aca="false">$J$5</f>
        <v>10</v>
      </c>
      <c r="AK296" s="4" t="n">
        <f aca="false">AJ296+MAX(K296,AK$10:AK295)</f>
        <v>2958.67002850573</v>
      </c>
      <c r="AL296" s="5" t="n">
        <f aca="false">AK296-K296</f>
        <v>19.7320673590293</v>
      </c>
      <c r="AM296" s="0" t="n">
        <f aca="false">-G296*AL296/3600</f>
        <v>-0.0690098441576238</v>
      </c>
      <c r="AN296" s="0" t="n">
        <f aca="false">-H296*AL296/3600</f>
        <v>-0.0733868192307705</v>
      </c>
      <c r="AO296" s="0" t="n">
        <f aca="false">AM296*E296+AN296*D296</f>
        <v>-0.0690098441576238</v>
      </c>
      <c r="AP296" s="0" t="n">
        <f aca="false">AL296*D296</f>
        <v>0</v>
      </c>
      <c r="AR296" s="0" t="n">
        <f aca="false">AN296*D296</f>
        <v>-0</v>
      </c>
      <c r="AS296" s="0" t="n">
        <f aca="false">AH296-AR296</f>
        <v>0</v>
      </c>
    </row>
    <row r="297" customFormat="false" ht="12" hidden="false" customHeight="false" outlineLevel="0" collapsed="false">
      <c r="A297" s="3" t="n">
        <f aca="false">A296+1</f>
        <v>288</v>
      </c>
      <c r="B297" s="3" t="n">
        <f aca="false">IF(A297&lt;$N$4/3,0.1,(IF(A297&gt;2*$N$4/3,0.05,0.12)))</f>
        <v>0.1</v>
      </c>
      <c r="C297" s="4" t="n">
        <f aca="true">RAND()</f>
        <v>0.915287725008502</v>
      </c>
      <c r="D297" s="0" t="n">
        <f aca="false">IF((C297&gt;$M$2),1,0)</f>
        <v>1</v>
      </c>
      <c r="E297" s="0" t="n">
        <f aca="false">1-D297</f>
        <v>0</v>
      </c>
      <c r="F297" s="0" t="n">
        <f aca="true">RAND()</f>
        <v>0.369187559231098</v>
      </c>
      <c r="G297" s="0" t="n">
        <f aca="false">7.75+F297*10</f>
        <v>11.441875592311</v>
      </c>
      <c r="H297" s="0" t="n">
        <f aca="false">LOGINV(F297,2.64,1.139)</f>
        <v>9.57894344089536</v>
      </c>
      <c r="I297" s="0" t="n">
        <v>19.5</v>
      </c>
      <c r="J297" s="4" t="n">
        <f aca="true">-LN(RAND())/B297</f>
        <v>54.3962322163403</v>
      </c>
      <c r="K297" s="4" t="n">
        <f aca="false">K296+J297</f>
        <v>2993.33419336304</v>
      </c>
      <c r="L297" s="4" t="n">
        <f aca="false">(1/$J$4)*(1+AB296)</f>
        <v>10</v>
      </c>
      <c r="M297" s="4" t="n">
        <f aca="false">L297+MAX(K297,Y$10:Y296)</f>
        <v>3003.33419336304</v>
      </c>
      <c r="N297" s="4" t="n">
        <f aca="false">K297</f>
        <v>2993.33419336304</v>
      </c>
      <c r="O297" s="4" t="n">
        <f aca="false">M297-K297</f>
        <v>10</v>
      </c>
      <c r="P297" s="4" t="n">
        <f aca="false">N297-K297</f>
        <v>0</v>
      </c>
      <c r="Q297" s="4" t="n">
        <f aca="false">A297-MATCH(K297,$M$9:M296,1)</f>
        <v>0</v>
      </c>
      <c r="R297" s="0" t="n">
        <f aca="false">-G297*(O297/3600)</f>
        <v>-0.0317829877564194</v>
      </c>
      <c r="S297" s="0" t="n">
        <f aca="false">-1*I297-(H297*(P297/3600))</f>
        <v>-19.5</v>
      </c>
      <c r="T297" s="0" t="n">
        <f aca="false">-H297*(O297/3600)</f>
        <v>-0.0266081762247093</v>
      </c>
      <c r="U297" s="0" t="n">
        <f aca="false">T297-S297</f>
        <v>19.4733918237753</v>
      </c>
      <c r="V297" s="0" t="n">
        <f aca="false">1/(1+EXP(U297))</f>
        <v>3.48990323574089E-009</v>
      </c>
      <c r="W297" s="0" t="n">
        <f aca="true">RAND()</f>
        <v>0.932310718447653</v>
      </c>
      <c r="X297" s="0" t="n">
        <f aca="false">IF(W297&lt;V297,1,0)</f>
        <v>0</v>
      </c>
      <c r="Y297" s="0" t="n">
        <f aca="false">(M297*(1-X297)+N297*X297)*D297+M297*E297</f>
        <v>3003.33419336304</v>
      </c>
      <c r="Z297" s="0" t="n">
        <f aca="false">((1-X297)*O297+X297*P297)*D297+E297*O297</f>
        <v>10</v>
      </c>
      <c r="AA297" s="0" t="n">
        <f aca="false">IF(D297*X297&gt;0,AA296,Q297)</f>
        <v>0</v>
      </c>
      <c r="AB297" s="0" t="n">
        <f aca="false">(X297*D297)</f>
        <v>0</v>
      </c>
      <c r="AC297" s="0" t="n">
        <f aca="false">SUM(AB$10:AB296)/K297</f>
        <v>0</v>
      </c>
      <c r="AD297" s="0" t="n">
        <f aca="false">R297*E297+D297*(X297*S297+(1-X297)*T297)</f>
        <v>-0.0266081762247093</v>
      </c>
      <c r="AE297" s="0" t="n">
        <f aca="false">Z297</f>
        <v>10</v>
      </c>
      <c r="AF297" s="0" t="n">
        <f aca="false">E297*O297</f>
        <v>0</v>
      </c>
      <c r="AG297" s="0" t="n">
        <f aca="false">((1-X297)*O297+X297*P297)*D297</f>
        <v>10</v>
      </c>
      <c r="AH297" s="0" t="n">
        <f aca="false">D297*(LN(EXP(S297)+EXP(T297)))</f>
        <v>-0.0266081727348062</v>
      </c>
      <c r="AJ297" s="0" t="n">
        <f aca="false">$J$5</f>
        <v>10</v>
      </c>
      <c r="AK297" s="4" t="n">
        <f aca="false">AJ297+MAX(K297,AK$10:AK296)</f>
        <v>3003.33419336304</v>
      </c>
      <c r="AL297" s="5" t="n">
        <f aca="false">AK297-K297</f>
        <v>10</v>
      </c>
      <c r="AM297" s="0" t="n">
        <f aca="false">-G297*AL297/3600</f>
        <v>-0.0317829877564194</v>
      </c>
      <c r="AN297" s="0" t="n">
        <f aca="false">-H297*AL297/3600</f>
        <v>-0.0266081762247093</v>
      </c>
      <c r="AO297" s="0" t="n">
        <f aca="false">AM297*E297+AN297*D297</f>
        <v>-0.0266081762247093</v>
      </c>
      <c r="AP297" s="0" t="n">
        <f aca="false">AL297*D297</f>
        <v>10</v>
      </c>
      <c r="AR297" s="0" t="n">
        <f aca="false">AN297*D297</f>
        <v>-0.0266081762247093</v>
      </c>
      <c r="AS297" s="0" t="n">
        <f aca="false">AH297-AR297</f>
        <v>3.48990318241316E-009</v>
      </c>
    </row>
    <row r="298" customFormat="false" ht="12" hidden="false" customHeight="false" outlineLevel="0" collapsed="false">
      <c r="A298" s="3" t="n">
        <f aca="false">A297+1</f>
        <v>289</v>
      </c>
      <c r="B298" s="3" t="n">
        <f aca="false">IF(A298&lt;$N$4/3,0.1,(IF(A298&gt;2*$N$4/3,0.05,0.12)))</f>
        <v>0.1</v>
      </c>
      <c r="C298" s="4" t="n">
        <f aca="true">RAND()</f>
        <v>0.161091384418876</v>
      </c>
      <c r="D298" s="0" t="n">
        <f aca="false">IF((C298&gt;$M$2),1,0)</f>
        <v>0</v>
      </c>
      <c r="E298" s="0" t="n">
        <f aca="false">1-D298</f>
        <v>1</v>
      </c>
      <c r="F298" s="0" t="n">
        <f aca="true">RAND()</f>
        <v>0.50251116097691</v>
      </c>
      <c r="G298" s="0" t="n">
        <f aca="false">7.75+F298*10</f>
        <v>12.7751116097691</v>
      </c>
      <c r="H298" s="0" t="n">
        <f aca="false">LOGINV(F298,2.64,1.139)</f>
        <v>14.114032799857</v>
      </c>
      <c r="I298" s="0" t="n">
        <v>19.5</v>
      </c>
      <c r="J298" s="4" t="n">
        <f aca="true">-LN(RAND())/B298</f>
        <v>15.6130307584383</v>
      </c>
      <c r="K298" s="4" t="n">
        <f aca="false">K297+J298</f>
        <v>3008.94722412148</v>
      </c>
      <c r="L298" s="4" t="n">
        <f aca="false">(1/$J$4)*(1+AB297)</f>
        <v>10</v>
      </c>
      <c r="M298" s="4" t="n">
        <f aca="false">L298+MAX(K298,Y$10:Y297)</f>
        <v>3018.94722412148</v>
      </c>
      <c r="N298" s="4" t="n">
        <f aca="false">K298</f>
        <v>3008.94722412148</v>
      </c>
      <c r="O298" s="4" t="n">
        <f aca="false">M298-K298</f>
        <v>10</v>
      </c>
      <c r="P298" s="4" t="n">
        <f aca="false">N298-K298</f>
        <v>0</v>
      </c>
      <c r="Q298" s="4" t="n">
        <f aca="false">A298-MATCH(K298,$M$9:M297,1)</f>
        <v>0</v>
      </c>
      <c r="R298" s="0" t="n">
        <f aca="false">-G298*(O298/3600)</f>
        <v>-0.0354864211382475</v>
      </c>
      <c r="S298" s="0" t="n">
        <f aca="false">-1*I298-(H298*(P298/3600))</f>
        <v>-19.5</v>
      </c>
      <c r="T298" s="0" t="n">
        <f aca="false">-H298*(O298/3600)</f>
        <v>-0.0392056466662695</v>
      </c>
      <c r="U298" s="0" t="n">
        <f aca="false">T298-S298</f>
        <v>19.4607943533337</v>
      </c>
      <c r="V298" s="0" t="n">
        <f aca="false">1/(1+EXP(U298))</f>
        <v>3.53414527222953E-009</v>
      </c>
      <c r="W298" s="0" t="n">
        <f aca="true">RAND()</f>
        <v>0.706977656747339</v>
      </c>
      <c r="X298" s="0" t="n">
        <f aca="false">IF(W298&lt;V298,1,0)</f>
        <v>0</v>
      </c>
      <c r="Y298" s="0" t="n">
        <f aca="false">(M298*(1-X298)+N298*X298)*D298+M298*E298</f>
        <v>3018.94722412148</v>
      </c>
      <c r="Z298" s="0" t="n">
        <f aca="false">((1-X298)*O298+X298*P298)*D298+E298*O298</f>
        <v>10</v>
      </c>
      <c r="AA298" s="0" t="n">
        <f aca="false">IF(D298*X298&gt;0,AA297,Q298)</f>
        <v>0</v>
      </c>
      <c r="AB298" s="0" t="n">
        <f aca="false">(X298*D298)</f>
        <v>0</v>
      </c>
      <c r="AC298" s="0" t="n">
        <f aca="false">SUM(AB$10:AB297)/K298</f>
        <v>0</v>
      </c>
      <c r="AD298" s="0" t="n">
        <f aca="false">R298*E298+D298*(X298*S298+(1-X298)*T298)</f>
        <v>-0.0354864211382475</v>
      </c>
      <c r="AE298" s="0" t="n">
        <f aca="false">Z298</f>
        <v>10</v>
      </c>
      <c r="AF298" s="0" t="n">
        <f aca="false">E298*O298</f>
        <v>10</v>
      </c>
      <c r="AG298" s="0" t="n">
        <f aca="false">((1-X298)*O298+X298*P298)*D298</f>
        <v>0</v>
      </c>
      <c r="AH298" s="0" t="n">
        <f aca="false">D298*(LN(EXP(S298)+EXP(T298)))</f>
        <v>-0</v>
      </c>
      <c r="AJ298" s="0" t="n">
        <f aca="false">$J$5</f>
        <v>10</v>
      </c>
      <c r="AK298" s="4" t="n">
        <f aca="false">AJ298+MAX(K298,AK$10:AK297)</f>
        <v>3018.94722412148</v>
      </c>
      <c r="AL298" s="5" t="n">
        <f aca="false">AK298-K298</f>
        <v>10</v>
      </c>
      <c r="AM298" s="0" t="n">
        <f aca="false">-G298*AL298/3600</f>
        <v>-0.0354864211382475</v>
      </c>
      <c r="AN298" s="0" t="n">
        <f aca="false">-H298*AL298/3600</f>
        <v>-0.0392056466662695</v>
      </c>
      <c r="AO298" s="0" t="n">
        <f aca="false">AM298*E298+AN298*D298</f>
        <v>-0.0354864211382475</v>
      </c>
      <c r="AP298" s="0" t="n">
        <f aca="false">AL298*D298</f>
        <v>0</v>
      </c>
      <c r="AR298" s="0" t="n">
        <f aca="false">AN298*D298</f>
        <v>-0</v>
      </c>
      <c r="AS298" s="0" t="n">
        <f aca="false">AH298-AR298</f>
        <v>0</v>
      </c>
    </row>
    <row r="299" customFormat="false" ht="12" hidden="false" customHeight="false" outlineLevel="0" collapsed="false">
      <c r="A299" s="3" t="n">
        <f aca="false">A298+1</f>
        <v>290</v>
      </c>
      <c r="B299" s="3" t="n">
        <f aca="false">IF(A299&lt;$N$4/3,0.1,(IF(A299&gt;2*$N$4/3,0.05,0.12)))</f>
        <v>0.1</v>
      </c>
      <c r="C299" s="4" t="n">
        <f aca="true">RAND()</f>
        <v>0.487407941115911</v>
      </c>
      <c r="D299" s="0" t="n">
        <f aca="false">IF((C299&gt;$M$2),1,0)</f>
        <v>0</v>
      </c>
      <c r="E299" s="0" t="n">
        <f aca="false">1-D299</f>
        <v>1</v>
      </c>
      <c r="F299" s="0" t="n">
        <f aca="true">RAND()</f>
        <v>0.507963653709967</v>
      </c>
      <c r="G299" s="0" t="n">
        <f aca="false">7.75+F299*10</f>
        <v>12.8296365370997</v>
      </c>
      <c r="H299" s="0" t="n">
        <f aca="false">LOGINV(F299,2.64,1.139)</f>
        <v>14.3354879324431</v>
      </c>
      <c r="I299" s="0" t="n">
        <v>19.5</v>
      </c>
      <c r="J299" s="4" t="n">
        <f aca="true">-LN(RAND())/B299</f>
        <v>6.91065471089686</v>
      </c>
      <c r="K299" s="4" t="n">
        <f aca="false">K298+J299</f>
        <v>3015.85787883237</v>
      </c>
      <c r="L299" s="4" t="n">
        <f aca="false">(1/$J$4)*(1+AB298)</f>
        <v>10</v>
      </c>
      <c r="M299" s="4" t="n">
        <f aca="false">L299+MAX(K299,Y$10:Y298)</f>
        <v>3028.94722412148</v>
      </c>
      <c r="N299" s="4" t="n">
        <f aca="false">K299</f>
        <v>3015.85787883237</v>
      </c>
      <c r="O299" s="4" t="n">
        <f aca="false">M299-K299</f>
        <v>13.0893452891032</v>
      </c>
      <c r="P299" s="4" t="n">
        <f aca="false">N299-K299</f>
        <v>0</v>
      </c>
      <c r="Q299" s="4" t="n">
        <f aca="false">A299-MATCH(K299,$M$9:M298,1)</f>
        <v>1</v>
      </c>
      <c r="R299" s="0" t="n">
        <f aca="false">-G299*(O299/3600)</f>
        <v>-0.0466476507132756</v>
      </c>
      <c r="S299" s="0" t="n">
        <f aca="false">-1*I299-(H299*(P299/3600))</f>
        <v>-19.5</v>
      </c>
      <c r="T299" s="0" t="n">
        <f aca="false">-H299*(O299/3600)</f>
        <v>-0.0521228198431999</v>
      </c>
      <c r="U299" s="0" t="n">
        <f aca="false">T299-S299</f>
        <v>19.4478771801568</v>
      </c>
      <c r="V299" s="0" t="n">
        <f aca="false">1/(1+EXP(U299))</f>
        <v>3.58009255420932E-009</v>
      </c>
      <c r="W299" s="0" t="n">
        <f aca="true">RAND()</f>
        <v>0.355224837745818</v>
      </c>
      <c r="X299" s="0" t="n">
        <f aca="false">IF(W299&lt;V299,1,0)</f>
        <v>0</v>
      </c>
      <c r="Y299" s="0" t="n">
        <f aca="false">(M299*(1-X299)+N299*X299)*D299+M299*E299</f>
        <v>3028.94722412148</v>
      </c>
      <c r="Z299" s="0" t="n">
        <f aca="false">((1-X299)*O299+X299*P299)*D299+E299*O299</f>
        <v>13.0893452891032</v>
      </c>
      <c r="AA299" s="0" t="n">
        <f aca="false">IF(D299*X299&gt;0,AA298,Q299)</f>
        <v>1</v>
      </c>
      <c r="AB299" s="0" t="n">
        <f aca="false">(X299*D299)</f>
        <v>0</v>
      </c>
      <c r="AC299" s="0" t="n">
        <f aca="false">SUM(AB$10:AB298)/K299</f>
        <v>0</v>
      </c>
      <c r="AD299" s="0" t="n">
        <f aca="false">R299*E299+D299*(X299*S299+(1-X299)*T299)</f>
        <v>-0.0466476507132756</v>
      </c>
      <c r="AE299" s="0" t="n">
        <f aca="false">Z299</f>
        <v>13.0893452891032</v>
      </c>
      <c r="AF299" s="0" t="n">
        <f aca="false">E299*O299</f>
        <v>13.0893452891032</v>
      </c>
      <c r="AG299" s="0" t="n">
        <f aca="false">((1-X299)*O299+X299*P299)*D299</f>
        <v>0</v>
      </c>
      <c r="AH299" s="0" t="n">
        <f aca="false">D299*(LN(EXP(S299)+EXP(T299)))</f>
        <v>-0</v>
      </c>
      <c r="AJ299" s="0" t="n">
        <f aca="false">$J$5</f>
        <v>10</v>
      </c>
      <c r="AK299" s="4" t="n">
        <f aca="false">AJ299+MAX(K299,AK$10:AK298)</f>
        <v>3028.94722412148</v>
      </c>
      <c r="AL299" s="5" t="n">
        <f aca="false">AK299-K299</f>
        <v>13.0893452891032</v>
      </c>
      <c r="AM299" s="0" t="n">
        <f aca="false">-G299*AL299/3600</f>
        <v>-0.0466476507132756</v>
      </c>
      <c r="AN299" s="0" t="n">
        <f aca="false">-H299*AL299/3600</f>
        <v>-0.0521228198431999</v>
      </c>
      <c r="AO299" s="0" t="n">
        <f aca="false">AM299*E299+AN299*D299</f>
        <v>-0.0466476507132756</v>
      </c>
      <c r="AP299" s="0" t="n">
        <f aca="false">AL299*D299</f>
        <v>0</v>
      </c>
      <c r="AR299" s="0" t="n">
        <f aca="false">AN299*D299</f>
        <v>-0</v>
      </c>
      <c r="AS299" s="0" t="n">
        <f aca="false">AH299-AR299</f>
        <v>0</v>
      </c>
    </row>
    <row r="300" customFormat="false" ht="12" hidden="false" customHeight="false" outlineLevel="0" collapsed="false">
      <c r="A300" s="3" t="n">
        <f aca="false">A299+1</f>
        <v>291</v>
      </c>
      <c r="B300" s="3" t="n">
        <f aca="false">IF(A300&lt;$N$4/3,0.1,(IF(A300&gt;2*$N$4/3,0.05,0.12)))</f>
        <v>0.1</v>
      </c>
      <c r="C300" s="4" t="n">
        <f aca="true">RAND()</f>
        <v>0.472645390415461</v>
      </c>
      <c r="D300" s="0" t="n">
        <f aca="false">IF((C300&gt;$M$2),1,0)</f>
        <v>0</v>
      </c>
      <c r="E300" s="0" t="n">
        <f aca="false">1-D300</f>
        <v>1</v>
      </c>
      <c r="F300" s="0" t="n">
        <f aca="true">RAND()</f>
        <v>0.56172033312709</v>
      </c>
      <c r="G300" s="0" t="n">
        <f aca="false">7.75+F300*10</f>
        <v>13.3672033312709</v>
      </c>
      <c r="H300" s="0" t="n">
        <f aca="false">LOGINV(F300,2.64,1.139)</f>
        <v>16.7253162960452</v>
      </c>
      <c r="I300" s="0" t="n">
        <v>19.5</v>
      </c>
      <c r="J300" s="4" t="n">
        <f aca="true">-LN(RAND())/B300</f>
        <v>7.78206769842741</v>
      </c>
      <c r="K300" s="4" t="n">
        <f aca="false">K299+J300</f>
        <v>3023.6399465308</v>
      </c>
      <c r="L300" s="4" t="n">
        <f aca="false">(1/$J$4)*(1+AB299)</f>
        <v>10</v>
      </c>
      <c r="M300" s="4" t="n">
        <f aca="false">L300+MAX(K300,Y$10:Y299)</f>
        <v>3038.94722412148</v>
      </c>
      <c r="N300" s="4" t="n">
        <f aca="false">K300</f>
        <v>3023.6399465308</v>
      </c>
      <c r="O300" s="4" t="n">
        <f aca="false">M300-K300</f>
        <v>15.3072775906758</v>
      </c>
      <c r="P300" s="4" t="n">
        <f aca="false">N300-K300</f>
        <v>0</v>
      </c>
      <c r="Q300" s="4" t="n">
        <f aca="false">A300-MATCH(K300,$M$9:M299,1)</f>
        <v>1</v>
      </c>
      <c r="R300" s="0" t="n">
        <f aca="false">-G300*(O300/3600)</f>
        <v>-0.056837636667436</v>
      </c>
      <c r="S300" s="0" t="n">
        <f aca="false">-1*I300-(H300*(P300/3600))</f>
        <v>-19.5</v>
      </c>
      <c r="T300" s="0" t="n">
        <f aca="false">-H300*(O300/3600)</f>
        <v>-0.0711164053709491</v>
      </c>
      <c r="U300" s="0" t="n">
        <f aca="false">T300-S300</f>
        <v>19.4288835946291</v>
      </c>
      <c r="V300" s="0" t="n">
        <f aca="false">1/(1+EXP(U300))</f>
        <v>3.64874122652706E-009</v>
      </c>
      <c r="W300" s="0" t="n">
        <f aca="true">RAND()</f>
        <v>0.245748678715389</v>
      </c>
      <c r="X300" s="0" t="n">
        <f aca="false">IF(W300&lt;V300,1,0)</f>
        <v>0</v>
      </c>
      <c r="Y300" s="0" t="n">
        <f aca="false">(M300*(1-X300)+N300*X300)*D300+M300*E300</f>
        <v>3038.94722412148</v>
      </c>
      <c r="Z300" s="0" t="n">
        <f aca="false">((1-X300)*O300+X300*P300)*D300+E300*O300</f>
        <v>15.3072775906758</v>
      </c>
      <c r="AA300" s="0" t="n">
        <f aca="false">IF(D300*X300&gt;0,AA299,Q300)</f>
        <v>1</v>
      </c>
      <c r="AB300" s="0" t="n">
        <f aca="false">(X300*D300)</f>
        <v>0</v>
      </c>
      <c r="AC300" s="0" t="n">
        <f aca="false">SUM(AB$10:AB299)/K300</f>
        <v>0</v>
      </c>
      <c r="AD300" s="0" t="n">
        <f aca="false">R300*E300+D300*(X300*S300+(1-X300)*T300)</f>
        <v>-0.056837636667436</v>
      </c>
      <c r="AE300" s="0" t="n">
        <f aca="false">Z300</f>
        <v>15.3072775906758</v>
      </c>
      <c r="AF300" s="0" t="n">
        <f aca="false">E300*O300</f>
        <v>15.3072775906758</v>
      </c>
      <c r="AG300" s="0" t="n">
        <f aca="false">((1-X300)*O300+X300*P300)*D300</f>
        <v>0</v>
      </c>
      <c r="AH300" s="0" t="n">
        <f aca="false">D300*(LN(EXP(S300)+EXP(T300)))</f>
        <v>-0</v>
      </c>
      <c r="AJ300" s="0" t="n">
        <f aca="false">$J$5</f>
        <v>10</v>
      </c>
      <c r="AK300" s="4" t="n">
        <f aca="false">AJ300+MAX(K300,AK$10:AK299)</f>
        <v>3038.94722412148</v>
      </c>
      <c r="AL300" s="5" t="n">
        <f aca="false">AK300-K300</f>
        <v>15.3072775906758</v>
      </c>
      <c r="AM300" s="0" t="n">
        <f aca="false">-G300*AL300/3600</f>
        <v>-0.056837636667436</v>
      </c>
      <c r="AN300" s="0" t="n">
        <f aca="false">-H300*AL300/3600</f>
        <v>-0.0711164053709491</v>
      </c>
      <c r="AO300" s="0" t="n">
        <f aca="false">AM300*E300+AN300*D300</f>
        <v>-0.056837636667436</v>
      </c>
      <c r="AP300" s="0" t="n">
        <f aca="false">AL300*D300</f>
        <v>0</v>
      </c>
      <c r="AR300" s="0" t="n">
        <f aca="false">AN300*D300</f>
        <v>-0</v>
      </c>
      <c r="AS300" s="0" t="n">
        <f aca="false">AH300-AR300</f>
        <v>0</v>
      </c>
    </row>
    <row r="301" customFormat="false" ht="12" hidden="false" customHeight="false" outlineLevel="0" collapsed="false">
      <c r="A301" s="3" t="n">
        <f aca="false">A300+1</f>
        <v>292</v>
      </c>
      <c r="B301" s="3" t="n">
        <f aca="false">IF(A301&lt;$N$4/3,0.1,(IF(A301&gt;2*$N$4/3,0.05,0.12)))</f>
        <v>0.1</v>
      </c>
      <c r="C301" s="4" t="n">
        <f aca="true">RAND()</f>
        <v>0.13773895352874</v>
      </c>
      <c r="D301" s="0" t="n">
        <f aca="false">IF((C301&gt;$M$2),1,0)</f>
        <v>0</v>
      </c>
      <c r="E301" s="0" t="n">
        <f aca="false">1-D301</f>
        <v>1</v>
      </c>
      <c r="F301" s="0" t="n">
        <f aca="true">RAND()</f>
        <v>0.917114680577273</v>
      </c>
      <c r="G301" s="0" t="n">
        <f aca="false">7.75+F301*10</f>
        <v>16.9211468057727</v>
      </c>
      <c r="H301" s="0" t="n">
        <f aca="false">LOGINV(F301,2.64,1.139)</f>
        <v>67.9359581213256</v>
      </c>
      <c r="I301" s="0" t="n">
        <v>19.5</v>
      </c>
      <c r="J301" s="4" t="n">
        <f aca="true">-LN(RAND())/B301</f>
        <v>25.6562160210848</v>
      </c>
      <c r="K301" s="4" t="n">
        <f aca="false">K300+J301</f>
        <v>3049.29616255189</v>
      </c>
      <c r="L301" s="4" t="n">
        <f aca="false">(1/$J$4)*(1+AB300)</f>
        <v>10</v>
      </c>
      <c r="M301" s="4" t="n">
        <f aca="false">L301+MAX(K301,Y$10:Y300)</f>
        <v>3059.29616255189</v>
      </c>
      <c r="N301" s="4" t="n">
        <f aca="false">K301</f>
        <v>3049.29616255189</v>
      </c>
      <c r="O301" s="4" t="n">
        <f aca="false">M301-K301</f>
        <v>10</v>
      </c>
      <c r="P301" s="4" t="n">
        <f aca="false">N301-K301</f>
        <v>0</v>
      </c>
      <c r="Q301" s="4" t="n">
        <f aca="false">A301-MATCH(K301,$M$9:M300,1)</f>
        <v>0</v>
      </c>
      <c r="R301" s="0" t="n">
        <f aca="false">-G301*(O301/3600)</f>
        <v>-0.0470031855715909</v>
      </c>
      <c r="S301" s="0" t="n">
        <f aca="false">-1*I301-(H301*(P301/3600))</f>
        <v>-19.5</v>
      </c>
      <c r="T301" s="0" t="n">
        <f aca="false">-H301*(O301/3600)</f>
        <v>-0.18871099478146</v>
      </c>
      <c r="U301" s="0" t="n">
        <f aca="false">T301-S301</f>
        <v>19.3112890052185</v>
      </c>
      <c r="V301" s="0" t="n">
        <f aca="false">1/(1+EXP(U301))</f>
        <v>4.10406041032053E-009</v>
      </c>
      <c r="W301" s="0" t="n">
        <f aca="true">RAND()</f>
        <v>0.701303277257607</v>
      </c>
      <c r="X301" s="0" t="n">
        <f aca="false">IF(W301&lt;V301,1,0)</f>
        <v>0</v>
      </c>
      <c r="Y301" s="0" t="n">
        <f aca="false">(M301*(1-X301)+N301*X301)*D301+M301*E301</f>
        <v>3059.29616255189</v>
      </c>
      <c r="Z301" s="0" t="n">
        <f aca="false">((1-X301)*O301+X301*P301)*D301+E301*O301</f>
        <v>10</v>
      </c>
      <c r="AA301" s="0" t="n">
        <f aca="false">IF(D301*X301&gt;0,AA300,Q301)</f>
        <v>0</v>
      </c>
      <c r="AB301" s="0" t="n">
        <f aca="false">(X301*D301)</f>
        <v>0</v>
      </c>
      <c r="AC301" s="0" t="n">
        <f aca="false">SUM(AB$10:AB300)/K301</f>
        <v>0</v>
      </c>
      <c r="AD301" s="0" t="n">
        <f aca="false">R301*E301+D301*(X301*S301+(1-X301)*T301)</f>
        <v>-0.0470031855715909</v>
      </c>
      <c r="AE301" s="0" t="n">
        <f aca="false">Z301</f>
        <v>10</v>
      </c>
      <c r="AF301" s="0" t="n">
        <f aca="false">E301*O301</f>
        <v>10</v>
      </c>
      <c r="AG301" s="0" t="n">
        <f aca="false">((1-X301)*O301+X301*P301)*D301</f>
        <v>0</v>
      </c>
      <c r="AH301" s="0" t="n">
        <f aca="false">D301*(LN(EXP(S301)+EXP(T301)))</f>
        <v>-0</v>
      </c>
      <c r="AJ301" s="0" t="n">
        <f aca="false">$J$5</f>
        <v>10</v>
      </c>
      <c r="AK301" s="4" t="n">
        <f aca="false">AJ301+MAX(K301,AK$10:AK300)</f>
        <v>3059.29616255189</v>
      </c>
      <c r="AL301" s="5" t="n">
        <f aca="false">AK301-K301</f>
        <v>10</v>
      </c>
      <c r="AM301" s="0" t="n">
        <f aca="false">-G301*AL301/3600</f>
        <v>-0.0470031855715909</v>
      </c>
      <c r="AN301" s="0" t="n">
        <f aca="false">-H301*AL301/3600</f>
        <v>-0.18871099478146</v>
      </c>
      <c r="AO301" s="0" t="n">
        <f aca="false">AM301*E301+AN301*D301</f>
        <v>-0.0470031855715909</v>
      </c>
      <c r="AP301" s="0" t="n">
        <f aca="false">AL301*D301</f>
        <v>0</v>
      </c>
      <c r="AR301" s="0" t="n">
        <f aca="false">AN301*D301</f>
        <v>-0</v>
      </c>
      <c r="AS301" s="0" t="n">
        <f aca="false">AH301-AR301</f>
        <v>0</v>
      </c>
    </row>
    <row r="302" customFormat="false" ht="12" hidden="false" customHeight="false" outlineLevel="0" collapsed="false">
      <c r="A302" s="3" t="n">
        <f aca="false">A301+1</f>
        <v>293</v>
      </c>
      <c r="B302" s="3" t="n">
        <f aca="false">IF(A302&lt;$N$4/3,0.1,(IF(A302&gt;2*$N$4/3,0.05,0.12)))</f>
        <v>0.1</v>
      </c>
      <c r="C302" s="4" t="n">
        <f aca="true">RAND()</f>
        <v>0.158214476476683</v>
      </c>
      <c r="D302" s="0" t="n">
        <f aca="false">IF((C302&gt;$M$2),1,0)</f>
        <v>0</v>
      </c>
      <c r="E302" s="0" t="n">
        <f aca="false">1-D302</f>
        <v>1</v>
      </c>
      <c r="F302" s="0" t="n">
        <f aca="true">RAND()</f>
        <v>0.503560885476295</v>
      </c>
      <c r="G302" s="0" t="n">
        <f aca="false">7.75+F302*10</f>
        <v>12.7856088547629</v>
      </c>
      <c r="H302" s="0" t="n">
        <f aca="false">LOGINV(F302,2.64,1.139)</f>
        <v>14.1563974662385</v>
      </c>
      <c r="I302" s="0" t="n">
        <v>19.5</v>
      </c>
      <c r="J302" s="4" t="n">
        <f aca="true">-LN(RAND())/B302</f>
        <v>34.5315298986749</v>
      </c>
      <c r="K302" s="4" t="n">
        <f aca="false">K301+J302</f>
        <v>3083.82769245056</v>
      </c>
      <c r="L302" s="4" t="n">
        <f aca="false">(1/$J$4)*(1+AB301)</f>
        <v>10</v>
      </c>
      <c r="M302" s="4" t="n">
        <f aca="false">L302+MAX(K302,Y$10:Y301)</f>
        <v>3093.82769245056</v>
      </c>
      <c r="N302" s="4" t="n">
        <f aca="false">K302</f>
        <v>3083.82769245056</v>
      </c>
      <c r="O302" s="4" t="n">
        <f aca="false">M302-K302</f>
        <v>10</v>
      </c>
      <c r="P302" s="4" t="n">
        <f aca="false">N302-K302</f>
        <v>0</v>
      </c>
      <c r="Q302" s="4" t="n">
        <f aca="false">A302-MATCH(K302,$M$9:M301,1)</f>
        <v>0</v>
      </c>
      <c r="R302" s="0" t="n">
        <f aca="false">-G302*(O302/3600)</f>
        <v>-0.0355155801521193</v>
      </c>
      <c r="S302" s="0" t="n">
        <f aca="false">-1*I302-(H302*(P302/3600))</f>
        <v>-19.5</v>
      </c>
      <c r="T302" s="0" t="n">
        <f aca="false">-H302*(O302/3600)</f>
        <v>-0.039323326295107</v>
      </c>
      <c r="U302" s="0" t="n">
        <f aca="false">T302-S302</f>
        <v>19.4606766737049</v>
      </c>
      <c r="V302" s="0" t="n">
        <f aca="false">1/(1+EXP(U302))</f>
        <v>3.53456119360422E-009</v>
      </c>
      <c r="W302" s="0" t="n">
        <f aca="true">RAND()</f>
        <v>0.265429347666392</v>
      </c>
      <c r="X302" s="0" t="n">
        <f aca="false">IF(W302&lt;V302,1,0)</f>
        <v>0</v>
      </c>
      <c r="Y302" s="0" t="n">
        <f aca="false">(M302*(1-X302)+N302*X302)*D302+M302*E302</f>
        <v>3093.82769245056</v>
      </c>
      <c r="Z302" s="0" t="n">
        <f aca="false">((1-X302)*O302+X302*P302)*D302+E302*O302</f>
        <v>10</v>
      </c>
      <c r="AA302" s="0" t="n">
        <f aca="false">IF(D302*X302&gt;0,AA301,Q302)</f>
        <v>0</v>
      </c>
      <c r="AB302" s="0" t="n">
        <f aca="false">(X302*D302)</f>
        <v>0</v>
      </c>
      <c r="AC302" s="0" t="n">
        <f aca="false">SUM(AB$10:AB301)/K302</f>
        <v>0</v>
      </c>
      <c r="AD302" s="0" t="n">
        <f aca="false">R302*E302+D302*(X302*S302+(1-X302)*T302)</f>
        <v>-0.0355155801521193</v>
      </c>
      <c r="AE302" s="0" t="n">
        <f aca="false">Z302</f>
        <v>10</v>
      </c>
      <c r="AF302" s="0" t="n">
        <f aca="false">E302*O302</f>
        <v>10</v>
      </c>
      <c r="AG302" s="0" t="n">
        <f aca="false">((1-X302)*O302+X302*P302)*D302</f>
        <v>0</v>
      </c>
      <c r="AH302" s="0" t="n">
        <f aca="false">D302*(LN(EXP(S302)+EXP(T302)))</f>
        <v>-0</v>
      </c>
      <c r="AJ302" s="0" t="n">
        <f aca="false">$J$5</f>
        <v>10</v>
      </c>
      <c r="AK302" s="4" t="n">
        <f aca="false">AJ302+MAX(K302,AK$10:AK301)</f>
        <v>3093.82769245056</v>
      </c>
      <c r="AL302" s="5" t="n">
        <f aca="false">AK302-K302</f>
        <v>10</v>
      </c>
      <c r="AM302" s="0" t="n">
        <f aca="false">-G302*AL302/3600</f>
        <v>-0.0355155801521193</v>
      </c>
      <c r="AN302" s="0" t="n">
        <f aca="false">-H302*AL302/3600</f>
        <v>-0.039323326295107</v>
      </c>
      <c r="AO302" s="0" t="n">
        <f aca="false">AM302*E302+AN302*D302</f>
        <v>-0.0355155801521193</v>
      </c>
      <c r="AP302" s="0" t="n">
        <f aca="false">AL302*D302</f>
        <v>0</v>
      </c>
      <c r="AR302" s="0" t="n">
        <f aca="false">AN302*D302</f>
        <v>-0</v>
      </c>
      <c r="AS302" s="0" t="n">
        <f aca="false">AH302-AR302</f>
        <v>0</v>
      </c>
    </row>
    <row r="303" customFormat="false" ht="12" hidden="false" customHeight="false" outlineLevel="0" collapsed="false">
      <c r="A303" s="3" t="n">
        <f aca="false">A302+1</f>
        <v>294</v>
      </c>
      <c r="B303" s="3" t="n">
        <f aca="false">IF(A303&lt;$N$4/3,0.1,(IF(A303&gt;2*$N$4/3,0.05,0.12)))</f>
        <v>0.1</v>
      </c>
      <c r="C303" s="4" t="n">
        <f aca="true">RAND()</f>
        <v>0.824910449107492</v>
      </c>
      <c r="D303" s="0" t="n">
        <f aca="false">IF((C303&gt;$M$2),1,0)</f>
        <v>0</v>
      </c>
      <c r="E303" s="0" t="n">
        <f aca="false">1-D303</f>
        <v>1</v>
      </c>
      <c r="F303" s="0" t="n">
        <f aca="true">RAND()</f>
        <v>0.327336847144098</v>
      </c>
      <c r="G303" s="0" t="n">
        <f aca="false">7.75+F303*10</f>
        <v>11.023368471441</v>
      </c>
      <c r="H303" s="0" t="n">
        <f aca="false">LOGINV(F303,2.64,1.139)</f>
        <v>8.41949057205079</v>
      </c>
      <c r="I303" s="0" t="n">
        <v>19.5</v>
      </c>
      <c r="J303" s="4" t="n">
        <f aca="true">-LN(RAND())/B303</f>
        <v>4.9005736399193</v>
      </c>
      <c r="K303" s="4" t="n">
        <f aca="false">K302+J303</f>
        <v>3088.72826609048</v>
      </c>
      <c r="L303" s="4" t="n">
        <f aca="false">(1/$J$4)*(1+AB302)</f>
        <v>10</v>
      </c>
      <c r="M303" s="4" t="n">
        <f aca="false">L303+MAX(K303,Y$10:Y302)</f>
        <v>3103.82769245056</v>
      </c>
      <c r="N303" s="4" t="n">
        <f aca="false">K303</f>
        <v>3088.72826609048</v>
      </c>
      <c r="O303" s="4" t="n">
        <f aca="false">M303-K303</f>
        <v>15.0994263600805</v>
      </c>
      <c r="P303" s="4" t="n">
        <f aca="false">N303-K303</f>
        <v>0</v>
      </c>
      <c r="Q303" s="4" t="n">
        <f aca="false">A303-MATCH(K303,$M$9:M302,1)</f>
        <v>1</v>
      </c>
      <c r="R303" s="0" t="n">
        <f aca="false">-G303*(O303/3600)</f>
        <v>-0.0462351501318213</v>
      </c>
      <c r="S303" s="0" t="n">
        <f aca="false">-1*I303-(H303*(P303/3600))</f>
        <v>-19.5</v>
      </c>
      <c r="T303" s="0" t="n">
        <f aca="false">-H303*(O303/3600)</f>
        <v>-0.0353137438561315</v>
      </c>
      <c r="U303" s="0" t="n">
        <f aca="false">T303-S303</f>
        <v>19.4646862561439</v>
      </c>
      <c r="V303" s="0" t="n">
        <f aca="false">1/(1+EXP(U303))</f>
        <v>3.52041745335779E-009</v>
      </c>
      <c r="W303" s="0" t="n">
        <f aca="true">RAND()</f>
        <v>0.335326746985162</v>
      </c>
      <c r="X303" s="0" t="n">
        <f aca="false">IF(W303&lt;V303,1,0)</f>
        <v>0</v>
      </c>
      <c r="Y303" s="0" t="n">
        <f aca="false">(M303*(1-X303)+N303*X303)*D303+M303*E303</f>
        <v>3103.82769245056</v>
      </c>
      <c r="Z303" s="0" t="n">
        <f aca="false">((1-X303)*O303+X303*P303)*D303+E303*O303</f>
        <v>15.0994263600805</v>
      </c>
      <c r="AA303" s="0" t="n">
        <f aca="false">IF(D303*X303&gt;0,AA302,Q303)</f>
        <v>1</v>
      </c>
      <c r="AB303" s="0" t="n">
        <f aca="false">(X303*D303)</f>
        <v>0</v>
      </c>
      <c r="AC303" s="0" t="n">
        <f aca="false">SUM(AB$10:AB302)/K303</f>
        <v>0</v>
      </c>
      <c r="AD303" s="0" t="n">
        <f aca="false">R303*E303+D303*(X303*S303+(1-X303)*T303)</f>
        <v>-0.0462351501318213</v>
      </c>
      <c r="AE303" s="0" t="n">
        <f aca="false">Z303</f>
        <v>15.0994263600805</v>
      </c>
      <c r="AF303" s="0" t="n">
        <f aca="false">E303*O303</f>
        <v>15.0994263600805</v>
      </c>
      <c r="AG303" s="0" t="n">
        <f aca="false">((1-X303)*O303+X303*P303)*D303</f>
        <v>0</v>
      </c>
      <c r="AH303" s="0" t="n">
        <f aca="false">D303*(LN(EXP(S303)+EXP(T303)))</f>
        <v>-0</v>
      </c>
      <c r="AJ303" s="0" t="n">
        <f aca="false">$J$5</f>
        <v>10</v>
      </c>
      <c r="AK303" s="4" t="n">
        <f aca="false">AJ303+MAX(K303,AK$10:AK302)</f>
        <v>3103.82769245056</v>
      </c>
      <c r="AL303" s="5" t="n">
        <f aca="false">AK303-K303</f>
        <v>15.0994263600805</v>
      </c>
      <c r="AM303" s="0" t="n">
        <f aca="false">-G303*AL303/3600</f>
        <v>-0.0462351501318213</v>
      </c>
      <c r="AN303" s="0" t="n">
        <f aca="false">-H303*AL303/3600</f>
        <v>-0.0353137438561315</v>
      </c>
      <c r="AO303" s="0" t="n">
        <f aca="false">AM303*E303+AN303*D303</f>
        <v>-0.0462351501318213</v>
      </c>
      <c r="AP303" s="0" t="n">
        <f aca="false">AL303*D303</f>
        <v>0</v>
      </c>
      <c r="AR303" s="0" t="n">
        <f aca="false">AN303*D303</f>
        <v>-0</v>
      </c>
      <c r="AS303" s="0" t="n">
        <f aca="false">AH303-AR303</f>
        <v>0</v>
      </c>
    </row>
    <row r="304" customFormat="false" ht="12" hidden="false" customHeight="false" outlineLevel="0" collapsed="false">
      <c r="A304" s="3" t="n">
        <f aca="false">A303+1</f>
        <v>295</v>
      </c>
      <c r="B304" s="3" t="n">
        <f aca="false">IF(A304&lt;$N$4/3,0.1,(IF(A304&gt;2*$N$4/3,0.05,0.12)))</f>
        <v>0.1</v>
      </c>
      <c r="C304" s="4" t="n">
        <f aca="true">RAND()</f>
        <v>0.500960756966997</v>
      </c>
      <c r="D304" s="0" t="n">
        <f aca="false">IF((C304&gt;$M$2),1,0)</f>
        <v>0</v>
      </c>
      <c r="E304" s="0" t="n">
        <f aca="false">1-D304</f>
        <v>1</v>
      </c>
      <c r="F304" s="0" t="n">
        <f aca="true">RAND()</f>
        <v>0.633694160347193</v>
      </c>
      <c r="G304" s="0" t="n">
        <f aca="false">7.75+F304*10</f>
        <v>14.0869416034719</v>
      </c>
      <c r="H304" s="0" t="n">
        <f aca="false">LOGINV(F304,2.64,1.139)</f>
        <v>20.6795093286481</v>
      </c>
      <c r="I304" s="0" t="n">
        <v>19.5</v>
      </c>
      <c r="J304" s="4" t="n">
        <f aca="true">-LN(RAND())/B304</f>
        <v>6.64422027631553</v>
      </c>
      <c r="K304" s="4" t="n">
        <f aca="false">K303+J304</f>
        <v>3095.3724863668</v>
      </c>
      <c r="L304" s="4" t="n">
        <f aca="false">(1/$J$4)*(1+AB303)</f>
        <v>10</v>
      </c>
      <c r="M304" s="4" t="n">
        <f aca="false">L304+MAX(K304,Y$10:Y303)</f>
        <v>3113.82769245056</v>
      </c>
      <c r="N304" s="4" t="n">
        <f aca="false">K304</f>
        <v>3095.3724863668</v>
      </c>
      <c r="O304" s="4" t="n">
        <f aca="false">M304-K304</f>
        <v>18.455206083765</v>
      </c>
      <c r="P304" s="4" t="n">
        <f aca="false">N304-K304</f>
        <v>0</v>
      </c>
      <c r="Q304" s="4" t="n">
        <f aca="false">A304-MATCH(K304,$M$9:M303,1)</f>
        <v>1</v>
      </c>
      <c r="R304" s="0" t="n">
        <f aca="false">-G304*(O304/3600)</f>
        <v>-0.0722159473283437</v>
      </c>
      <c r="S304" s="0" t="n">
        <f aca="false">-1*I304-(H304*(P304/3600))</f>
        <v>-19.5</v>
      </c>
      <c r="T304" s="0" t="n">
        <f aca="false">-H304*(O304/3600)</f>
        <v>-0.106012390658706</v>
      </c>
      <c r="U304" s="0" t="n">
        <f aca="false">T304-S304</f>
        <v>19.3939876093413</v>
      </c>
      <c r="V304" s="0" t="n">
        <f aca="false">1/(1+EXP(U304))</f>
        <v>3.77831530519267E-009</v>
      </c>
      <c r="W304" s="0" t="n">
        <f aca="true">RAND()</f>
        <v>0.447355955344186</v>
      </c>
      <c r="X304" s="0" t="n">
        <f aca="false">IF(W304&lt;V304,1,0)</f>
        <v>0</v>
      </c>
      <c r="Y304" s="0" t="n">
        <f aca="false">(M304*(1-X304)+N304*X304)*D304+M304*E304</f>
        <v>3113.82769245056</v>
      </c>
      <c r="Z304" s="0" t="n">
        <f aca="false">((1-X304)*O304+X304*P304)*D304+E304*O304</f>
        <v>18.455206083765</v>
      </c>
      <c r="AA304" s="0" t="n">
        <f aca="false">IF(D304*X304&gt;0,AA303,Q304)</f>
        <v>1</v>
      </c>
      <c r="AB304" s="0" t="n">
        <f aca="false">(X304*D304)</f>
        <v>0</v>
      </c>
      <c r="AC304" s="0" t="n">
        <f aca="false">SUM(AB$10:AB303)/K304</f>
        <v>0</v>
      </c>
      <c r="AD304" s="0" t="n">
        <f aca="false">R304*E304+D304*(X304*S304+(1-X304)*T304)</f>
        <v>-0.0722159473283437</v>
      </c>
      <c r="AE304" s="0" t="n">
        <f aca="false">Z304</f>
        <v>18.455206083765</v>
      </c>
      <c r="AF304" s="0" t="n">
        <f aca="false">E304*O304</f>
        <v>18.455206083765</v>
      </c>
      <c r="AG304" s="0" t="n">
        <f aca="false">((1-X304)*O304+X304*P304)*D304</f>
        <v>0</v>
      </c>
      <c r="AH304" s="0" t="n">
        <f aca="false">D304*(LN(EXP(S304)+EXP(T304)))</f>
        <v>-0</v>
      </c>
      <c r="AJ304" s="0" t="n">
        <f aca="false">$J$5</f>
        <v>10</v>
      </c>
      <c r="AK304" s="4" t="n">
        <f aca="false">AJ304+MAX(K304,AK$10:AK303)</f>
        <v>3113.82769245056</v>
      </c>
      <c r="AL304" s="5" t="n">
        <f aca="false">AK304-K304</f>
        <v>18.455206083765</v>
      </c>
      <c r="AM304" s="0" t="n">
        <f aca="false">-G304*AL304/3600</f>
        <v>-0.0722159473283437</v>
      </c>
      <c r="AN304" s="0" t="n">
        <f aca="false">-H304*AL304/3600</f>
        <v>-0.106012390658706</v>
      </c>
      <c r="AO304" s="0" t="n">
        <f aca="false">AM304*E304+AN304*D304</f>
        <v>-0.0722159473283437</v>
      </c>
      <c r="AP304" s="0" t="n">
        <f aca="false">AL304*D304</f>
        <v>0</v>
      </c>
      <c r="AR304" s="0" t="n">
        <f aca="false">AN304*D304</f>
        <v>-0</v>
      </c>
      <c r="AS304" s="0" t="n">
        <f aca="false">AH304-AR304</f>
        <v>0</v>
      </c>
    </row>
    <row r="305" customFormat="false" ht="12" hidden="false" customHeight="false" outlineLevel="0" collapsed="false">
      <c r="A305" s="3" t="n">
        <f aca="false">A304+1</f>
        <v>296</v>
      </c>
      <c r="B305" s="3" t="n">
        <f aca="false">IF(A305&lt;$N$4/3,0.1,(IF(A305&gt;2*$N$4/3,0.05,0.12)))</f>
        <v>0.1</v>
      </c>
      <c r="C305" s="4" t="n">
        <f aca="true">RAND()</f>
        <v>0.202150436943551</v>
      </c>
      <c r="D305" s="0" t="n">
        <f aca="false">IF((C305&gt;$M$2),1,0)</f>
        <v>0</v>
      </c>
      <c r="E305" s="0" t="n">
        <f aca="false">1-D305</f>
        <v>1</v>
      </c>
      <c r="F305" s="0" t="n">
        <f aca="true">RAND()</f>
        <v>0.190611378824776</v>
      </c>
      <c r="G305" s="0" t="n">
        <f aca="false">7.75+F305*10</f>
        <v>9.65611378824776</v>
      </c>
      <c r="H305" s="0" t="n">
        <f aca="false">LOGINV(F305,2.64,1.139)</f>
        <v>5.1687957174185</v>
      </c>
      <c r="I305" s="0" t="n">
        <v>19.5</v>
      </c>
      <c r="J305" s="4" t="n">
        <f aca="true">-LN(RAND())/B305</f>
        <v>3.67617348792512</v>
      </c>
      <c r="K305" s="4" t="n">
        <f aca="false">K304+J305</f>
        <v>3099.04865985472</v>
      </c>
      <c r="L305" s="4" t="n">
        <f aca="false">(1/$J$4)*(1+AB304)</f>
        <v>10</v>
      </c>
      <c r="M305" s="4" t="n">
        <f aca="false">L305+MAX(K305,Y$10:Y304)</f>
        <v>3123.82769245056</v>
      </c>
      <c r="N305" s="4" t="n">
        <f aca="false">K305</f>
        <v>3099.04865985472</v>
      </c>
      <c r="O305" s="4" t="n">
        <f aca="false">M305-K305</f>
        <v>24.7790325958399</v>
      </c>
      <c r="P305" s="4" t="n">
        <f aca="false">N305-K305</f>
        <v>0</v>
      </c>
      <c r="Q305" s="4" t="n">
        <f aca="false">A305-MATCH(K305,$M$9:M304,1)</f>
        <v>2</v>
      </c>
      <c r="R305" s="0" t="n">
        <f aca="false">-G305*(O305/3600)</f>
        <v>-0.0664636550855918</v>
      </c>
      <c r="S305" s="0" t="n">
        <f aca="false">-1*I305-(H305*(P305/3600))</f>
        <v>-19.5</v>
      </c>
      <c r="T305" s="0" t="n">
        <f aca="false">-H305*(O305/3600)</f>
        <v>-0.035577154878653</v>
      </c>
      <c r="U305" s="0" t="n">
        <f aca="false">T305-S305</f>
        <v>19.4644228451213</v>
      </c>
      <c r="V305" s="0" t="n">
        <f aca="false">1/(1+EXP(U305))</f>
        <v>3.52134489225906E-009</v>
      </c>
      <c r="W305" s="0" t="n">
        <f aca="true">RAND()</f>
        <v>0.608938954836141</v>
      </c>
      <c r="X305" s="0" t="n">
        <f aca="false">IF(W305&lt;V305,1,0)</f>
        <v>0</v>
      </c>
      <c r="Y305" s="0" t="n">
        <f aca="false">(M305*(1-X305)+N305*X305)*D305+M305*E305</f>
        <v>3123.82769245056</v>
      </c>
      <c r="Z305" s="0" t="n">
        <f aca="false">((1-X305)*O305+X305*P305)*D305+E305*O305</f>
        <v>24.7790325958399</v>
      </c>
      <c r="AA305" s="0" t="n">
        <f aca="false">IF(D305*X305&gt;0,AA304,Q305)</f>
        <v>2</v>
      </c>
      <c r="AB305" s="0" t="n">
        <f aca="false">(X305*D305)</f>
        <v>0</v>
      </c>
      <c r="AC305" s="0" t="n">
        <f aca="false">SUM(AB$10:AB304)/K305</f>
        <v>0</v>
      </c>
      <c r="AD305" s="0" t="n">
        <f aca="false">R305*E305+D305*(X305*S305+(1-X305)*T305)</f>
        <v>-0.0664636550855918</v>
      </c>
      <c r="AE305" s="0" t="n">
        <f aca="false">Z305</f>
        <v>24.7790325958399</v>
      </c>
      <c r="AF305" s="0" t="n">
        <f aca="false">E305*O305</f>
        <v>24.7790325958399</v>
      </c>
      <c r="AG305" s="0" t="n">
        <f aca="false">((1-X305)*O305+X305*P305)*D305</f>
        <v>0</v>
      </c>
      <c r="AH305" s="0" t="n">
        <f aca="false">D305*(LN(EXP(S305)+EXP(T305)))</f>
        <v>-0</v>
      </c>
      <c r="AJ305" s="0" t="n">
        <f aca="false">$J$5</f>
        <v>10</v>
      </c>
      <c r="AK305" s="4" t="n">
        <f aca="false">AJ305+MAX(K305,AK$10:AK304)</f>
        <v>3123.82769245056</v>
      </c>
      <c r="AL305" s="5" t="n">
        <f aca="false">AK305-K305</f>
        <v>24.7790325958399</v>
      </c>
      <c r="AM305" s="0" t="n">
        <f aca="false">-G305*AL305/3600</f>
        <v>-0.0664636550855918</v>
      </c>
      <c r="AN305" s="0" t="n">
        <f aca="false">-H305*AL305/3600</f>
        <v>-0.035577154878653</v>
      </c>
      <c r="AO305" s="0" t="n">
        <f aca="false">AM305*E305+AN305*D305</f>
        <v>-0.0664636550855918</v>
      </c>
      <c r="AP305" s="0" t="n">
        <f aca="false">AL305*D305</f>
        <v>0</v>
      </c>
      <c r="AR305" s="0" t="n">
        <f aca="false">AN305*D305</f>
        <v>-0</v>
      </c>
      <c r="AS305" s="0" t="n">
        <f aca="false">AH305-AR305</f>
        <v>0</v>
      </c>
    </row>
    <row r="306" customFormat="false" ht="12" hidden="false" customHeight="false" outlineLevel="0" collapsed="false">
      <c r="A306" s="3" t="n">
        <f aca="false">A305+1</f>
        <v>297</v>
      </c>
      <c r="B306" s="3" t="n">
        <f aca="false">IF(A306&lt;$N$4/3,0.1,(IF(A306&gt;2*$N$4/3,0.05,0.12)))</f>
        <v>0.1</v>
      </c>
      <c r="C306" s="4" t="n">
        <f aca="true">RAND()</f>
        <v>0.0135790606879183</v>
      </c>
      <c r="D306" s="0" t="n">
        <f aca="false">IF((C306&gt;$M$2),1,0)</f>
        <v>0</v>
      </c>
      <c r="E306" s="0" t="n">
        <f aca="false">1-D306</f>
        <v>1</v>
      </c>
      <c r="F306" s="0" t="n">
        <f aca="true">RAND()</f>
        <v>0.593704809977313</v>
      </c>
      <c r="G306" s="0" t="n">
        <f aca="false">7.75+F306*10</f>
        <v>13.6870480997731</v>
      </c>
      <c r="H306" s="0" t="n">
        <f aca="false">LOGINV(F306,2.64,1.139)</f>
        <v>18.3575420953253</v>
      </c>
      <c r="I306" s="0" t="n">
        <v>19.5</v>
      </c>
      <c r="J306" s="4" t="n">
        <f aca="true">-LN(RAND())/B306</f>
        <v>7.47575337868581</v>
      </c>
      <c r="K306" s="4" t="n">
        <f aca="false">K305+J306</f>
        <v>3106.52441323341</v>
      </c>
      <c r="L306" s="4" t="n">
        <f aca="false">(1/$J$4)*(1+AB305)</f>
        <v>10</v>
      </c>
      <c r="M306" s="4" t="n">
        <f aca="false">L306+MAX(K306,Y$10:Y305)</f>
        <v>3133.82769245056</v>
      </c>
      <c r="N306" s="4" t="n">
        <f aca="false">K306</f>
        <v>3106.52441323341</v>
      </c>
      <c r="O306" s="4" t="n">
        <f aca="false">M306-K306</f>
        <v>27.3032792171539</v>
      </c>
      <c r="P306" s="4" t="n">
        <f aca="false">N306-K306</f>
        <v>0</v>
      </c>
      <c r="Q306" s="4" t="n">
        <f aca="false">A306-MATCH(K306,$M$9:M305,1)</f>
        <v>2</v>
      </c>
      <c r="R306" s="0" t="n">
        <f aca="false">-G306*(O306/3600)</f>
        <v>-0.1038059155352</v>
      </c>
      <c r="S306" s="0" t="n">
        <f aca="false">-1*I306-(H306*(P306/3600))</f>
        <v>-19.5</v>
      </c>
      <c r="T306" s="0" t="n">
        <f aca="false">-H306*(O306/3600)</f>
        <v>-0.139228082658145</v>
      </c>
      <c r="U306" s="0" t="n">
        <f aca="false">T306-S306</f>
        <v>19.3607719173419</v>
      </c>
      <c r="V306" s="0" t="n">
        <f aca="false">1/(1+EXP(U306))</f>
        <v>3.90592220592635E-009</v>
      </c>
      <c r="W306" s="0" t="n">
        <f aca="true">RAND()</f>
        <v>0.95725631937972</v>
      </c>
      <c r="X306" s="0" t="n">
        <f aca="false">IF(W306&lt;V306,1,0)</f>
        <v>0</v>
      </c>
      <c r="Y306" s="0" t="n">
        <f aca="false">(M306*(1-X306)+N306*X306)*D306+M306*E306</f>
        <v>3133.82769245056</v>
      </c>
      <c r="Z306" s="0" t="n">
        <f aca="false">((1-X306)*O306+X306*P306)*D306+E306*O306</f>
        <v>27.3032792171539</v>
      </c>
      <c r="AA306" s="0" t="n">
        <f aca="false">IF(D306*X306&gt;0,AA305,Q306)</f>
        <v>2</v>
      </c>
      <c r="AB306" s="0" t="n">
        <f aca="false">(X306*D306)</f>
        <v>0</v>
      </c>
      <c r="AC306" s="0" t="n">
        <f aca="false">SUM(AB$10:AB305)/K306</f>
        <v>0</v>
      </c>
      <c r="AD306" s="0" t="n">
        <f aca="false">R306*E306+D306*(X306*S306+(1-X306)*T306)</f>
        <v>-0.1038059155352</v>
      </c>
      <c r="AE306" s="0" t="n">
        <f aca="false">Z306</f>
        <v>27.3032792171539</v>
      </c>
      <c r="AF306" s="0" t="n">
        <f aca="false">E306*O306</f>
        <v>27.3032792171539</v>
      </c>
      <c r="AG306" s="0" t="n">
        <f aca="false">((1-X306)*O306+X306*P306)*D306</f>
        <v>0</v>
      </c>
      <c r="AH306" s="0" t="n">
        <f aca="false">D306*(LN(EXP(S306)+EXP(T306)))</f>
        <v>-0</v>
      </c>
      <c r="AJ306" s="0" t="n">
        <f aca="false">$J$5</f>
        <v>10</v>
      </c>
      <c r="AK306" s="4" t="n">
        <f aca="false">AJ306+MAX(K306,AK$10:AK305)</f>
        <v>3133.82769245056</v>
      </c>
      <c r="AL306" s="5" t="n">
        <f aca="false">AK306-K306</f>
        <v>27.3032792171539</v>
      </c>
      <c r="AM306" s="0" t="n">
        <f aca="false">-G306*AL306/3600</f>
        <v>-0.1038059155352</v>
      </c>
      <c r="AN306" s="0" t="n">
        <f aca="false">-H306*AL306/3600</f>
        <v>-0.139228082658145</v>
      </c>
      <c r="AO306" s="0" t="n">
        <f aca="false">AM306*E306+AN306*D306</f>
        <v>-0.1038059155352</v>
      </c>
      <c r="AP306" s="0" t="n">
        <f aca="false">AL306*D306</f>
        <v>0</v>
      </c>
      <c r="AR306" s="0" t="n">
        <f aca="false">AN306*D306</f>
        <v>-0</v>
      </c>
      <c r="AS306" s="0" t="n">
        <f aca="false">AH306-AR306</f>
        <v>0</v>
      </c>
    </row>
    <row r="307" customFormat="false" ht="12" hidden="false" customHeight="false" outlineLevel="0" collapsed="false">
      <c r="A307" s="3" t="n">
        <f aca="false">A306+1</f>
        <v>298</v>
      </c>
      <c r="B307" s="3" t="n">
        <f aca="false">IF(A307&lt;$N$4/3,0.1,(IF(A307&gt;2*$N$4/3,0.05,0.12)))</f>
        <v>0.1</v>
      </c>
      <c r="C307" s="4" t="n">
        <f aca="true">RAND()</f>
        <v>0.244015754774576</v>
      </c>
      <c r="D307" s="0" t="n">
        <f aca="false">IF((C307&gt;$M$2),1,0)</f>
        <v>0</v>
      </c>
      <c r="E307" s="0" t="n">
        <f aca="false">1-D307</f>
        <v>1</v>
      </c>
      <c r="F307" s="0" t="n">
        <f aca="true">RAND()</f>
        <v>0.247312823162016</v>
      </c>
      <c r="G307" s="0" t="n">
        <f aca="false">7.75+F307*10</f>
        <v>10.2231282316202</v>
      </c>
      <c r="H307" s="0" t="n">
        <f aca="false">LOGINV(F307,2.64,1.139)</f>
        <v>6.43722079813345</v>
      </c>
      <c r="I307" s="0" t="n">
        <v>19.5</v>
      </c>
      <c r="J307" s="4" t="n">
        <f aca="true">-LN(RAND())/B307</f>
        <v>1.77165407726393</v>
      </c>
      <c r="K307" s="4" t="n">
        <f aca="false">K306+J307</f>
        <v>3108.29606731067</v>
      </c>
      <c r="L307" s="4" t="n">
        <f aca="false">(1/$J$4)*(1+AB306)</f>
        <v>10</v>
      </c>
      <c r="M307" s="4" t="n">
        <f aca="false">L307+MAX(K307,Y$10:Y306)</f>
        <v>3143.82769245056</v>
      </c>
      <c r="N307" s="4" t="n">
        <f aca="false">K307</f>
        <v>3108.29606731067</v>
      </c>
      <c r="O307" s="4" t="n">
        <f aca="false">M307-K307</f>
        <v>35.5316251398899</v>
      </c>
      <c r="P307" s="4" t="n">
        <f aca="false">N307-K307</f>
        <v>0</v>
      </c>
      <c r="Q307" s="4" t="n">
        <f aca="false">A307-MATCH(K307,$M$9:M306,1)</f>
        <v>3</v>
      </c>
      <c r="R307" s="0" t="n">
        <f aca="false">-G307*(O307/3600)</f>
        <v>-0.100901211134154</v>
      </c>
      <c r="S307" s="0" t="n">
        <f aca="false">-1*I307-(H307*(P307/3600))</f>
        <v>-19.5</v>
      </c>
      <c r="T307" s="0" t="n">
        <f aca="false">-H307*(O307/3600)</f>
        <v>-0.0635346989838836</v>
      </c>
      <c r="U307" s="0" t="n">
        <f aca="false">T307-S307</f>
        <v>19.4364653010161</v>
      </c>
      <c r="V307" s="0" t="n">
        <f aca="false">1/(1+EXP(U307))</f>
        <v>3.62118214640531E-009</v>
      </c>
      <c r="W307" s="0" t="n">
        <f aca="true">RAND()</f>
        <v>0.43087493825306</v>
      </c>
      <c r="X307" s="0" t="n">
        <f aca="false">IF(W307&lt;V307,1,0)</f>
        <v>0</v>
      </c>
      <c r="Y307" s="0" t="n">
        <f aca="false">(M307*(1-X307)+N307*X307)*D307+M307*E307</f>
        <v>3143.82769245056</v>
      </c>
      <c r="Z307" s="0" t="n">
        <f aca="false">((1-X307)*O307+X307*P307)*D307+E307*O307</f>
        <v>35.5316251398899</v>
      </c>
      <c r="AA307" s="0" t="n">
        <f aca="false">IF(D307*X307&gt;0,AA306,Q307)</f>
        <v>3</v>
      </c>
      <c r="AB307" s="0" t="n">
        <f aca="false">(X307*D307)</f>
        <v>0</v>
      </c>
      <c r="AC307" s="0" t="n">
        <f aca="false">SUM(AB$10:AB306)/K307</f>
        <v>0</v>
      </c>
      <c r="AD307" s="0" t="n">
        <f aca="false">R307*E307+D307*(X307*S307+(1-X307)*T307)</f>
        <v>-0.100901211134154</v>
      </c>
      <c r="AE307" s="0" t="n">
        <f aca="false">Z307</f>
        <v>35.5316251398899</v>
      </c>
      <c r="AF307" s="0" t="n">
        <f aca="false">E307*O307</f>
        <v>35.5316251398899</v>
      </c>
      <c r="AG307" s="0" t="n">
        <f aca="false">((1-X307)*O307+X307*P307)*D307</f>
        <v>0</v>
      </c>
      <c r="AH307" s="0" t="n">
        <f aca="false">D307*(LN(EXP(S307)+EXP(T307)))</f>
        <v>-0</v>
      </c>
      <c r="AJ307" s="0" t="n">
        <f aca="false">$J$5</f>
        <v>10</v>
      </c>
      <c r="AK307" s="4" t="n">
        <f aca="false">AJ307+MAX(K307,AK$10:AK306)</f>
        <v>3143.82769245056</v>
      </c>
      <c r="AL307" s="5" t="n">
        <f aca="false">AK307-K307</f>
        <v>35.5316251398899</v>
      </c>
      <c r="AM307" s="0" t="n">
        <f aca="false">-G307*AL307/3600</f>
        <v>-0.100901211134154</v>
      </c>
      <c r="AN307" s="0" t="n">
        <f aca="false">-H307*AL307/3600</f>
        <v>-0.0635346989838836</v>
      </c>
      <c r="AO307" s="0" t="n">
        <f aca="false">AM307*E307+AN307*D307</f>
        <v>-0.100901211134154</v>
      </c>
      <c r="AP307" s="0" t="n">
        <f aca="false">AL307*D307</f>
        <v>0</v>
      </c>
      <c r="AR307" s="0" t="n">
        <f aca="false">AN307*D307</f>
        <v>-0</v>
      </c>
      <c r="AS307" s="0" t="n">
        <f aca="false">AH307-AR307</f>
        <v>0</v>
      </c>
    </row>
    <row r="308" customFormat="false" ht="12" hidden="false" customHeight="false" outlineLevel="0" collapsed="false">
      <c r="A308" s="3" t="n">
        <f aca="false">A307+1</f>
        <v>299</v>
      </c>
      <c r="B308" s="3" t="n">
        <f aca="false">IF(A308&lt;$N$4/3,0.1,(IF(A308&gt;2*$N$4/3,0.05,0.12)))</f>
        <v>0.1</v>
      </c>
      <c r="C308" s="4" t="n">
        <f aca="true">RAND()</f>
        <v>0.502622782952918</v>
      </c>
      <c r="D308" s="0" t="n">
        <f aca="false">IF((C308&gt;$M$2),1,0)</f>
        <v>0</v>
      </c>
      <c r="E308" s="0" t="n">
        <f aca="false">1-D308</f>
        <v>1</v>
      </c>
      <c r="F308" s="0" t="n">
        <f aca="true">RAND()</f>
        <v>0.724273913463027</v>
      </c>
      <c r="G308" s="0" t="n">
        <f aca="false">7.75+F308*10</f>
        <v>14.9927391346303</v>
      </c>
      <c r="H308" s="0" t="n">
        <f aca="false">LOGINV(F308,2.64,1.139)</f>
        <v>27.6153526054598</v>
      </c>
      <c r="I308" s="0" t="n">
        <v>19.5</v>
      </c>
      <c r="J308" s="4" t="n">
        <f aca="true">-LN(RAND())/B308</f>
        <v>22.6049541026104</v>
      </c>
      <c r="K308" s="4" t="n">
        <f aca="false">K307+J308</f>
        <v>3130.90102141328</v>
      </c>
      <c r="L308" s="4" t="n">
        <f aca="false">(1/$J$4)*(1+AB307)</f>
        <v>10</v>
      </c>
      <c r="M308" s="4" t="n">
        <f aca="false">L308+MAX(K308,Y$10:Y307)</f>
        <v>3153.82769245056</v>
      </c>
      <c r="N308" s="4" t="n">
        <f aca="false">K308</f>
        <v>3130.90102141328</v>
      </c>
      <c r="O308" s="4" t="n">
        <f aca="false">M308-K308</f>
        <v>22.9266710372794</v>
      </c>
      <c r="P308" s="4" t="n">
        <f aca="false">N308-K308</f>
        <v>0</v>
      </c>
      <c r="Q308" s="4" t="n">
        <f aca="false">A308-MATCH(K308,$M$9:M307,1)</f>
        <v>2</v>
      </c>
      <c r="R308" s="0" t="n">
        <f aca="false">-G308*(O308/3600)</f>
        <v>-0.0954815550242816</v>
      </c>
      <c r="S308" s="0" t="n">
        <f aca="false">-1*I308-(H308*(P308/3600))</f>
        <v>-19.5</v>
      </c>
      <c r="T308" s="0" t="n">
        <f aca="false">-H308*(O308/3600)</f>
        <v>-0.17586891798996</v>
      </c>
      <c r="U308" s="0" t="n">
        <f aca="false">T308-S308</f>
        <v>19.32413108201</v>
      </c>
      <c r="V308" s="0" t="n">
        <f aca="false">1/(1+EXP(U308))</f>
        <v>4.05169272619815E-009</v>
      </c>
      <c r="W308" s="0" t="n">
        <f aca="true">RAND()</f>
        <v>0.570045550347285</v>
      </c>
      <c r="X308" s="0" t="n">
        <f aca="false">IF(W308&lt;V308,1,0)</f>
        <v>0</v>
      </c>
      <c r="Y308" s="0" t="n">
        <f aca="false">(M308*(1-X308)+N308*X308)*D308+M308*E308</f>
        <v>3153.82769245056</v>
      </c>
      <c r="Z308" s="0" t="n">
        <f aca="false">((1-X308)*O308+X308*P308)*D308+E308*O308</f>
        <v>22.9266710372794</v>
      </c>
      <c r="AA308" s="0" t="n">
        <f aca="false">IF(D308*X308&gt;0,AA307,Q308)</f>
        <v>2</v>
      </c>
      <c r="AB308" s="0" t="n">
        <f aca="false">(X308*D308)</f>
        <v>0</v>
      </c>
      <c r="AC308" s="0" t="n">
        <f aca="false">SUM(AB$10:AB307)/K308</f>
        <v>0</v>
      </c>
      <c r="AD308" s="0" t="n">
        <f aca="false">R308*E308+D308*(X308*S308+(1-X308)*T308)</f>
        <v>-0.0954815550242816</v>
      </c>
      <c r="AE308" s="0" t="n">
        <f aca="false">Z308</f>
        <v>22.9266710372794</v>
      </c>
      <c r="AF308" s="0" t="n">
        <f aca="false">E308*O308</f>
        <v>22.9266710372794</v>
      </c>
      <c r="AG308" s="0" t="n">
        <f aca="false">((1-X308)*O308+X308*P308)*D308</f>
        <v>0</v>
      </c>
      <c r="AH308" s="0" t="n">
        <f aca="false">D308*(LN(EXP(S308)+EXP(T308)))</f>
        <v>-0</v>
      </c>
      <c r="AJ308" s="0" t="n">
        <f aca="false">$J$5</f>
        <v>10</v>
      </c>
      <c r="AK308" s="4" t="n">
        <f aca="false">AJ308+MAX(K308,AK$10:AK307)</f>
        <v>3153.82769245056</v>
      </c>
      <c r="AL308" s="5" t="n">
        <f aca="false">AK308-K308</f>
        <v>22.9266710372794</v>
      </c>
      <c r="AM308" s="0" t="n">
        <f aca="false">-G308*AL308/3600</f>
        <v>-0.0954815550242817</v>
      </c>
      <c r="AN308" s="0" t="n">
        <f aca="false">-H308*AL308/3600</f>
        <v>-0.17586891798996</v>
      </c>
      <c r="AO308" s="0" t="n">
        <f aca="false">AM308*E308+AN308*D308</f>
        <v>-0.0954815550242817</v>
      </c>
      <c r="AP308" s="0" t="n">
        <f aca="false">AL308*D308</f>
        <v>0</v>
      </c>
      <c r="AR308" s="0" t="n">
        <f aca="false">AN308*D308</f>
        <v>-0</v>
      </c>
      <c r="AS308" s="0" t="n">
        <f aca="false">AH308-AR308</f>
        <v>0</v>
      </c>
    </row>
    <row r="309" customFormat="false" ht="12" hidden="false" customHeight="false" outlineLevel="0" collapsed="false">
      <c r="A309" s="3" t="n">
        <f aca="false">A308+1</f>
        <v>300</v>
      </c>
      <c r="B309" s="3" t="n">
        <f aca="false">IF(A309&lt;$N$4/3,0.1,(IF(A309&gt;2*$N$4/3,0.05,0.12)))</f>
        <v>0.1</v>
      </c>
      <c r="C309" s="4" t="n">
        <f aca="true">RAND()</f>
        <v>0.285897231354301</v>
      </c>
      <c r="D309" s="0" t="n">
        <f aca="false">IF((C309&gt;$M$2),1,0)</f>
        <v>0</v>
      </c>
      <c r="E309" s="0" t="n">
        <f aca="false">1-D309</f>
        <v>1</v>
      </c>
      <c r="F309" s="0" t="n">
        <f aca="true">RAND()</f>
        <v>0.0893709481786345</v>
      </c>
      <c r="G309" s="0" t="n">
        <f aca="false">7.75+F309*10</f>
        <v>8.64370948178635</v>
      </c>
      <c r="H309" s="0" t="n">
        <f aca="false">LOGINV(F309,2.64,1.139)</f>
        <v>3.02967807814178</v>
      </c>
      <c r="I309" s="0" t="n">
        <v>19.5</v>
      </c>
      <c r="J309" s="4" t="n">
        <f aca="true">-LN(RAND())/B309</f>
        <v>29.2610072921834</v>
      </c>
      <c r="K309" s="4" t="n">
        <f aca="false">K308+J309</f>
        <v>3160.16202870546</v>
      </c>
      <c r="L309" s="4" t="n">
        <f aca="false">(1/$J$4)*(1+AB308)</f>
        <v>10</v>
      </c>
      <c r="M309" s="4" t="n">
        <f aca="false">L309+MAX(K309,Y$10:Y308)</f>
        <v>3170.16202870546</v>
      </c>
      <c r="N309" s="4" t="n">
        <f aca="false">K309</f>
        <v>3160.16202870546</v>
      </c>
      <c r="O309" s="4" t="n">
        <f aca="false">M309-K309</f>
        <v>10</v>
      </c>
      <c r="P309" s="4" t="n">
        <f aca="false">N309-K309</f>
        <v>0</v>
      </c>
      <c r="Q309" s="4" t="n">
        <f aca="false">A309-MATCH(K309,$M$9:M308,1)</f>
        <v>0</v>
      </c>
      <c r="R309" s="0" t="n">
        <f aca="false">-G309*(O309/3600)</f>
        <v>-0.0240103041160732</v>
      </c>
      <c r="S309" s="0" t="n">
        <f aca="false">-1*I309-(H309*(P309/3600))</f>
        <v>-19.5</v>
      </c>
      <c r="T309" s="0" t="n">
        <f aca="false">-H309*(O309/3600)</f>
        <v>-0.00841577243928273</v>
      </c>
      <c r="U309" s="0" t="n">
        <f aca="false">T309-S309</f>
        <v>19.4915842275607</v>
      </c>
      <c r="V309" s="0" t="n">
        <f aca="false">1/(1+EXP(U309))</f>
        <v>3.42698753625065E-009</v>
      </c>
      <c r="W309" s="0" t="n">
        <f aca="true">RAND()</f>
        <v>0.811997214168082</v>
      </c>
      <c r="X309" s="0" t="n">
        <f aca="false">IF(W309&lt;V309,1,0)</f>
        <v>0</v>
      </c>
      <c r="Y309" s="0" t="n">
        <f aca="false">(M309*(1-X309)+N309*X309)*D309+M309*E309</f>
        <v>3170.16202870546</v>
      </c>
      <c r="Z309" s="0" t="n">
        <f aca="false">((1-X309)*O309+X309*P309)*D309+E309*O309</f>
        <v>10</v>
      </c>
      <c r="AA309" s="0" t="n">
        <f aca="false">IF(D309*X309&gt;0,AA308,Q309)</f>
        <v>0</v>
      </c>
      <c r="AB309" s="0" t="n">
        <f aca="false">(X309*D309)</f>
        <v>0</v>
      </c>
      <c r="AC309" s="0" t="n">
        <f aca="false">SUM(AB$10:AB308)/K309</f>
        <v>0</v>
      </c>
      <c r="AD309" s="0" t="n">
        <f aca="false">R309*E309+D309*(X309*S309+(1-X309)*T309)</f>
        <v>-0.0240103041160732</v>
      </c>
      <c r="AE309" s="0" t="n">
        <f aca="false">Z309</f>
        <v>10</v>
      </c>
      <c r="AF309" s="0" t="n">
        <f aca="false">E309*O309</f>
        <v>10</v>
      </c>
      <c r="AG309" s="0" t="n">
        <f aca="false">((1-X309)*O309+X309*P309)*D309</f>
        <v>0</v>
      </c>
      <c r="AH309" s="0" t="n">
        <f aca="false">D309*(LN(EXP(S309)+EXP(T309)))</f>
        <v>-0</v>
      </c>
      <c r="AJ309" s="0" t="n">
        <f aca="false">$J$5</f>
        <v>10</v>
      </c>
      <c r="AK309" s="4" t="n">
        <f aca="false">AJ309+MAX(K309,AK$10:AK308)</f>
        <v>3170.16202870546</v>
      </c>
      <c r="AL309" s="5" t="n">
        <f aca="false">AK309-K309</f>
        <v>10</v>
      </c>
      <c r="AM309" s="0" t="n">
        <f aca="false">-G309*AL309/3600</f>
        <v>-0.0240103041160732</v>
      </c>
      <c r="AN309" s="0" t="n">
        <f aca="false">-H309*AL309/3600</f>
        <v>-0.00841577243928273</v>
      </c>
      <c r="AO309" s="0" t="n">
        <f aca="false">AM309*E309+AN309*D309</f>
        <v>-0.0240103041160732</v>
      </c>
      <c r="AP309" s="0" t="n">
        <f aca="false">AL309*D309</f>
        <v>0</v>
      </c>
      <c r="AR309" s="0" t="n">
        <f aca="false">AN309*D309</f>
        <v>-0</v>
      </c>
      <c r="AS309" s="0" t="n">
        <f aca="false">AH309-AR309</f>
        <v>0</v>
      </c>
    </row>
    <row r="310" customFormat="false" ht="12" hidden="false" customHeight="false" outlineLevel="0" collapsed="false">
      <c r="A310" s="3" t="n">
        <f aca="false">A309+1</f>
        <v>301</v>
      </c>
      <c r="B310" s="3" t="n">
        <f aca="false">IF(A310&lt;$N$4/3,0.1,(IF(A310&gt;2*$N$4/3,0.05,0.12)))</f>
        <v>0.1</v>
      </c>
      <c r="C310" s="4" t="n">
        <f aca="true">RAND()</f>
        <v>0.693444728543054</v>
      </c>
      <c r="D310" s="0" t="n">
        <f aca="false">IF((C310&gt;$M$2),1,0)</f>
        <v>0</v>
      </c>
      <c r="E310" s="0" t="n">
        <f aca="false">1-D310</f>
        <v>1</v>
      </c>
      <c r="F310" s="0" t="n">
        <f aca="true">RAND()</f>
        <v>0.224984687610338</v>
      </c>
      <c r="G310" s="0" t="n">
        <f aca="false">7.75+F310*10</f>
        <v>9.99984687610338</v>
      </c>
      <c r="H310" s="0" t="n">
        <f aca="false">LOGINV(F310,2.64,1.139)</f>
        <v>5.9270352541995</v>
      </c>
      <c r="I310" s="0" t="n">
        <v>19.5</v>
      </c>
      <c r="J310" s="4" t="n">
        <f aca="true">-LN(RAND())/B310</f>
        <v>8.73435815902277</v>
      </c>
      <c r="K310" s="4" t="n">
        <f aca="false">K309+J310</f>
        <v>3168.89638686449</v>
      </c>
      <c r="L310" s="4" t="n">
        <f aca="false">(1/$J$4)*(1+AB309)</f>
        <v>10</v>
      </c>
      <c r="M310" s="4" t="n">
        <f aca="false">L310+MAX(K310,Y$10:Y309)</f>
        <v>3180.16202870546</v>
      </c>
      <c r="N310" s="4" t="n">
        <f aca="false">K310</f>
        <v>3168.89638686449</v>
      </c>
      <c r="O310" s="4" t="n">
        <f aca="false">M310-K310</f>
        <v>11.2656418409774</v>
      </c>
      <c r="P310" s="4" t="n">
        <f aca="false">N310-K310</f>
        <v>0</v>
      </c>
      <c r="Q310" s="4" t="n">
        <f aca="false">A310-MATCH(K310,$M$9:M309,1)</f>
        <v>1</v>
      </c>
      <c r="R310" s="0" t="n">
        <f aca="false">-G310*(O310/3600)</f>
        <v>-0.0312929703807771</v>
      </c>
      <c r="S310" s="0" t="n">
        <f aca="false">-1*I310-(H310*(P310/3600))</f>
        <v>-19.5</v>
      </c>
      <c r="T310" s="0" t="n">
        <f aca="false">-H310*(O310/3600)</f>
        <v>-0.0185477378757384</v>
      </c>
      <c r="U310" s="0" t="n">
        <f aca="false">T310-S310</f>
        <v>19.4814522621243</v>
      </c>
      <c r="V310" s="0" t="n">
        <f aca="false">1/(1+EXP(U310))</f>
        <v>3.46188615263879E-009</v>
      </c>
      <c r="W310" s="0" t="n">
        <f aca="true">RAND()</f>
        <v>0.81249212731893</v>
      </c>
      <c r="X310" s="0" t="n">
        <f aca="false">IF(W310&lt;V310,1,0)</f>
        <v>0</v>
      </c>
      <c r="Y310" s="0" t="n">
        <f aca="false">(M310*(1-X310)+N310*X310)*D310+M310*E310</f>
        <v>3180.16202870546</v>
      </c>
      <c r="Z310" s="0" t="n">
        <f aca="false">((1-X310)*O310+X310*P310)*D310+E310*O310</f>
        <v>11.2656418409774</v>
      </c>
      <c r="AA310" s="0" t="n">
        <f aca="false">IF(D310*X310&gt;0,AA309,Q310)</f>
        <v>1</v>
      </c>
      <c r="AB310" s="0" t="n">
        <f aca="false">(X310*D310)</f>
        <v>0</v>
      </c>
      <c r="AC310" s="0" t="n">
        <f aca="false">SUM(AB$10:AB309)/K310</f>
        <v>0</v>
      </c>
      <c r="AD310" s="0" t="n">
        <f aca="false">R310*E310+D310*(X310*S310+(1-X310)*T310)</f>
        <v>-0.0312929703807771</v>
      </c>
      <c r="AE310" s="0" t="n">
        <f aca="false">Z310</f>
        <v>11.2656418409774</v>
      </c>
      <c r="AF310" s="0" t="n">
        <f aca="false">E310*O310</f>
        <v>11.2656418409774</v>
      </c>
      <c r="AG310" s="0" t="n">
        <f aca="false">((1-X310)*O310+X310*P310)*D310</f>
        <v>0</v>
      </c>
      <c r="AH310" s="0" t="n">
        <f aca="false">D310*(LN(EXP(S310)+EXP(T310)))</f>
        <v>-0</v>
      </c>
      <c r="AJ310" s="0" t="n">
        <f aca="false">$J$5</f>
        <v>10</v>
      </c>
      <c r="AK310" s="4" t="n">
        <f aca="false">AJ310+MAX(K310,AK$10:AK309)</f>
        <v>3180.16202870546</v>
      </c>
      <c r="AL310" s="5" t="n">
        <f aca="false">AK310-K310</f>
        <v>11.2656418409774</v>
      </c>
      <c r="AM310" s="0" t="n">
        <f aca="false">-G310*AL310/3600</f>
        <v>-0.0312929703807771</v>
      </c>
      <c r="AN310" s="0" t="n">
        <f aca="false">-H310*AL310/3600</f>
        <v>-0.0185477378757384</v>
      </c>
      <c r="AO310" s="0" t="n">
        <f aca="false">AM310*E310+AN310*D310</f>
        <v>-0.0312929703807771</v>
      </c>
      <c r="AP310" s="0" t="n">
        <f aca="false">AL310*D310</f>
        <v>0</v>
      </c>
      <c r="AR310" s="0" t="n">
        <f aca="false">AN310*D310</f>
        <v>-0</v>
      </c>
      <c r="AS310" s="0" t="n">
        <f aca="false">AH310-AR310</f>
        <v>0</v>
      </c>
    </row>
    <row r="311" customFormat="false" ht="12" hidden="false" customHeight="false" outlineLevel="0" collapsed="false">
      <c r="A311" s="3" t="n">
        <f aca="false">A310+1</f>
        <v>302</v>
      </c>
      <c r="B311" s="3" t="n">
        <f aca="false">IF(A311&lt;$N$4/3,0.1,(IF(A311&gt;2*$N$4/3,0.05,0.12)))</f>
        <v>0.1</v>
      </c>
      <c r="C311" s="4" t="n">
        <f aca="true">RAND()</f>
        <v>0.23349396404738</v>
      </c>
      <c r="D311" s="0" t="n">
        <f aca="false">IF((C311&gt;$M$2),1,0)</f>
        <v>0</v>
      </c>
      <c r="E311" s="0" t="n">
        <f aca="false">1-D311</f>
        <v>1</v>
      </c>
      <c r="F311" s="0" t="n">
        <f aca="true">RAND()</f>
        <v>0.627026568253059</v>
      </c>
      <c r="G311" s="0" t="n">
        <f aca="false">7.75+F311*10</f>
        <v>14.0202656825306</v>
      </c>
      <c r="H311" s="0" t="n">
        <f aca="false">LOGINV(F311,2.64,1.139)</f>
        <v>20.2675830751412</v>
      </c>
      <c r="I311" s="0" t="n">
        <v>19.5</v>
      </c>
      <c r="J311" s="4" t="n">
        <f aca="true">-LN(RAND())/B311</f>
        <v>17.5651928054909</v>
      </c>
      <c r="K311" s="4" t="n">
        <f aca="false">K310+J311</f>
        <v>3186.46157966998</v>
      </c>
      <c r="L311" s="4" t="n">
        <f aca="false">(1/$J$4)*(1+AB310)</f>
        <v>10</v>
      </c>
      <c r="M311" s="4" t="n">
        <f aca="false">L311+MAX(K311,Y$10:Y310)</f>
        <v>3196.46157966998</v>
      </c>
      <c r="N311" s="4" t="n">
        <f aca="false">K311</f>
        <v>3186.46157966998</v>
      </c>
      <c r="O311" s="4" t="n">
        <f aca="false">M311-K311</f>
        <v>10</v>
      </c>
      <c r="P311" s="4" t="n">
        <f aca="false">N311-K311</f>
        <v>0</v>
      </c>
      <c r="Q311" s="4" t="n">
        <f aca="false">A311-MATCH(K311,$M$9:M310,1)</f>
        <v>0</v>
      </c>
      <c r="R311" s="0" t="n">
        <f aca="false">-G311*(O311/3600)</f>
        <v>-0.0389451824514739</v>
      </c>
      <c r="S311" s="0" t="n">
        <f aca="false">-1*I311-(H311*(P311/3600))</f>
        <v>-19.5</v>
      </c>
      <c r="T311" s="0" t="n">
        <f aca="false">-H311*(O311/3600)</f>
        <v>-0.0562988418753921</v>
      </c>
      <c r="U311" s="0" t="n">
        <f aca="false">T311-S311</f>
        <v>19.4437011581246</v>
      </c>
      <c r="V311" s="0" t="n">
        <f aca="false">1/(1+EXP(U311))</f>
        <v>3.59507435994215E-009</v>
      </c>
      <c r="W311" s="0" t="n">
        <f aca="true">RAND()</f>
        <v>0.884289066201646</v>
      </c>
      <c r="X311" s="0" t="n">
        <f aca="false">IF(W311&lt;V311,1,0)</f>
        <v>0</v>
      </c>
      <c r="Y311" s="0" t="n">
        <f aca="false">(M311*(1-X311)+N311*X311)*D311+M311*E311</f>
        <v>3196.46157966998</v>
      </c>
      <c r="Z311" s="0" t="n">
        <f aca="false">((1-X311)*O311+X311*P311)*D311+E311*O311</f>
        <v>10</v>
      </c>
      <c r="AA311" s="0" t="n">
        <f aca="false">IF(D311*X311&gt;0,AA310,Q311)</f>
        <v>0</v>
      </c>
      <c r="AB311" s="0" t="n">
        <f aca="false">(X311*D311)</f>
        <v>0</v>
      </c>
      <c r="AC311" s="0" t="n">
        <f aca="false">SUM(AB$10:AB310)/K311</f>
        <v>0</v>
      </c>
      <c r="AD311" s="0" t="n">
        <f aca="false">R311*E311+D311*(X311*S311+(1-X311)*T311)</f>
        <v>-0.0389451824514739</v>
      </c>
      <c r="AE311" s="0" t="n">
        <f aca="false">Z311</f>
        <v>10</v>
      </c>
      <c r="AF311" s="0" t="n">
        <f aca="false">E311*O311</f>
        <v>10</v>
      </c>
      <c r="AG311" s="0" t="n">
        <f aca="false">((1-X311)*O311+X311*P311)*D311</f>
        <v>0</v>
      </c>
      <c r="AH311" s="0" t="n">
        <f aca="false">D311*(LN(EXP(S311)+EXP(T311)))</f>
        <v>-0</v>
      </c>
      <c r="AJ311" s="0" t="n">
        <f aca="false">$J$5</f>
        <v>10</v>
      </c>
      <c r="AK311" s="4" t="n">
        <f aca="false">AJ311+MAX(K311,AK$10:AK310)</f>
        <v>3196.46157966998</v>
      </c>
      <c r="AL311" s="5" t="n">
        <f aca="false">AK311-K311</f>
        <v>10</v>
      </c>
      <c r="AM311" s="0" t="n">
        <f aca="false">-G311*AL311/3600</f>
        <v>-0.0389451824514739</v>
      </c>
      <c r="AN311" s="0" t="n">
        <f aca="false">-H311*AL311/3600</f>
        <v>-0.0562988418753921</v>
      </c>
      <c r="AO311" s="0" t="n">
        <f aca="false">AM311*E311+AN311*D311</f>
        <v>-0.0389451824514739</v>
      </c>
      <c r="AP311" s="0" t="n">
        <f aca="false">AL311*D311</f>
        <v>0</v>
      </c>
      <c r="AR311" s="0" t="n">
        <f aca="false">AN311*D311</f>
        <v>-0</v>
      </c>
      <c r="AS311" s="0" t="n">
        <f aca="false">AH311-AR311</f>
        <v>0</v>
      </c>
    </row>
    <row r="312" customFormat="false" ht="12" hidden="false" customHeight="false" outlineLevel="0" collapsed="false">
      <c r="A312" s="3" t="n">
        <f aca="false">A311+1</f>
        <v>303</v>
      </c>
      <c r="B312" s="3" t="n">
        <f aca="false">IF(A312&lt;$N$4/3,0.1,(IF(A312&gt;2*$N$4/3,0.05,0.12)))</f>
        <v>0.1</v>
      </c>
      <c r="C312" s="4" t="n">
        <f aca="true">RAND()</f>
        <v>0.170200754852624</v>
      </c>
      <c r="D312" s="0" t="n">
        <f aca="false">IF((C312&gt;$M$2),1,0)</f>
        <v>0</v>
      </c>
      <c r="E312" s="0" t="n">
        <f aca="false">1-D312</f>
        <v>1</v>
      </c>
      <c r="F312" s="0" t="n">
        <f aca="true">RAND()</f>
        <v>0.464747818628049</v>
      </c>
      <c r="G312" s="0" t="n">
        <f aca="false">7.75+F312*10</f>
        <v>12.3974781862805</v>
      </c>
      <c r="H312" s="0" t="n">
        <f aca="false">LOGINV(F312,2.64,1.139)</f>
        <v>12.669809209438</v>
      </c>
      <c r="I312" s="0" t="n">
        <v>19.5</v>
      </c>
      <c r="J312" s="4" t="n">
        <f aca="true">-LN(RAND())/B312</f>
        <v>7.71694413906005</v>
      </c>
      <c r="K312" s="4" t="n">
        <f aca="false">K311+J312</f>
        <v>3194.17852380904</v>
      </c>
      <c r="L312" s="4" t="n">
        <f aca="false">(1/$J$4)*(1+AB311)</f>
        <v>10</v>
      </c>
      <c r="M312" s="4" t="n">
        <f aca="false">L312+MAX(K312,Y$10:Y311)</f>
        <v>3206.46157966998</v>
      </c>
      <c r="N312" s="4" t="n">
        <f aca="false">K312</f>
        <v>3194.17852380904</v>
      </c>
      <c r="O312" s="4" t="n">
        <f aca="false">M312-K312</f>
        <v>12.2830558609398</v>
      </c>
      <c r="P312" s="4" t="n">
        <f aca="false">N312-K312</f>
        <v>0</v>
      </c>
      <c r="Q312" s="4" t="n">
        <f aca="false">A312-MATCH(K312,$M$9:M311,1)</f>
        <v>1</v>
      </c>
      <c r="R312" s="0" t="n">
        <f aca="false">-G312*(O312/3600)</f>
        <v>-0.042299699193574</v>
      </c>
      <c r="S312" s="0" t="n">
        <f aca="false">-1*I312-(H312*(P312/3600))</f>
        <v>-19.5</v>
      </c>
      <c r="T312" s="0" t="n">
        <f aca="false">-H312*(O312/3600)</f>
        <v>-0.0432288817408269</v>
      </c>
      <c r="U312" s="0" t="n">
        <f aca="false">T312-S312</f>
        <v>19.4567711182592</v>
      </c>
      <c r="V312" s="0" t="n">
        <f aca="false">1/(1+EXP(U312))</f>
        <v>3.54839261037439E-009</v>
      </c>
      <c r="W312" s="0" t="n">
        <f aca="true">RAND()</f>
        <v>0.886381005623279</v>
      </c>
      <c r="X312" s="0" t="n">
        <f aca="false">IF(W312&lt;V312,1,0)</f>
        <v>0</v>
      </c>
      <c r="Y312" s="0" t="n">
        <f aca="false">(M312*(1-X312)+N312*X312)*D312+M312*E312</f>
        <v>3206.46157966998</v>
      </c>
      <c r="Z312" s="0" t="n">
        <f aca="false">((1-X312)*O312+X312*P312)*D312+E312*O312</f>
        <v>12.2830558609398</v>
      </c>
      <c r="AA312" s="0" t="n">
        <f aca="false">IF(D312*X312&gt;0,AA311,Q312)</f>
        <v>1</v>
      </c>
      <c r="AB312" s="0" t="n">
        <f aca="false">(X312*D312)</f>
        <v>0</v>
      </c>
      <c r="AC312" s="0" t="n">
        <f aca="false">SUM(AB$10:AB311)/K312</f>
        <v>0</v>
      </c>
      <c r="AD312" s="0" t="n">
        <f aca="false">R312*E312+D312*(X312*S312+(1-X312)*T312)</f>
        <v>-0.042299699193574</v>
      </c>
      <c r="AE312" s="0" t="n">
        <f aca="false">Z312</f>
        <v>12.2830558609398</v>
      </c>
      <c r="AF312" s="0" t="n">
        <f aca="false">E312*O312</f>
        <v>12.2830558609398</v>
      </c>
      <c r="AG312" s="0" t="n">
        <f aca="false">((1-X312)*O312+X312*P312)*D312</f>
        <v>0</v>
      </c>
      <c r="AH312" s="0" t="n">
        <f aca="false">D312*(LN(EXP(S312)+EXP(T312)))</f>
        <v>-0</v>
      </c>
      <c r="AJ312" s="0" t="n">
        <f aca="false">$J$5</f>
        <v>10</v>
      </c>
      <c r="AK312" s="4" t="n">
        <f aca="false">AJ312+MAX(K312,AK$10:AK311)</f>
        <v>3206.46157966998</v>
      </c>
      <c r="AL312" s="5" t="n">
        <f aca="false">AK312-K312</f>
        <v>12.2830558609398</v>
      </c>
      <c r="AM312" s="0" t="n">
        <f aca="false">-G312*AL312/3600</f>
        <v>-0.042299699193574</v>
      </c>
      <c r="AN312" s="0" t="n">
        <f aca="false">-H312*AL312/3600</f>
        <v>-0.0432288817408269</v>
      </c>
      <c r="AO312" s="0" t="n">
        <f aca="false">AM312*E312+AN312*D312</f>
        <v>-0.042299699193574</v>
      </c>
      <c r="AP312" s="0" t="n">
        <f aca="false">AL312*D312</f>
        <v>0</v>
      </c>
      <c r="AR312" s="0" t="n">
        <f aca="false">AN312*D312</f>
        <v>-0</v>
      </c>
      <c r="AS312" s="0" t="n">
        <f aca="false">AH312-AR312</f>
        <v>0</v>
      </c>
    </row>
    <row r="313" customFormat="false" ht="12" hidden="false" customHeight="false" outlineLevel="0" collapsed="false">
      <c r="A313" s="3" t="n">
        <f aca="false">A312+1</f>
        <v>304</v>
      </c>
      <c r="B313" s="3" t="n">
        <f aca="false">IF(A313&lt;$N$4/3,0.1,(IF(A313&gt;2*$N$4/3,0.05,0.12)))</f>
        <v>0.1</v>
      </c>
      <c r="C313" s="4" t="n">
        <f aca="true">RAND()</f>
        <v>0.896287318264568</v>
      </c>
      <c r="D313" s="0" t="n">
        <f aca="false">IF((C313&gt;$M$2),1,0)</f>
        <v>0</v>
      </c>
      <c r="E313" s="0" t="n">
        <f aca="false">1-D313</f>
        <v>1</v>
      </c>
      <c r="F313" s="0" t="n">
        <f aca="true">RAND()</f>
        <v>0.424695812287583</v>
      </c>
      <c r="G313" s="0" t="n">
        <f aca="false">7.75+F313*10</f>
        <v>11.9969581228758</v>
      </c>
      <c r="H313" s="0" t="n">
        <f aca="false">LOGINV(F313,2.64,1.139)</f>
        <v>11.2876578823225</v>
      </c>
      <c r="I313" s="0" t="n">
        <v>19.5</v>
      </c>
      <c r="J313" s="4" t="n">
        <f aca="true">-LN(RAND())/B313</f>
        <v>24.7086174432404</v>
      </c>
      <c r="K313" s="4" t="n">
        <f aca="false">K312+J313</f>
        <v>3218.88714125228</v>
      </c>
      <c r="L313" s="4" t="n">
        <f aca="false">(1/$J$4)*(1+AB312)</f>
        <v>10</v>
      </c>
      <c r="M313" s="4" t="n">
        <f aca="false">L313+MAX(K313,Y$10:Y312)</f>
        <v>3228.88714125228</v>
      </c>
      <c r="N313" s="4" t="n">
        <f aca="false">K313</f>
        <v>3218.88714125228</v>
      </c>
      <c r="O313" s="4" t="n">
        <f aca="false">M313-K313</f>
        <v>10</v>
      </c>
      <c r="P313" s="4" t="n">
        <f aca="false">N313-K313</f>
        <v>0</v>
      </c>
      <c r="Q313" s="4" t="n">
        <f aca="false">A313-MATCH(K313,$M$9:M312,1)</f>
        <v>0</v>
      </c>
      <c r="R313" s="0" t="n">
        <f aca="false">-G313*(O313/3600)</f>
        <v>-0.0333248836746551</v>
      </c>
      <c r="S313" s="0" t="n">
        <f aca="false">-1*I313-(H313*(P313/3600))</f>
        <v>-19.5</v>
      </c>
      <c r="T313" s="0" t="n">
        <f aca="false">-H313*(O313/3600)</f>
        <v>-0.0313546052286737</v>
      </c>
      <c r="U313" s="0" t="n">
        <f aca="false">T313-S313</f>
        <v>19.4686453947713</v>
      </c>
      <c r="V313" s="0" t="n">
        <f aca="false">1/(1+EXP(U313))</f>
        <v>3.50650718718837E-009</v>
      </c>
      <c r="W313" s="0" t="n">
        <f aca="true">RAND()</f>
        <v>0.15165170707236</v>
      </c>
      <c r="X313" s="0" t="n">
        <f aca="false">IF(W313&lt;V313,1,0)</f>
        <v>0</v>
      </c>
      <c r="Y313" s="0" t="n">
        <f aca="false">(M313*(1-X313)+N313*X313)*D313+M313*E313</f>
        <v>3228.88714125228</v>
      </c>
      <c r="Z313" s="0" t="n">
        <f aca="false">((1-X313)*O313+X313*P313)*D313+E313*O313</f>
        <v>10</v>
      </c>
      <c r="AA313" s="0" t="n">
        <f aca="false">IF(D313*X313&gt;0,AA312,Q313)</f>
        <v>0</v>
      </c>
      <c r="AB313" s="0" t="n">
        <f aca="false">(X313*D313)</f>
        <v>0</v>
      </c>
      <c r="AC313" s="0" t="n">
        <f aca="false">SUM(AB$10:AB312)/K313</f>
        <v>0</v>
      </c>
      <c r="AD313" s="0" t="n">
        <f aca="false">R313*E313+D313*(X313*S313+(1-X313)*T313)</f>
        <v>-0.0333248836746551</v>
      </c>
      <c r="AE313" s="0" t="n">
        <f aca="false">Z313</f>
        <v>10</v>
      </c>
      <c r="AF313" s="0" t="n">
        <f aca="false">E313*O313</f>
        <v>10</v>
      </c>
      <c r="AG313" s="0" t="n">
        <f aca="false">((1-X313)*O313+X313*P313)*D313</f>
        <v>0</v>
      </c>
      <c r="AH313" s="0" t="n">
        <f aca="false">D313*(LN(EXP(S313)+EXP(T313)))</f>
        <v>-0</v>
      </c>
      <c r="AJ313" s="0" t="n">
        <f aca="false">$J$5</f>
        <v>10</v>
      </c>
      <c r="AK313" s="4" t="n">
        <f aca="false">AJ313+MAX(K313,AK$10:AK312)</f>
        <v>3228.88714125228</v>
      </c>
      <c r="AL313" s="5" t="n">
        <f aca="false">AK313-K313</f>
        <v>10</v>
      </c>
      <c r="AM313" s="0" t="n">
        <f aca="false">-G313*AL313/3600</f>
        <v>-0.0333248836746551</v>
      </c>
      <c r="AN313" s="0" t="n">
        <f aca="false">-H313*AL313/3600</f>
        <v>-0.0313546052286737</v>
      </c>
      <c r="AO313" s="0" t="n">
        <f aca="false">AM313*E313+AN313*D313</f>
        <v>-0.0333248836746551</v>
      </c>
      <c r="AP313" s="0" t="n">
        <f aca="false">AL313*D313</f>
        <v>0</v>
      </c>
      <c r="AR313" s="0" t="n">
        <f aca="false">AN313*D313</f>
        <v>-0</v>
      </c>
      <c r="AS313" s="0" t="n">
        <f aca="false">AH313-AR313</f>
        <v>0</v>
      </c>
    </row>
    <row r="314" customFormat="false" ht="12" hidden="false" customHeight="false" outlineLevel="0" collapsed="false">
      <c r="A314" s="3" t="n">
        <f aca="false">A313+1</f>
        <v>305</v>
      </c>
      <c r="B314" s="3" t="n">
        <f aca="false">IF(A314&lt;$N$4/3,0.1,(IF(A314&gt;2*$N$4/3,0.05,0.12)))</f>
        <v>0.1</v>
      </c>
      <c r="C314" s="4" t="n">
        <f aca="true">RAND()</f>
        <v>0.157710713580549</v>
      </c>
      <c r="D314" s="0" t="n">
        <f aca="false">IF((C314&gt;$M$2),1,0)</f>
        <v>0</v>
      </c>
      <c r="E314" s="0" t="n">
        <f aca="false">1-D314</f>
        <v>1</v>
      </c>
      <c r="F314" s="0" t="n">
        <f aca="true">RAND()</f>
        <v>0.572329830420615</v>
      </c>
      <c r="G314" s="0" t="n">
        <f aca="false">7.75+F314*10</f>
        <v>13.4732983042062</v>
      </c>
      <c r="H314" s="0" t="n">
        <f aca="false">LOGINV(F314,2.64,1.139)</f>
        <v>17.2471998258989</v>
      </c>
      <c r="I314" s="0" t="n">
        <v>19.5</v>
      </c>
      <c r="J314" s="4" t="n">
        <f aca="true">-LN(RAND())/B314</f>
        <v>1.94391153143397</v>
      </c>
      <c r="K314" s="4" t="n">
        <f aca="false">K313+J314</f>
        <v>3220.83105278371</v>
      </c>
      <c r="L314" s="4" t="n">
        <f aca="false">(1/$J$4)*(1+AB313)</f>
        <v>10</v>
      </c>
      <c r="M314" s="4" t="n">
        <f aca="false">L314+MAX(K314,Y$10:Y313)</f>
        <v>3238.88714125228</v>
      </c>
      <c r="N314" s="4" t="n">
        <f aca="false">K314</f>
        <v>3220.83105278371</v>
      </c>
      <c r="O314" s="4" t="n">
        <f aca="false">M314-K314</f>
        <v>18.056088468566</v>
      </c>
      <c r="P314" s="4" t="n">
        <f aca="false">N314-K314</f>
        <v>0</v>
      </c>
      <c r="Q314" s="4" t="n">
        <f aca="false">A314-MATCH(K314,$M$9:M313,1)</f>
        <v>1</v>
      </c>
      <c r="R314" s="0" t="n">
        <f aca="false">-G314*(O314/3600)</f>
        <v>-0.0675764072622575</v>
      </c>
      <c r="S314" s="0" t="n">
        <f aca="false">-1*I314-(H314*(P314/3600))</f>
        <v>-19.5</v>
      </c>
      <c r="T314" s="0" t="n">
        <f aca="false">-H314*(O314/3600)</f>
        <v>-0.0865047127476297</v>
      </c>
      <c r="U314" s="0" t="n">
        <f aca="false">T314-S314</f>
        <v>19.4134952872524</v>
      </c>
      <c r="V314" s="0" t="n">
        <f aca="false">1/(1+EXP(U314))</f>
        <v>3.70532341334139E-009</v>
      </c>
      <c r="W314" s="0" t="n">
        <f aca="true">RAND()</f>
        <v>0.580001935531262</v>
      </c>
      <c r="X314" s="0" t="n">
        <f aca="false">IF(W314&lt;V314,1,0)</f>
        <v>0</v>
      </c>
      <c r="Y314" s="0" t="n">
        <f aca="false">(M314*(1-X314)+N314*X314)*D314+M314*E314</f>
        <v>3238.88714125228</v>
      </c>
      <c r="Z314" s="0" t="n">
        <f aca="false">((1-X314)*O314+X314*P314)*D314+E314*O314</f>
        <v>18.056088468566</v>
      </c>
      <c r="AA314" s="0" t="n">
        <f aca="false">IF(D314*X314&gt;0,AA313,Q314)</f>
        <v>1</v>
      </c>
      <c r="AB314" s="0" t="n">
        <f aca="false">(X314*D314)</f>
        <v>0</v>
      </c>
      <c r="AC314" s="0" t="n">
        <f aca="false">SUM(AB$10:AB313)/K314</f>
        <v>0</v>
      </c>
      <c r="AD314" s="0" t="n">
        <f aca="false">R314*E314+D314*(X314*S314+(1-X314)*T314)</f>
        <v>-0.0675764072622575</v>
      </c>
      <c r="AE314" s="0" t="n">
        <f aca="false">Z314</f>
        <v>18.056088468566</v>
      </c>
      <c r="AF314" s="0" t="n">
        <f aca="false">E314*O314</f>
        <v>18.056088468566</v>
      </c>
      <c r="AG314" s="0" t="n">
        <f aca="false">((1-X314)*O314+X314*P314)*D314</f>
        <v>0</v>
      </c>
      <c r="AH314" s="0" t="n">
        <f aca="false">D314*(LN(EXP(S314)+EXP(T314)))</f>
        <v>-0</v>
      </c>
      <c r="AJ314" s="0" t="n">
        <f aca="false">$J$5</f>
        <v>10</v>
      </c>
      <c r="AK314" s="4" t="n">
        <f aca="false">AJ314+MAX(K314,AK$10:AK313)</f>
        <v>3238.88714125228</v>
      </c>
      <c r="AL314" s="5" t="n">
        <f aca="false">AK314-K314</f>
        <v>18.056088468566</v>
      </c>
      <c r="AM314" s="0" t="n">
        <f aca="false">-G314*AL314/3600</f>
        <v>-0.0675764072622575</v>
      </c>
      <c r="AN314" s="0" t="n">
        <f aca="false">-H314*AL314/3600</f>
        <v>-0.0865047127476297</v>
      </c>
      <c r="AO314" s="0" t="n">
        <f aca="false">AM314*E314+AN314*D314</f>
        <v>-0.0675764072622575</v>
      </c>
      <c r="AP314" s="0" t="n">
        <f aca="false">AL314*D314</f>
        <v>0</v>
      </c>
      <c r="AR314" s="0" t="n">
        <f aca="false">AN314*D314</f>
        <v>-0</v>
      </c>
      <c r="AS314" s="0" t="n">
        <f aca="false">AH314-AR314</f>
        <v>0</v>
      </c>
    </row>
    <row r="315" customFormat="false" ht="12" hidden="false" customHeight="false" outlineLevel="0" collapsed="false">
      <c r="A315" s="3" t="n">
        <f aca="false">A314+1</f>
        <v>306</v>
      </c>
      <c r="B315" s="3" t="n">
        <f aca="false">IF(A315&lt;$N$4/3,0.1,(IF(A315&gt;2*$N$4/3,0.05,0.12)))</f>
        <v>0.1</v>
      </c>
      <c r="C315" s="4" t="n">
        <f aca="true">RAND()</f>
        <v>0.558514009127115</v>
      </c>
      <c r="D315" s="0" t="n">
        <f aca="false">IF((C315&gt;$M$2),1,0)</f>
        <v>0</v>
      </c>
      <c r="E315" s="0" t="n">
        <f aca="false">1-D315</f>
        <v>1</v>
      </c>
      <c r="F315" s="0" t="n">
        <f aca="true">RAND()</f>
        <v>0.445431600816542</v>
      </c>
      <c r="G315" s="0" t="n">
        <f aca="false">7.75+F315*10</f>
        <v>12.2043160081654</v>
      </c>
      <c r="H315" s="0" t="n">
        <f aca="false">LOGINV(F315,2.64,1.139)</f>
        <v>11.985714674935</v>
      </c>
      <c r="I315" s="0" t="n">
        <v>19.5</v>
      </c>
      <c r="J315" s="4" t="n">
        <f aca="true">-LN(RAND())/B315</f>
        <v>7.81854549706775</v>
      </c>
      <c r="K315" s="4" t="n">
        <f aca="false">K314+J315</f>
        <v>3228.64959828078</v>
      </c>
      <c r="L315" s="4" t="n">
        <f aca="false">(1/$J$4)*(1+AB314)</f>
        <v>10</v>
      </c>
      <c r="M315" s="4" t="n">
        <f aca="false">L315+MAX(K315,Y$10:Y314)</f>
        <v>3248.88714125228</v>
      </c>
      <c r="N315" s="4" t="n">
        <f aca="false">K315</f>
        <v>3228.64959828078</v>
      </c>
      <c r="O315" s="4" t="n">
        <f aca="false">M315-K315</f>
        <v>20.2375429714984</v>
      </c>
      <c r="P315" s="4" t="n">
        <f aca="false">N315-K315</f>
        <v>0</v>
      </c>
      <c r="Q315" s="4" t="n">
        <f aca="false">A315-MATCH(K315,$M$9:M314,1)</f>
        <v>2</v>
      </c>
      <c r="R315" s="0" t="n">
        <f aca="false">-G315*(O315/3600)</f>
        <v>-0.0686070471258317</v>
      </c>
      <c r="S315" s="0" t="n">
        <f aca="false">-1*I315-(H315*(P315/3600))</f>
        <v>-19.5</v>
      </c>
      <c r="T315" s="0" t="n">
        <f aca="false">-H315*(O315/3600)</f>
        <v>-0.0673781710494767</v>
      </c>
      <c r="U315" s="0" t="n">
        <f aca="false">T315-S315</f>
        <v>19.4326218289505</v>
      </c>
      <c r="V315" s="0" t="n">
        <f aca="false">1/(1+EXP(U315))</f>
        <v>3.63512683963205E-009</v>
      </c>
      <c r="W315" s="0" t="n">
        <f aca="true">RAND()</f>
        <v>0.488719415403321</v>
      </c>
      <c r="X315" s="0" t="n">
        <f aca="false">IF(W315&lt;V315,1,0)</f>
        <v>0</v>
      </c>
      <c r="Y315" s="0" t="n">
        <f aca="false">(M315*(1-X315)+N315*X315)*D315+M315*E315</f>
        <v>3248.88714125228</v>
      </c>
      <c r="Z315" s="0" t="n">
        <f aca="false">((1-X315)*O315+X315*P315)*D315+E315*O315</f>
        <v>20.2375429714984</v>
      </c>
      <c r="AA315" s="0" t="n">
        <f aca="false">IF(D315*X315&gt;0,AA314,Q315)</f>
        <v>2</v>
      </c>
      <c r="AB315" s="0" t="n">
        <f aca="false">(X315*D315)</f>
        <v>0</v>
      </c>
      <c r="AC315" s="0" t="n">
        <f aca="false">SUM(AB$10:AB314)/K315</f>
        <v>0</v>
      </c>
      <c r="AD315" s="0" t="n">
        <f aca="false">R315*E315+D315*(X315*S315+(1-X315)*T315)</f>
        <v>-0.0686070471258317</v>
      </c>
      <c r="AE315" s="0" t="n">
        <f aca="false">Z315</f>
        <v>20.2375429714984</v>
      </c>
      <c r="AF315" s="0" t="n">
        <f aca="false">E315*O315</f>
        <v>20.2375429714984</v>
      </c>
      <c r="AG315" s="0" t="n">
        <f aca="false">((1-X315)*O315+X315*P315)*D315</f>
        <v>0</v>
      </c>
      <c r="AH315" s="0" t="n">
        <f aca="false">D315*(LN(EXP(S315)+EXP(T315)))</f>
        <v>-0</v>
      </c>
      <c r="AJ315" s="0" t="n">
        <f aca="false">$J$5</f>
        <v>10</v>
      </c>
      <c r="AK315" s="4" t="n">
        <f aca="false">AJ315+MAX(K315,AK$10:AK314)</f>
        <v>3248.88714125228</v>
      </c>
      <c r="AL315" s="5" t="n">
        <f aca="false">AK315-K315</f>
        <v>20.2375429714984</v>
      </c>
      <c r="AM315" s="0" t="n">
        <f aca="false">-G315*AL315/3600</f>
        <v>-0.0686070471258317</v>
      </c>
      <c r="AN315" s="0" t="n">
        <f aca="false">-H315*AL315/3600</f>
        <v>-0.0673781710494767</v>
      </c>
      <c r="AO315" s="0" t="n">
        <f aca="false">AM315*E315+AN315*D315</f>
        <v>-0.0686070471258317</v>
      </c>
      <c r="AP315" s="0" t="n">
        <f aca="false">AL315*D315</f>
        <v>0</v>
      </c>
      <c r="AR315" s="0" t="n">
        <f aca="false">AN315*D315</f>
        <v>-0</v>
      </c>
      <c r="AS315" s="0" t="n">
        <f aca="false">AH315-AR315</f>
        <v>0</v>
      </c>
    </row>
    <row r="316" customFormat="false" ht="12" hidden="false" customHeight="false" outlineLevel="0" collapsed="false">
      <c r="A316" s="3" t="n">
        <f aca="false">A315+1</f>
        <v>307</v>
      </c>
      <c r="B316" s="3" t="n">
        <f aca="false">IF(A316&lt;$N$4/3,0.1,(IF(A316&gt;2*$N$4/3,0.05,0.12)))</f>
        <v>0.1</v>
      </c>
      <c r="C316" s="4" t="n">
        <f aca="true">RAND()</f>
        <v>0.116119467277711</v>
      </c>
      <c r="D316" s="0" t="n">
        <f aca="false">IF((C316&gt;$M$2),1,0)</f>
        <v>0</v>
      </c>
      <c r="E316" s="0" t="n">
        <f aca="false">1-D316</f>
        <v>1</v>
      </c>
      <c r="F316" s="0" t="n">
        <f aca="true">RAND()</f>
        <v>0.50788468167166</v>
      </c>
      <c r="G316" s="0" t="n">
        <f aca="false">7.75+F316*10</f>
        <v>12.8288468167166</v>
      </c>
      <c r="H316" s="0" t="n">
        <f aca="false">LOGINV(F316,2.64,1.139)</f>
        <v>14.3322554498044</v>
      </c>
      <c r="I316" s="0" t="n">
        <v>19.5</v>
      </c>
      <c r="J316" s="4" t="n">
        <f aca="true">-LN(RAND())/B316</f>
        <v>7.1990374214955</v>
      </c>
      <c r="K316" s="4" t="n">
        <f aca="false">K315+J316</f>
        <v>3235.84863570228</v>
      </c>
      <c r="L316" s="4" t="n">
        <f aca="false">(1/$J$4)*(1+AB315)</f>
        <v>10</v>
      </c>
      <c r="M316" s="4" t="n">
        <f aca="false">L316+MAX(K316,Y$10:Y315)</f>
        <v>3258.88714125228</v>
      </c>
      <c r="N316" s="4" t="n">
        <f aca="false">K316</f>
        <v>3235.84863570228</v>
      </c>
      <c r="O316" s="4" t="n">
        <f aca="false">M316-K316</f>
        <v>23.0385055500028</v>
      </c>
      <c r="P316" s="4" t="n">
        <f aca="false">N316-K316</f>
        <v>0</v>
      </c>
      <c r="Q316" s="4" t="n">
        <f aca="false">A316-MATCH(K316,$M$9:M315,1)</f>
        <v>2</v>
      </c>
      <c r="R316" s="0" t="n">
        <f aca="false">-G316*(O316/3600)</f>
        <v>-0.0820992940519614</v>
      </c>
      <c r="S316" s="0" t="n">
        <f aca="false">-1*I316-(H316*(P316/3600))</f>
        <v>-19.5</v>
      </c>
      <c r="T316" s="0" t="n">
        <f aca="false">-H316*(O316/3600)</f>
        <v>-0.0917204852012158</v>
      </c>
      <c r="U316" s="0" t="n">
        <f aca="false">T316-S316</f>
        <v>19.4082795147988</v>
      </c>
      <c r="V316" s="0" t="n">
        <f aca="false">1/(1+EXP(U316))</f>
        <v>3.72470002513214E-009</v>
      </c>
      <c r="W316" s="0" t="n">
        <f aca="true">RAND()</f>
        <v>0.963572195116952</v>
      </c>
      <c r="X316" s="0" t="n">
        <f aca="false">IF(W316&lt;V316,1,0)</f>
        <v>0</v>
      </c>
      <c r="Y316" s="0" t="n">
        <f aca="false">(M316*(1-X316)+N316*X316)*D316+M316*E316</f>
        <v>3258.88714125228</v>
      </c>
      <c r="Z316" s="0" t="n">
        <f aca="false">((1-X316)*O316+X316*P316)*D316+E316*O316</f>
        <v>23.0385055500028</v>
      </c>
      <c r="AA316" s="0" t="n">
        <f aca="false">IF(D316*X316&gt;0,AA315,Q316)</f>
        <v>2</v>
      </c>
      <c r="AB316" s="0" t="n">
        <f aca="false">(X316*D316)</f>
        <v>0</v>
      </c>
      <c r="AC316" s="0" t="n">
        <f aca="false">SUM(AB$10:AB315)/K316</f>
        <v>0</v>
      </c>
      <c r="AD316" s="0" t="n">
        <f aca="false">R316*E316+D316*(X316*S316+(1-X316)*T316)</f>
        <v>-0.0820992940519614</v>
      </c>
      <c r="AE316" s="0" t="n">
        <f aca="false">Z316</f>
        <v>23.0385055500028</v>
      </c>
      <c r="AF316" s="0" t="n">
        <f aca="false">E316*O316</f>
        <v>23.0385055500028</v>
      </c>
      <c r="AG316" s="0" t="n">
        <f aca="false">((1-X316)*O316+X316*P316)*D316</f>
        <v>0</v>
      </c>
      <c r="AH316" s="0" t="n">
        <f aca="false">D316*(LN(EXP(S316)+EXP(T316)))</f>
        <v>-0</v>
      </c>
      <c r="AJ316" s="0" t="n">
        <f aca="false">$J$5</f>
        <v>10</v>
      </c>
      <c r="AK316" s="4" t="n">
        <f aca="false">AJ316+MAX(K316,AK$10:AK315)</f>
        <v>3258.88714125228</v>
      </c>
      <c r="AL316" s="5" t="n">
        <f aca="false">AK316-K316</f>
        <v>23.0385055500028</v>
      </c>
      <c r="AM316" s="0" t="n">
        <f aca="false">-G316*AL316/3600</f>
        <v>-0.0820992940519614</v>
      </c>
      <c r="AN316" s="0" t="n">
        <f aca="false">-H316*AL316/3600</f>
        <v>-0.0917204852012157</v>
      </c>
      <c r="AO316" s="0" t="n">
        <f aca="false">AM316*E316+AN316*D316</f>
        <v>-0.0820992940519614</v>
      </c>
      <c r="AP316" s="0" t="n">
        <f aca="false">AL316*D316</f>
        <v>0</v>
      </c>
      <c r="AR316" s="0" t="n">
        <f aca="false">AN316*D316</f>
        <v>-0</v>
      </c>
      <c r="AS316" s="0" t="n">
        <f aca="false">AH316-AR316</f>
        <v>0</v>
      </c>
    </row>
    <row r="317" customFormat="false" ht="12" hidden="false" customHeight="false" outlineLevel="0" collapsed="false">
      <c r="A317" s="3" t="n">
        <f aca="false">A316+1</f>
        <v>308</v>
      </c>
      <c r="B317" s="3" t="n">
        <f aca="false">IF(A317&lt;$N$4/3,0.1,(IF(A317&gt;2*$N$4/3,0.05,0.12)))</f>
        <v>0.1</v>
      </c>
      <c r="C317" s="4" t="n">
        <f aca="true">RAND()</f>
        <v>0.482056494568188</v>
      </c>
      <c r="D317" s="0" t="n">
        <f aca="false">IF((C317&gt;$M$2),1,0)</f>
        <v>0</v>
      </c>
      <c r="E317" s="0" t="n">
        <f aca="false">1-D317</f>
        <v>1</v>
      </c>
      <c r="F317" s="0" t="n">
        <f aca="true">RAND()</f>
        <v>0.0532706089544147</v>
      </c>
      <c r="G317" s="0" t="n">
        <f aca="false">7.75+F317*10</f>
        <v>8.28270608954415</v>
      </c>
      <c r="H317" s="0" t="n">
        <f aca="false">LOGINV(F317,2.64,1.139)</f>
        <v>2.22938646017</v>
      </c>
      <c r="I317" s="0" t="n">
        <v>19.5</v>
      </c>
      <c r="J317" s="4" t="n">
        <f aca="true">-LN(RAND())/B317</f>
        <v>17.7976113535363</v>
      </c>
      <c r="K317" s="4" t="n">
        <f aca="false">K316+J317</f>
        <v>3253.64624705581</v>
      </c>
      <c r="L317" s="4" t="n">
        <f aca="false">(1/$J$4)*(1+AB316)</f>
        <v>10</v>
      </c>
      <c r="M317" s="4" t="n">
        <f aca="false">L317+MAX(K317,Y$10:Y316)</f>
        <v>3268.88714125228</v>
      </c>
      <c r="N317" s="4" t="n">
        <f aca="false">K317</f>
        <v>3253.64624705581</v>
      </c>
      <c r="O317" s="4" t="n">
        <f aca="false">M317-K317</f>
        <v>15.2408941964663</v>
      </c>
      <c r="P317" s="4" t="n">
        <f aca="false">N317-K317</f>
        <v>0</v>
      </c>
      <c r="Q317" s="4" t="n">
        <f aca="false">A317-MATCH(K317,$M$9:M316,1)</f>
        <v>1</v>
      </c>
      <c r="R317" s="0" t="n">
        <f aca="false">-G317*(O317/3600)</f>
        <v>-0.0350655131031027</v>
      </c>
      <c r="S317" s="0" t="n">
        <f aca="false">-1*I317-(H317*(P317/3600))</f>
        <v>-19.5</v>
      </c>
      <c r="T317" s="0" t="n">
        <f aca="false">-H317*(O317/3600)</f>
        <v>-0.0094382897673571</v>
      </c>
      <c r="U317" s="0" t="n">
        <f aca="false">T317-S317</f>
        <v>19.4905617102326</v>
      </c>
      <c r="V317" s="0" t="n">
        <f aca="false">1/(1+EXP(U317))</f>
        <v>3.43049348251747E-009</v>
      </c>
      <c r="W317" s="0" t="n">
        <f aca="true">RAND()</f>
        <v>0.268327225004896</v>
      </c>
      <c r="X317" s="0" t="n">
        <f aca="false">IF(W317&lt;V317,1,0)</f>
        <v>0</v>
      </c>
      <c r="Y317" s="0" t="n">
        <f aca="false">(M317*(1-X317)+N317*X317)*D317+M317*E317</f>
        <v>3268.88714125228</v>
      </c>
      <c r="Z317" s="0" t="n">
        <f aca="false">((1-X317)*O317+X317*P317)*D317+E317*O317</f>
        <v>15.2408941964663</v>
      </c>
      <c r="AA317" s="0" t="n">
        <f aca="false">IF(D317*X317&gt;0,AA316,Q317)</f>
        <v>1</v>
      </c>
      <c r="AB317" s="0" t="n">
        <f aca="false">(X317*D317)</f>
        <v>0</v>
      </c>
      <c r="AC317" s="0" t="n">
        <f aca="false">SUM(AB$10:AB316)/K317</f>
        <v>0</v>
      </c>
      <c r="AD317" s="0" t="n">
        <f aca="false">R317*E317+D317*(X317*S317+(1-X317)*T317)</f>
        <v>-0.0350655131031027</v>
      </c>
      <c r="AE317" s="0" t="n">
        <f aca="false">Z317</f>
        <v>15.2408941964663</v>
      </c>
      <c r="AF317" s="0" t="n">
        <f aca="false">E317*O317</f>
        <v>15.2408941964663</v>
      </c>
      <c r="AG317" s="0" t="n">
        <f aca="false">((1-X317)*O317+X317*P317)*D317</f>
        <v>0</v>
      </c>
      <c r="AH317" s="0" t="n">
        <f aca="false">D317*(LN(EXP(S317)+EXP(T317)))</f>
        <v>-0</v>
      </c>
      <c r="AJ317" s="0" t="n">
        <f aca="false">$J$5</f>
        <v>10</v>
      </c>
      <c r="AK317" s="4" t="n">
        <f aca="false">AJ317+MAX(K317,AK$10:AK316)</f>
        <v>3268.88714125228</v>
      </c>
      <c r="AL317" s="5" t="n">
        <f aca="false">AK317-K317</f>
        <v>15.2408941964663</v>
      </c>
      <c r="AM317" s="0" t="n">
        <f aca="false">-G317*AL317/3600</f>
        <v>-0.0350655131031027</v>
      </c>
      <c r="AN317" s="0" t="n">
        <f aca="false">-H317*AL317/3600</f>
        <v>-0.0094382897673571</v>
      </c>
      <c r="AO317" s="0" t="n">
        <f aca="false">AM317*E317+AN317*D317</f>
        <v>-0.0350655131031027</v>
      </c>
      <c r="AP317" s="0" t="n">
        <f aca="false">AL317*D317</f>
        <v>0</v>
      </c>
      <c r="AR317" s="0" t="n">
        <f aca="false">AN317*D317</f>
        <v>-0</v>
      </c>
      <c r="AS317" s="0" t="n">
        <f aca="false">AH317-AR317</f>
        <v>0</v>
      </c>
    </row>
    <row r="318" customFormat="false" ht="12" hidden="false" customHeight="false" outlineLevel="0" collapsed="false">
      <c r="A318" s="3" t="n">
        <f aca="false">A317+1</f>
        <v>309</v>
      </c>
      <c r="B318" s="3" t="n">
        <f aca="false">IF(A318&lt;$N$4/3,0.1,(IF(A318&gt;2*$N$4/3,0.05,0.12)))</f>
        <v>0.1</v>
      </c>
      <c r="C318" s="4" t="n">
        <f aca="true">RAND()</f>
        <v>0.62286978530895</v>
      </c>
      <c r="D318" s="0" t="n">
        <f aca="false">IF((C318&gt;$M$2),1,0)</f>
        <v>0</v>
      </c>
      <c r="E318" s="0" t="n">
        <f aca="false">1-D318</f>
        <v>1</v>
      </c>
      <c r="F318" s="0" t="n">
        <f aca="true">RAND()</f>
        <v>0.851364926019478</v>
      </c>
      <c r="G318" s="0" t="n">
        <f aca="false">7.75+F318*10</f>
        <v>16.2636492601948</v>
      </c>
      <c r="H318" s="0" t="n">
        <f aca="false">LOGINV(F318,2.64,1.139)</f>
        <v>45.9330892596883</v>
      </c>
      <c r="I318" s="0" t="n">
        <v>19.5</v>
      </c>
      <c r="J318" s="4" t="n">
        <f aca="true">-LN(RAND())/B318</f>
        <v>2.81944044195395</v>
      </c>
      <c r="K318" s="4" t="n">
        <f aca="false">K317+J318</f>
        <v>3256.46568749777</v>
      </c>
      <c r="L318" s="4" t="n">
        <f aca="false">(1/$J$4)*(1+AB317)</f>
        <v>10</v>
      </c>
      <c r="M318" s="4" t="n">
        <f aca="false">L318+MAX(K318,Y$10:Y317)</f>
        <v>3278.88714125228</v>
      </c>
      <c r="N318" s="4" t="n">
        <f aca="false">K318</f>
        <v>3256.46568749777</v>
      </c>
      <c r="O318" s="4" t="n">
        <f aca="false">M318-K318</f>
        <v>22.4214537545122</v>
      </c>
      <c r="P318" s="4" t="n">
        <f aca="false">N318-K318</f>
        <v>0</v>
      </c>
      <c r="Q318" s="4" t="n">
        <f aca="false">A318-MATCH(K318,$M$9:M317,1)</f>
        <v>2</v>
      </c>
      <c r="R318" s="0" t="n">
        <f aca="false">-G318*(O318/3600)</f>
        <v>-0.101292961046407</v>
      </c>
      <c r="S318" s="0" t="n">
        <f aca="false">-1*I318-(H318*(P318/3600))</f>
        <v>-19.5</v>
      </c>
      <c r="T318" s="0" t="n">
        <f aca="false">-H318*(O318/3600)</f>
        <v>-0.286079621288328</v>
      </c>
      <c r="U318" s="0" t="n">
        <f aca="false">T318-S318</f>
        <v>19.2139203787117</v>
      </c>
      <c r="V318" s="0" t="n">
        <f aca="false">1/(1+EXP(U318))</f>
        <v>4.5237688089554E-009</v>
      </c>
      <c r="W318" s="0" t="n">
        <f aca="true">RAND()</f>
        <v>0.701973149787105</v>
      </c>
      <c r="X318" s="0" t="n">
        <f aca="false">IF(W318&lt;V318,1,0)</f>
        <v>0</v>
      </c>
      <c r="Y318" s="0" t="n">
        <f aca="false">(M318*(1-X318)+N318*X318)*D318+M318*E318</f>
        <v>3278.88714125228</v>
      </c>
      <c r="Z318" s="0" t="n">
        <f aca="false">((1-X318)*O318+X318*P318)*D318+E318*O318</f>
        <v>22.4214537545122</v>
      </c>
      <c r="AA318" s="0" t="n">
        <f aca="false">IF(D318*X318&gt;0,AA317,Q318)</f>
        <v>2</v>
      </c>
      <c r="AB318" s="0" t="n">
        <f aca="false">(X318*D318)</f>
        <v>0</v>
      </c>
      <c r="AC318" s="0" t="n">
        <f aca="false">SUM(AB$10:AB317)/K318</f>
        <v>0</v>
      </c>
      <c r="AD318" s="0" t="n">
        <f aca="false">R318*E318+D318*(X318*S318+(1-X318)*T318)</f>
        <v>-0.101292961046407</v>
      </c>
      <c r="AE318" s="0" t="n">
        <f aca="false">Z318</f>
        <v>22.4214537545122</v>
      </c>
      <c r="AF318" s="0" t="n">
        <f aca="false">E318*O318</f>
        <v>22.4214537545122</v>
      </c>
      <c r="AG318" s="0" t="n">
        <f aca="false">((1-X318)*O318+X318*P318)*D318</f>
        <v>0</v>
      </c>
      <c r="AH318" s="0" t="n">
        <f aca="false">D318*(LN(EXP(S318)+EXP(T318)))</f>
        <v>-0</v>
      </c>
      <c r="AJ318" s="0" t="n">
        <f aca="false">$J$5</f>
        <v>10</v>
      </c>
      <c r="AK318" s="4" t="n">
        <f aca="false">AJ318+MAX(K318,AK$10:AK317)</f>
        <v>3278.88714125228</v>
      </c>
      <c r="AL318" s="5" t="n">
        <f aca="false">AK318-K318</f>
        <v>22.4214537545122</v>
      </c>
      <c r="AM318" s="0" t="n">
        <f aca="false">-G318*AL318/3600</f>
        <v>-0.101292961046407</v>
      </c>
      <c r="AN318" s="0" t="n">
        <f aca="false">-H318*AL318/3600</f>
        <v>-0.286079621288328</v>
      </c>
      <c r="AO318" s="0" t="n">
        <f aca="false">AM318*E318+AN318*D318</f>
        <v>-0.101292961046407</v>
      </c>
      <c r="AP318" s="0" t="n">
        <f aca="false">AL318*D318</f>
        <v>0</v>
      </c>
      <c r="AR318" s="0" t="n">
        <f aca="false">AN318*D318</f>
        <v>-0</v>
      </c>
      <c r="AS318" s="0" t="n">
        <f aca="false">AH318-AR318</f>
        <v>0</v>
      </c>
    </row>
    <row r="319" customFormat="false" ht="12" hidden="false" customHeight="false" outlineLevel="0" collapsed="false">
      <c r="A319" s="3" t="n">
        <f aca="false">A318+1</f>
        <v>310</v>
      </c>
      <c r="B319" s="3" t="n">
        <f aca="false">IF(A319&lt;$N$4/3,0.1,(IF(A319&gt;2*$N$4/3,0.05,0.12)))</f>
        <v>0.1</v>
      </c>
      <c r="C319" s="4" t="n">
        <f aca="true">RAND()</f>
        <v>0.108738845279622</v>
      </c>
      <c r="D319" s="0" t="n">
        <f aca="false">IF((C319&gt;$M$2),1,0)</f>
        <v>0</v>
      </c>
      <c r="E319" s="0" t="n">
        <f aca="false">1-D319</f>
        <v>1</v>
      </c>
      <c r="F319" s="0" t="n">
        <f aca="true">RAND()</f>
        <v>0.423545258509111</v>
      </c>
      <c r="G319" s="0" t="n">
        <f aca="false">7.75+F319*10</f>
        <v>11.9854525850911</v>
      </c>
      <c r="H319" s="0" t="n">
        <f aca="false">LOGINV(F319,2.64,1.139)</f>
        <v>11.2499571135528</v>
      </c>
      <c r="I319" s="0" t="n">
        <v>19.5</v>
      </c>
      <c r="J319" s="4" t="n">
        <f aca="true">-LN(RAND())/B319</f>
        <v>1.60294266116786</v>
      </c>
      <c r="K319" s="4" t="n">
        <f aca="false">K318+J319</f>
        <v>3258.06863015893</v>
      </c>
      <c r="L319" s="4" t="n">
        <f aca="false">(1/$J$4)*(1+AB318)</f>
        <v>10</v>
      </c>
      <c r="M319" s="4" t="n">
        <f aca="false">L319+MAX(K319,Y$10:Y318)</f>
        <v>3288.88714125228</v>
      </c>
      <c r="N319" s="4" t="n">
        <f aca="false">K319</f>
        <v>3258.06863015893</v>
      </c>
      <c r="O319" s="4" t="n">
        <f aca="false">M319-K319</f>
        <v>30.8185110933441</v>
      </c>
      <c r="P319" s="4" t="n">
        <f aca="false">N319-K319</f>
        <v>0</v>
      </c>
      <c r="Q319" s="4" t="n">
        <f aca="false">A319-MATCH(K319,$M$9:M318,1)</f>
        <v>3</v>
      </c>
      <c r="R319" s="0" t="n">
        <f aca="false">-G319*(O319/3600)</f>
        <v>-0.102603834292328</v>
      </c>
      <c r="S319" s="0" t="n">
        <f aca="false">-1*I319-(H319*(P319/3600))</f>
        <v>-19.5</v>
      </c>
      <c r="T319" s="0" t="n">
        <f aca="false">-H319*(O319/3600)</f>
        <v>-0.0963074800287981</v>
      </c>
      <c r="U319" s="0" t="n">
        <f aca="false">T319-S319</f>
        <v>19.4036925199712</v>
      </c>
      <c r="V319" s="0" t="n">
        <f aca="false">1/(1+EXP(U319))</f>
        <v>3.7418244496155E-009</v>
      </c>
      <c r="W319" s="0" t="n">
        <f aca="true">RAND()</f>
        <v>0.0195233230365245</v>
      </c>
      <c r="X319" s="0" t="n">
        <f aca="false">IF(W319&lt;V319,1,0)</f>
        <v>0</v>
      </c>
      <c r="Y319" s="0" t="n">
        <f aca="false">(M319*(1-X319)+N319*X319)*D319+M319*E319</f>
        <v>3288.88714125228</v>
      </c>
      <c r="Z319" s="0" t="n">
        <f aca="false">((1-X319)*O319+X319*P319)*D319+E319*O319</f>
        <v>30.8185110933441</v>
      </c>
      <c r="AA319" s="0" t="n">
        <f aca="false">IF(D319*X319&gt;0,AA318,Q319)</f>
        <v>3</v>
      </c>
      <c r="AB319" s="0" t="n">
        <f aca="false">(X319*D319)</f>
        <v>0</v>
      </c>
      <c r="AC319" s="0" t="n">
        <f aca="false">SUM(AB$10:AB318)/K319</f>
        <v>0</v>
      </c>
      <c r="AD319" s="0" t="n">
        <f aca="false">R319*E319+D319*(X319*S319+(1-X319)*T319)</f>
        <v>-0.102603834292328</v>
      </c>
      <c r="AE319" s="0" t="n">
        <f aca="false">Z319</f>
        <v>30.8185110933441</v>
      </c>
      <c r="AF319" s="0" t="n">
        <f aca="false">E319*O319</f>
        <v>30.8185110933441</v>
      </c>
      <c r="AG319" s="0" t="n">
        <f aca="false">((1-X319)*O319+X319*P319)*D319</f>
        <v>0</v>
      </c>
      <c r="AH319" s="0" t="n">
        <f aca="false">D319*(LN(EXP(S319)+EXP(T319)))</f>
        <v>-0</v>
      </c>
      <c r="AJ319" s="0" t="n">
        <f aca="false">$J$5</f>
        <v>10</v>
      </c>
      <c r="AK319" s="4" t="n">
        <f aca="false">AJ319+MAX(K319,AK$10:AK318)</f>
        <v>3288.88714125228</v>
      </c>
      <c r="AL319" s="5" t="n">
        <f aca="false">AK319-K319</f>
        <v>30.8185110933441</v>
      </c>
      <c r="AM319" s="0" t="n">
        <f aca="false">-G319*AL319/3600</f>
        <v>-0.102603834292328</v>
      </c>
      <c r="AN319" s="0" t="n">
        <f aca="false">-H319*AL319/3600</f>
        <v>-0.0963074800287981</v>
      </c>
      <c r="AO319" s="0" t="n">
        <f aca="false">AM319*E319+AN319*D319</f>
        <v>-0.102603834292328</v>
      </c>
      <c r="AP319" s="0" t="n">
        <f aca="false">AL319*D319</f>
        <v>0</v>
      </c>
      <c r="AR319" s="0" t="n">
        <f aca="false">AN319*D319</f>
        <v>-0</v>
      </c>
      <c r="AS319" s="0" t="n">
        <f aca="false">AH319-AR319</f>
        <v>0</v>
      </c>
    </row>
    <row r="320" customFormat="false" ht="12" hidden="false" customHeight="false" outlineLevel="0" collapsed="false">
      <c r="A320" s="3" t="n">
        <f aca="false">A319+1</f>
        <v>311</v>
      </c>
      <c r="B320" s="3" t="n">
        <f aca="false">IF(A320&lt;$N$4/3,0.1,(IF(A320&gt;2*$N$4/3,0.05,0.12)))</f>
        <v>0.1</v>
      </c>
      <c r="C320" s="4" t="n">
        <f aca="true">RAND()</f>
        <v>0.564486295101302</v>
      </c>
      <c r="D320" s="0" t="n">
        <f aca="false">IF((C320&gt;$M$2),1,0)</f>
        <v>0</v>
      </c>
      <c r="E320" s="0" t="n">
        <f aca="false">1-D320</f>
        <v>1</v>
      </c>
      <c r="F320" s="0" t="n">
        <f aca="true">RAND()</f>
        <v>0.685117906349648</v>
      </c>
      <c r="G320" s="0" t="n">
        <f aca="false">7.75+F320*10</f>
        <v>14.6011790634965</v>
      </c>
      <c r="H320" s="0" t="n">
        <f aca="false">LOGINV(F320,2.64,1.139)</f>
        <v>24.2657273039732</v>
      </c>
      <c r="I320" s="0" t="n">
        <v>19.5</v>
      </c>
      <c r="J320" s="4" t="n">
        <f aca="true">-LN(RAND())/B320</f>
        <v>0.841756728635852</v>
      </c>
      <c r="K320" s="4" t="n">
        <f aca="false">K319+J320</f>
        <v>3258.91038688757</v>
      </c>
      <c r="L320" s="4" t="n">
        <f aca="false">(1/$J$4)*(1+AB319)</f>
        <v>10</v>
      </c>
      <c r="M320" s="4" t="n">
        <f aca="false">L320+MAX(K320,Y$10:Y319)</f>
        <v>3298.88714125228</v>
      </c>
      <c r="N320" s="4" t="n">
        <f aca="false">K320</f>
        <v>3258.91038688757</v>
      </c>
      <c r="O320" s="4" t="n">
        <f aca="false">M320-K320</f>
        <v>39.9767543647081</v>
      </c>
      <c r="P320" s="4" t="n">
        <f aca="false">N320-K320</f>
        <v>0</v>
      </c>
      <c r="Q320" s="4" t="n">
        <f aca="false">A320-MATCH(K320,$M$9:M319,1)</f>
        <v>3</v>
      </c>
      <c r="R320" s="0" t="n">
        <f aca="false">-G320*(O320/3600)</f>
        <v>-0.162141041349033</v>
      </c>
      <c r="S320" s="0" t="n">
        <f aca="false">-1*I320-(H320*(P320/3600))</f>
        <v>-19.5</v>
      </c>
      <c r="T320" s="0" t="n">
        <f aca="false">-H320*(O320/3600)</f>
        <v>-0.269462505531091</v>
      </c>
      <c r="U320" s="0" t="n">
        <f aca="false">T320-S320</f>
        <v>19.2305374944689</v>
      </c>
      <c r="V320" s="0" t="n">
        <f aca="false">1/(1+EXP(U320))</f>
        <v>4.44921794496139E-009</v>
      </c>
      <c r="W320" s="0" t="n">
        <f aca="true">RAND()</f>
        <v>0.707412142138286</v>
      </c>
      <c r="X320" s="0" t="n">
        <f aca="false">IF(W320&lt;V320,1,0)</f>
        <v>0</v>
      </c>
      <c r="Y320" s="0" t="n">
        <f aca="false">(M320*(1-X320)+N320*X320)*D320+M320*E320</f>
        <v>3298.88714125228</v>
      </c>
      <c r="Z320" s="0" t="n">
        <f aca="false">((1-X320)*O320+X320*P320)*D320+E320*O320</f>
        <v>39.9767543647081</v>
      </c>
      <c r="AA320" s="0" t="n">
        <f aca="false">IF(D320*X320&gt;0,AA319,Q320)</f>
        <v>3</v>
      </c>
      <c r="AB320" s="0" t="n">
        <f aca="false">(X320*D320)</f>
        <v>0</v>
      </c>
      <c r="AC320" s="0" t="n">
        <f aca="false">SUM(AB$10:AB319)/K320</f>
        <v>0</v>
      </c>
      <c r="AD320" s="0" t="n">
        <f aca="false">R320*E320+D320*(X320*S320+(1-X320)*T320)</f>
        <v>-0.162141041349033</v>
      </c>
      <c r="AE320" s="0" t="n">
        <f aca="false">Z320</f>
        <v>39.9767543647081</v>
      </c>
      <c r="AF320" s="0" t="n">
        <f aca="false">E320*O320</f>
        <v>39.9767543647081</v>
      </c>
      <c r="AG320" s="0" t="n">
        <f aca="false">((1-X320)*O320+X320*P320)*D320</f>
        <v>0</v>
      </c>
      <c r="AH320" s="0" t="n">
        <f aca="false">D320*(LN(EXP(S320)+EXP(T320)))</f>
        <v>-0</v>
      </c>
      <c r="AJ320" s="0" t="n">
        <f aca="false">$J$5</f>
        <v>10</v>
      </c>
      <c r="AK320" s="4" t="n">
        <f aca="false">AJ320+MAX(K320,AK$10:AK319)</f>
        <v>3298.88714125228</v>
      </c>
      <c r="AL320" s="5" t="n">
        <f aca="false">AK320-K320</f>
        <v>39.9767543647081</v>
      </c>
      <c r="AM320" s="0" t="n">
        <f aca="false">-G320*AL320/3600</f>
        <v>-0.162141041349033</v>
      </c>
      <c r="AN320" s="0" t="n">
        <f aca="false">-H320*AL320/3600</f>
        <v>-0.269462505531091</v>
      </c>
      <c r="AO320" s="0" t="n">
        <f aca="false">AM320*E320+AN320*D320</f>
        <v>-0.162141041349033</v>
      </c>
      <c r="AP320" s="0" t="n">
        <f aca="false">AL320*D320</f>
        <v>0</v>
      </c>
      <c r="AR320" s="0" t="n">
        <f aca="false">AN320*D320</f>
        <v>-0</v>
      </c>
      <c r="AS320" s="0" t="n">
        <f aca="false">AH320-AR320</f>
        <v>0</v>
      </c>
    </row>
    <row r="321" customFormat="false" ht="12" hidden="false" customHeight="false" outlineLevel="0" collapsed="false">
      <c r="A321" s="3" t="n">
        <f aca="false">A320+1</f>
        <v>312</v>
      </c>
      <c r="B321" s="3" t="n">
        <f aca="false">IF(A321&lt;$N$4/3,0.1,(IF(A321&gt;2*$N$4/3,0.05,0.12)))</f>
        <v>0.1</v>
      </c>
      <c r="C321" s="4" t="n">
        <f aca="true">RAND()</f>
        <v>0.103924858821118</v>
      </c>
      <c r="D321" s="0" t="n">
        <f aca="false">IF((C321&gt;$M$2),1,0)</f>
        <v>0</v>
      </c>
      <c r="E321" s="0" t="n">
        <f aca="false">1-D321</f>
        <v>1</v>
      </c>
      <c r="F321" s="0" t="n">
        <f aca="true">RAND()</f>
        <v>0.797860801420226</v>
      </c>
      <c r="G321" s="0" t="n">
        <f aca="false">7.75+F321*10</f>
        <v>15.7286080142023</v>
      </c>
      <c r="H321" s="0" t="n">
        <f aca="false">LOGINV(F321,2.64,1.139)</f>
        <v>36.2315841357883</v>
      </c>
      <c r="I321" s="0" t="n">
        <v>19.5</v>
      </c>
      <c r="J321" s="4" t="n">
        <f aca="true">-LN(RAND())/B321</f>
        <v>4.26951701803535</v>
      </c>
      <c r="K321" s="4" t="n">
        <f aca="false">K320+J321</f>
        <v>3263.17990390561</v>
      </c>
      <c r="L321" s="4" t="n">
        <f aca="false">(1/$J$4)*(1+AB320)</f>
        <v>10</v>
      </c>
      <c r="M321" s="4" t="n">
        <f aca="false">L321+MAX(K321,Y$10:Y320)</f>
        <v>3308.88714125228</v>
      </c>
      <c r="N321" s="4" t="n">
        <f aca="false">K321</f>
        <v>3263.17990390561</v>
      </c>
      <c r="O321" s="4" t="n">
        <f aca="false">M321-K321</f>
        <v>45.7072373466726</v>
      </c>
      <c r="P321" s="4" t="n">
        <f aca="false">N321-K321</f>
        <v>0</v>
      </c>
      <c r="Q321" s="4" t="n">
        <f aca="false">A321-MATCH(K321,$M$9:M320,1)</f>
        <v>4</v>
      </c>
      <c r="R321" s="0" t="n">
        <f aca="false">-G321*(O321/3600)</f>
        <v>-0.199697561010533</v>
      </c>
      <c r="S321" s="0" t="n">
        <f aca="false">-1*I321-(H321*(P321/3600))</f>
        <v>-19.5</v>
      </c>
      <c r="T321" s="0" t="n">
        <f aca="false">-H321*(O321/3600)</f>
        <v>-0.460012670983448</v>
      </c>
      <c r="U321" s="0" t="n">
        <f aca="false">T321-S321</f>
        <v>19.0399873290166</v>
      </c>
      <c r="V321" s="0" t="n">
        <f aca="false">1/(1+EXP(U321))</f>
        <v>5.38317582762752E-009</v>
      </c>
      <c r="W321" s="0" t="n">
        <f aca="true">RAND()</f>
        <v>0.71432484421171</v>
      </c>
      <c r="X321" s="0" t="n">
        <f aca="false">IF(W321&lt;V321,1,0)</f>
        <v>0</v>
      </c>
      <c r="Y321" s="0" t="n">
        <f aca="false">(M321*(1-X321)+N321*X321)*D321+M321*E321</f>
        <v>3308.88714125228</v>
      </c>
      <c r="Z321" s="0" t="n">
        <f aca="false">((1-X321)*O321+X321*P321)*D321+E321*O321</f>
        <v>45.7072373466726</v>
      </c>
      <c r="AA321" s="0" t="n">
        <f aca="false">IF(D321*X321&gt;0,AA320,Q321)</f>
        <v>4</v>
      </c>
      <c r="AB321" s="0" t="n">
        <f aca="false">(X321*D321)</f>
        <v>0</v>
      </c>
      <c r="AC321" s="0" t="n">
        <f aca="false">SUM(AB$10:AB320)/K321</f>
        <v>0</v>
      </c>
      <c r="AD321" s="0" t="n">
        <f aca="false">R321*E321+D321*(X321*S321+(1-X321)*T321)</f>
        <v>-0.199697561010533</v>
      </c>
      <c r="AE321" s="0" t="n">
        <f aca="false">Z321</f>
        <v>45.7072373466726</v>
      </c>
      <c r="AF321" s="0" t="n">
        <f aca="false">E321*O321</f>
        <v>45.7072373466726</v>
      </c>
      <c r="AG321" s="0" t="n">
        <f aca="false">((1-X321)*O321+X321*P321)*D321</f>
        <v>0</v>
      </c>
      <c r="AH321" s="0" t="n">
        <f aca="false">D321*(LN(EXP(S321)+EXP(T321)))</f>
        <v>-0</v>
      </c>
      <c r="AJ321" s="0" t="n">
        <f aca="false">$J$5</f>
        <v>10</v>
      </c>
      <c r="AK321" s="4" t="n">
        <f aca="false">AJ321+MAX(K321,AK$10:AK320)</f>
        <v>3308.88714125228</v>
      </c>
      <c r="AL321" s="5" t="n">
        <f aca="false">AK321-K321</f>
        <v>45.7072373466726</v>
      </c>
      <c r="AM321" s="0" t="n">
        <f aca="false">-G321*AL321/3600</f>
        <v>-0.199697561010533</v>
      </c>
      <c r="AN321" s="0" t="n">
        <f aca="false">-H321*AL321/3600</f>
        <v>-0.460012670983448</v>
      </c>
      <c r="AO321" s="0" t="n">
        <f aca="false">AM321*E321+AN321*D321</f>
        <v>-0.199697561010533</v>
      </c>
      <c r="AP321" s="0" t="n">
        <f aca="false">AL321*D321</f>
        <v>0</v>
      </c>
      <c r="AR321" s="0" t="n">
        <f aca="false">AN321*D321</f>
        <v>-0</v>
      </c>
      <c r="AS321" s="0" t="n">
        <f aca="false">AH321-AR321</f>
        <v>0</v>
      </c>
    </row>
    <row r="322" customFormat="false" ht="12" hidden="false" customHeight="false" outlineLevel="0" collapsed="false">
      <c r="A322" s="3" t="n">
        <f aca="false">A321+1</f>
        <v>313</v>
      </c>
      <c r="B322" s="3" t="n">
        <f aca="false">IF(A322&lt;$N$4/3,0.1,(IF(A322&gt;2*$N$4/3,0.05,0.12)))</f>
        <v>0.1</v>
      </c>
      <c r="C322" s="4" t="n">
        <f aca="true">RAND()</f>
        <v>0.944058082069231</v>
      </c>
      <c r="D322" s="0" t="n">
        <f aca="false">IF((C322&gt;$M$2),1,0)</f>
        <v>1</v>
      </c>
      <c r="E322" s="0" t="n">
        <f aca="false">1-D322</f>
        <v>0</v>
      </c>
      <c r="F322" s="0" t="n">
        <f aca="true">RAND()</f>
        <v>0.0953791546136729</v>
      </c>
      <c r="G322" s="0" t="n">
        <f aca="false">7.75+F322*10</f>
        <v>8.70379154613673</v>
      </c>
      <c r="H322" s="0" t="n">
        <f aca="false">LOGINV(F322,2.64,1.139)</f>
        <v>3.15756680677273</v>
      </c>
      <c r="I322" s="0" t="n">
        <v>19.5</v>
      </c>
      <c r="J322" s="4" t="n">
        <f aca="true">-LN(RAND())/B322</f>
        <v>1.34372692467039</v>
      </c>
      <c r="K322" s="4" t="n">
        <f aca="false">K321+J322</f>
        <v>3264.52363083028</v>
      </c>
      <c r="L322" s="4" t="n">
        <f aca="false">(1/$J$4)*(1+AB321)</f>
        <v>10</v>
      </c>
      <c r="M322" s="4" t="n">
        <f aca="false">L322+MAX(K322,Y$10:Y321)</f>
        <v>3318.88714125228</v>
      </c>
      <c r="N322" s="4" t="n">
        <f aca="false">K322</f>
        <v>3264.52363083028</v>
      </c>
      <c r="O322" s="4" t="n">
        <f aca="false">M322-K322</f>
        <v>54.363510422002</v>
      </c>
      <c r="P322" s="4" t="n">
        <f aca="false">N322-K322</f>
        <v>0</v>
      </c>
      <c r="Q322" s="4" t="n">
        <f aca="false">A322-MATCH(K322,$M$9:M321,1)</f>
        <v>5</v>
      </c>
      <c r="R322" s="0" t="n">
        <f aca="false">-G322*(O322/3600)</f>
        <v>-0.131435739563705</v>
      </c>
      <c r="S322" s="0" t="n">
        <f aca="false">-1*I322-(H322*(P322/3600))</f>
        <v>-19.5</v>
      </c>
      <c r="T322" s="0" t="n">
        <f aca="false">-H322*(O322/3600)</f>
        <v>-0.0476823377800437</v>
      </c>
      <c r="U322" s="0" t="n">
        <f aca="false">T322-S322</f>
        <v>19.45231766222</v>
      </c>
      <c r="V322" s="0" t="n">
        <f aca="false">1/(1+EXP(U322))</f>
        <v>3.56423046122815E-009</v>
      </c>
      <c r="W322" s="0" t="n">
        <f aca="true">RAND()</f>
        <v>0.413693629978568</v>
      </c>
      <c r="X322" s="0" t="n">
        <f aca="false">IF(W322&lt;V322,1,0)</f>
        <v>0</v>
      </c>
      <c r="Y322" s="0" t="n">
        <f aca="false">(M322*(1-X322)+N322*X322)*D322+M322*E322</f>
        <v>3318.88714125228</v>
      </c>
      <c r="Z322" s="0" t="n">
        <f aca="false">((1-X322)*O322+X322*P322)*D322+E322*O322</f>
        <v>54.363510422002</v>
      </c>
      <c r="AA322" s="0" t="n">
        <f aca="false">IF(D322*X322&gt;0,AA321,Q322)</f>
        <v>5</v>
      </c>
      <c r="AB322" s="0" t="n">
        <f aca="false">(X322*D322)</f>
        <v>0</v>
      </c>
      <c r="AC322" s="0" t="n">
        <f aca="false">SUM(AB$10:AB321)/K322</f>
        <v>0</v>
      </c>
      <c r="AD322" s="0" t="n">
        <f aca="false">R322*E322+D322*(X322*S322+(1-X322)*T322)</f>
        <v>-0.0476823377800437</v>
      </c>
      <c r="AE322" s="0" t="n">
        <f aca="false">Z322</f>
        <v>54.363510422002</v>
      </c>
      <c r="AF322" s="0" t="n">
        <f aca="false">E322*O322</f>
        <v>0</v>
      </c>
      <c r="AG322" s="0" t="n">
        <f aca="false">((1-X322)*O322+X322*P322)*D322</f>
        <v>54.363510422002</v>
      </c>
      <c r="AH322" s="0" t="n">
        <f aca="false">D322*(LN(EXP(S322)+EXP(T322)))</f>
        <v>-0.0476823342158132</v>
      </c>
      <c r="AJ322" s="0" t="n">
        <f aca="false">$J$5</f>
        <v>10</v>
      </c>
      <c r="AK322" s="4" t="n">
        <f aca="false">AJ322+MAX(K322,AK$10:AK321)</f>
        <v>3318.88714125228</v>
      </c>
      <c r="AL322" s="5" t="n">
        <f aca="false">AK322-K322</f>
        <v>54.363510422002</v>
      </c>
      <c r="AM322" s="0" t="n">
        <f aca="false">-G322*AL322/3600</f>
        <v>-0.131435739563705</v>
      </c>
      <c r="AN322" s="0" t="n">
        <f aca="false">-H322*AL322/3600</f>
        <v>-0.0476823377800437</v>
      </c>
      <c r="AO322" s="0" t="n">
        <f aca="false">AM322*E322+AN322*D322</f>
        <v>-0.0476823377800437</v>
      </c>
      <c r="AP322" s="0" t="n">
        <f aca="false">AL322*D322</f>
        <v>54.363510422002</v>
      </c>
      <c r="AR322" s="0" t="n">
        <f aca="false">AN322*D322</f>
        <v>-0.0476823377800437</v>
      </c>
      <c r="AS322" s="0" t="n">
        <f aca="false">AH322-AR322</f>
        <v>3.56423045938525E-009</v>
      </c>
    </row>
    <row r="323" customFormat="false" ht="12" hidden="false" customHeight="false" outlineLevel="0" collapsed="false">
      <c r="A323" s="3" t="n">
        <f aca="false">A322+1</f>
        <v>314</v>
      </c>
      <c r="B323" s="3" t="n">
        <f aca="false">IF(A323&lt;$N$4/3,0.1,(IF(A323&gt;2*$N$4/3,0.05,0.12)))</f>
        <v>0.1</v>
      </c>
      <c r="C323" s="4" t="n">
        <f aca="true">RAND()</f>
        <v>0.17439701627782</v>
      </c>
      <c r="D323" s="0" t="n">
        <f aca="false">IF((C323&gt;$M$2),1,0)</f>
        <v>0</v>
      </c>
      <c r="E323" s="0" t="n">
        <f aca="false">1-D323</f>
        <v>1</v>
      </c>
      <c r="F323" s="0" t="n">
        <f aca="true">RAND()</f>
        <v>0.695760209574579</v>
      </c>
      <c r="G323" s="0" t="n">
        <f aca="false">7.75+F323*10</f>
        <v>14.7076020957458</v>
      </c>
      <c r="H323" s="0" t="n">
        <f aca="false">LOGINV(F323,2.64,1.139)</f>
        <v>25.1145412000173</v>
      </c>
      <c r="I323" s="0" t="n">
        <v>19.5</v>
      </c>
      <c r="J323" s="4" t="n">
        <f aca="true">-LN(RAND())/B323</f>
        <v>12.933004443746</v>
      </c>
      <c r="K323" s="4" t="n">
        <f aca="false">K322+J323</f>
        <v>3277.45663527402</v>
      </c>
      <c r="L323" s="4" t="n">
        <f aca="false">(1/$J$4)*(1+AB322)</f>
        <v>10</v>
      </c>
      <c r="M323" s="4" t="n">
        <f aca="false">L323+MAX(K323,Y$10:Y322)</f>
        <v>3328.88714125228</v>
      </c>
      <c r="N323" s="4" t="n">
        <f aca="false">K323</f>
        <v>3277.45663527402</v>
      </c>
      <c r="O323" s="4" t="n">
        <f aca="false">M323-K323</f>
        <v>51.430505978256</v>
      </c>
      <c r="P323" s="4" t="n">
        <f aca="false">N323-K323</f>
        <v>0</v>
      </c>
      <c r="Q323" s="4" t="n">
        <f aca="false">A323-MATCH(K323,$M$9:M322,1)</f>
        <v>5</v>
      </c>
      <c r="R323" s="0" t="n">
        <f aca="false">-G323*(O323/3600)</f>
        <v>-0.210116504864184</v>
      </c>
      <c r="S323" s="0" t="n">
        <f aca="false">-1*I323-(H323*(P323/3600))</f>
        <v>-19.5</v>
      </c>
      <c r="T323" s="0" t="n">
        <f aca="false">-H323*(O323/3600)</f>
        <v>-0.358792655924624</v>
      </c>
      <c r="U323" s="0" t="n">
        <f aca="false">T323-S323</f>
        <v>19.1412073440754</v>
      </c>
      <c r="V323" s="0" t="n">
        <f aca="false">1/(1+EXP(U323))</f>
        <v>4.86495997273551E-009</v>
      </c>
      <c r="W323" s="0" t="n">
        <f aca="true">RAND()</f>
        <v>0.0557981646372507</v>
      </c>
      <c r="X323" s="0" t="n">
        <f aca="false">IF(W323&lt;V323,1,0)</f>
        <v>0</v>
      </c>
      <c r="Y323" s="0" t="n">
        <f aca="false">(M323*(1-X323)+N323*X323)*D323+M323*E323</f>
        <v>3328.88714125228</v>
      </c>
      <c r="Z323" s="0" t="n">
        <f aca="false">((1-X323)*O323+X323*P323)*D323+E323*O323</f>
        <v>51.430505978256</v>
      </c>
      <c r="AA323" s="0" t="n">
        <f aca="false">IF(D323*X323&gt;0,AA322,Q323)</f>
        <v>5</v>
      </c>
      <c r="AB323" s="0" t="n">
        <f aca="false">(X323*D323)</f>
        <v>0</v>
      </c>
      <c r="AC323" s="0" t="n">
        <f aca="false">SUM(AB$10:AB322)/K323</f>
        <v>0</v>
      </c>
      <c r="AD323" s="0" t="n">
        <f aca="false">R323*E323+D323*(X323*S323+(1-X323)*T323)</f>
        <v>-0.210116504864184</v>
      </c>
      <c r="AE323" s="0" t="n">
        <f aca="false">Z323</f>
        <v>51.430505978256</v>
      </c>
      <c r="AF323" s="0" t="n">
        <f aca="false">E323*O323</f>
        <v>51.430505978256</v>
      </c>
      <c r="AG323" s="0" t="n">
        <f aca="false">((1-X323)*O323+X323*P323)*D323</f>
        <v>0</v>
      </c>
      <c r="AH323" s="0" t="n">
        <f aca="false">D323*(LN(EXP(S323)+EXP(T323)))</f>
        <v>-0</v>
      </c>
      <c r="AJ323" s="0" t="n">
        <f aca="false">$J$5</f>
        <v>10</v>
      </c>
      <c r="AK323" s="4" t="n">
        <f aca="false">AJ323+MAX(K323,AK$10:AK322)</f>
        <v>3328.88714125228</v>
      </c>
      <c r="AL323" s="5" t="n">
        <f aca="false">AK323-K323</f>
        <v>51.430505978256</v>
      </c>
      <c r="AM323" s="0" t="n">
        <f aca="false">-G323*AL323/3600</f>
        <v>-0.210116504864184</v>
      </c>
      <c r="AN323" s="0" t="n">
        <f aca="false">-H323*AL323/3600</f>
        <v>-0.358792655924624</v>
      </c>
      <c r="AO323" s="0" t="n">
        <f aca="false">AM323*E323+AN323*D323</f>
        <v>-0.210116504864184</v>
      </c>
      <c r="AP323" s="0" t="n">
        <f aca="false">AL323*D323</f>
        <v>0</v>
      </c>
      <c r="AR323" s="0" t="n">
        <f aca="false">AN323*D323</f>
        <v>-0</v>
      </c>
      <c r="AS323" s="0" t="n">
        <f aca="false">AH323-AR323</f>
        <v>0</v>
      </c>
    </row>
    <row r="324" customFormat="false" ht="12" hidden="false" customHeight="false" outlineLevel="0" collapsed="false">
      <c r="A324" s="3" t="n">
        <f aca="false">A323+1</f>
        <v>315</v>
      </c>
      <c r="B324" s="3" t="n">
        <f aca="false">IF(A324&lt;$N$4/3,0.1,(IF(A324&gt;2*$N$4/3,0.05,0.12)))</f>
        <v>0.1</v>
      </c>
      <c r="C324" s="4" t="n">
        <f aca="true">RAND()</f>
        <v>0.868163858981791</v>
      </c>
      <c r="D324" s="0" t="n">
        <f aca="false">IF((C324&gt;$M$2),1,0)</f>
        <v>0</v>
      </c>
      <c r="E324" s="0" t="n">
        <f aca="false">1-D324</f>
        <v>1</v>
      </c>
      <c r="F324" s="0" t="n">
        <f aca="true">RAND()</f>
        <v>0.275835295807969</v>
      </c>
      <c r="G324" s="0" t="n">
        <f aca="false">7.75+F324*10</f>
        <v>10.5083529580797</v>
      </c>
      <c r="H324" s="0" t="n">
        <f aca="false">LOGINV(F324,2.64,1.139)</f>
        <v>7.1135427580493</v>
      </c>
      <c r="I324" s="0" t="n">
        <v>19.5</v>
      </c>
      <c r="J324" s="4" t="n">
        <f aca="true">-LN(RAND())/B324</f>
        <v>5.46654796760986</v>
      </c>
      <c r="K324" s="4" t="n">
        <f aca="false">K323+J324</f>
        <v>3282.92318324163</v>
      </c>
      <c r="L324" s="4" t="n">
        <f aca="false">(1/$J$4)*(1+AB323)</f>
        <v>10</v>
      </c>
      <c r="M324" s="4" t="n">
        <f aca="false">L324+MAX(K324,Y$10:Y323)</f>
        <v>3338.88714125228</v>
      </c>
      <c r="N324" s="4" t="n">
        <f aca="false">K324</f>
        <v>3282.92318324163</v>
      </c>
      <c r="O324" s="4" t="n">
        <f aca="false">M324-K324</f>
        <v>55.9639580106459</v>
      </c>
      <c r="P324" s="4" t="n">
        <f aca="false">N324-K324</f>
        <v>0</v>
      </c>
      <c r="Q324" s="4" t="n">
        <f aca="false">A324-MATCH(K324,$M$9:M323,1)</f>
        <v>5</v>
      </c>
      <c r="R324" s="0" t="n">
        <f aca="false">-G324*(O324/3600)</f>
        <v>-0.163358062140838</v>
      </c>
      <c r="S324" s="0" t="n">
        <f aca="false">-1*I324-(H324*(P324/3600))</f>
        <v>-19.5</v>
      </c>
      <c r="T324" s="0" t="n">
        <f aca="false">-H324*(O324/3600)</f>
        <v>-0.110583891171779</v>
      </c>
      <c r="U324" s="0" t="n">
        <f aca="false">T324-S324</f>
        <v>19.3894161088282</v>
      </c>
      <c r="V324" s="0" t="n">
        <f aca="false">1/(1+EXP(U324))</f>
        <v>3.79562741649628E-009</v>
      </c>
      <c r="W324" s="0" t="n">
        <f aca="true">RAND()</f>
        <v>0.518724272273208</v>
      </c>
      <c r="X324" s="0" t="n">
        <f aca="false">IF(W324&lt;V324,1,0)</f>
        <v>0</v>
      </c>
      <c r="Y324" s="0" t="n">
        <f aca="false">(M324*(1-X324)+N324*X324)*D324+M324*E324</f>
        <v>3338.88714125228</v>
      </c>
      <c r="Z324" s="0" t="n">
        <f aca="false">((1-X324)*O324+X324*P324)*D324+E324*O324</f>
        <v>55.9639580106459</v>
      </c>
      <c r="AA324" s="0" t="n">
        <f aca="false">IF(D324*X324&gt;0,AA323,Q324)</f>
        <v>5</v>
      </c>
      <c r="AB324" s="0" t="n">
        <f aca="false">(X324*D324)</f>
        <v>0</v>
      </c>
      <c r="AC324" s="0" t="n">
        <f aca="false">SUM(AB$10:AB323)/K324</f>
        <v>0</v>
      </c>
      <c r="AD324" s="0" t="n">
        <f aca="false">R324*E324+D324*(X324*S324+(1-X324)*T324)</f>
        <v>-0.163358062140838</v>
      </c>
      <c r="AE324" s="0" t="n">
        <f aca="false">Z324</f>
        <v>55.9639580106459</v>
      </c>
      <c r="AF324" s="0" t="n">
        <f aca="false">E324*O324</f>
        <v>55.9639580106459</v>
      </c>
      <c r="AG324" s="0" t="n">
        <f aca="false">((1-X324)*O324+X324*P324)*D324</f>
        <v>0</v>
      </c>
      <c r="AH324" s="0" t="n">
        <f aca="false">D324*(LN(EXP(S324)+EXP(T324)))</f>
        <v>-0</v>
      </c>
      <c r="AJ324" s="0" t="n">
        <f aca="false">$J$5</f>
        <v>10</v>
      </c>
      <c r="AK324" s="4" t="n">
        <f aca="false">AJ324+MAX(K324,AK$10:AK323)</f>
        <v>3338.88714125228</v>
      </c>
      <c r="AL324" s="5" t="n">
        <f aca="false">AK324-K324</f>
        <v>55.9639580106459</v>
      </c>
      <c r="AM324" s="0" t="n">
        <f aca="false">-G324*AL324/3600</f>
        <v>-0.163358062140838</v>
      </c>
      <c r="AN324" s="0" t="n">
        <f aca="false">-H324*AL324/3600</f>
        <v>-0.110583891171779</v>
      </c>
      <c r="AO324" s="0" t="n">
        <f aca="false">AM324*E324+AN324*D324</f>
        <v>-0.163358062140838</v>
      </c>
      <c r="AP324" s="0" t="n">
        <f aca="false">AL324*D324</f>
        <v>0</v>
      </c>
      <c r="AR324" s="0" t="n">
        <f aca="false">AN324*D324</f>
        <v>-0</v>
      </c>
      <c r="AS324" s="0" t="n">
        <f aca="false">AH324-AR324</f>
        <v>0</v>
      </c>
    </row>
    <row r="325" customFormat="false" ht="12" hidden="false" customHeight="false" outlineLevel="0" collapsed="false">
      <c r="A325" s="3" t="n">
        <f aca="false">A324+1</f>
        <v>316</v>
      </c>
      <c r="B325" s="3" t="n">
        <f aca="false">IF(A325&lt;$N$4/3,0.1,(IF(A325&gt;2*$N$4/3,0.05,0.12)))</f>
        <v>0.1</v>
      </c>
      <c r="C325" s="4" t="n">
        <f aca="true">RAND()</f>
        <v>0.7875011941192</v>
      </c>
      <c r="D325" s="0" t="n">
        <f aca="false">IF((C325&gt;$M$2),1,0)</f>
        <v>0</v>
      </c>
      <c r="E325" s="0" t="n">
        <f aca="false">1-D325</f>
        <v>1</v>
      </c>
      <c r="F325" s="0" t="n">
        <f aca="true">RAND()</f>
        <v>0.710385916574406</v>
      </c>
      <c r="G325" s="0" t="n">
        <f aca="false">7.75+F325*10</f>
        <v>14.8538591657441</v>
      </c>
      <c r="H325" s="0" t="n">
        <f aca="false">LOGINV(F325,2.64,1.139)</f>
        <v>26.3532001405983</v>
      </c>
      <c r="I325" s="0" t="n">
        <v>19.5</v>
      </c>
      <c r="J325" s="4" t="n">
        <f aca="true">-LN(RAND())/B325</f>
        <v>9.77208256713183</v>
      </c>
      <c r="K325" s="4" t="n">
        <f aca="false">K324+J325</f>
        <v>3292.69526580876</v>
      </c>
      <c r="L325" s="4" t="n">
        <f aca="false">(1/$J$4)*(1+AB324)</f>
        <v>10</v>
      </c>
      <c r="M325" s="4" t="n">
        <f aca="false">L325+MAX(K325,Y$10:Y324)</f>
        <v>3348.88714125228</v>
      </c>
      <c r="N325" s="4" t="n">
        <f aca="false">K325</f>
        <v>3292.69526580876</v>
      </c>
      <c r="O325" s="4" t="n">
        <f aca="false">M325-K325</f>
        <v>56.1918754435142</v>
      </c>
      <c r="P325" s="4" t="n">
        <f aca="false">N325-K325</f>
        <v>0</v>
      </c>
      <c r="Q325" s="4" t="n">
        <f aca="false">A325-MATCH(K325,$M$9:M324,1)</f>
        <v>5</v>
      </c>
      <c r="R325" s="0" t="n">
        <f aca="false">-G325*(O325/3600)</f>
        <v>-0.231851723360275</v>
      </c>
      <c r="S325" s="0" t="n">
        <f aca="false">-1*I325-(H325*(P325/3600))</f>
        <v>-19.5</v>
      </c>
      <c r="T325" s="0" t="n">
        <f aca="false">-H325*(O325/3600)</f>
        <v>-0.41134326106625</v>
      </c>
      <c r="U325" s="0" t="n">
        <f aca="false">T325-S325</f>
        <v>19.0886567389338</v>
      </c>
      <c r="V325" s="0" t="n">
        <f aca="false">1/(1+EXP(U325))</f>
        <v>5.1274532472621E-009</v>
      </c>
      <c r="W325" s="0" t="n">
        <f aca="true">RAND()</f>
        <v>0.17462729290074</v>
      </c>
      <c r="X325" s="0" t="n">
        <f aca="false">IF(W325&lt;V325,1,0)</f>
        <v>0</v>
      </c>
      <c r="Y325" s="0" t="n">
        <f aca="false">(M325*(1-X325)+N325*X325)*D325+M325*E325</f>
        <v>3348.88714125228</v>
      </c>
      <c r="Z325" s="0" t="n">
        <f aca="false">((1-X325)*O325+X325*P325)*D325+E325*O325</f>
        <v>56.1918754435142</v>
      </c>
      <c r="AA325" s="0" t="n">
        <f aca="false">IF(D325*X325&gt;0,AA324,Q325)</f>
        <v>5</v>
      </c>
      <c r="AB325" s="0" t="n">
        <f aca="false">(X325*D325)</f>
        <v>0</v>
      </c>
      <c r="AC325" s="0" t="n">
        <f aca="false">SUM(AB$10:AB324)/K325</f>
        <v>0</v>
      </c>
      <c r="AD325" s="0" t="n">
        <f aca="false">R325*E325+D325*(X325*S325+(1-X325)*T325)</f>
        <v>-0.231851723360275</v>
      </c>
      <c r="AE325" s="0" t="n">
        <f aca="false">Z325</f>
        <v>56.1918754435142</v>
      </c>
      <c r="AF325" s="0" t="n">
        <f aca="false">E325*O325</f>
        <v>56.1918754435142</v>
      </c>
      <c r="AG325" s="0" t="n">
        <f aca="false">((1-X325)*O325+X325*P325)*D325</f>
        <v>0</v>
      </c>
      <c r="AH325" s="0" t="n">
        <f aca="false">D325*(LN(EXP(S325)+EXP(T325)))</f>
        <v>-0</v>
      </c>
      <c r="AJ325" s="0" t="n">
        <f aca="false">$J$5</f>
        <v>10</v>
      </c>
      <c r="AK325" s="4" t="n">
        <f aca="false">AJ325+MAX(K325,AK$10:AK324)</f>
        <v>3348.88714125228</v>
      </c>
      <c r="AL325" s="5" t="n">
        <f aca="false">AK325-K325</f>
        <v>56.1918754435142</v>
      </c>
      <c r="AM325" s="0" t="n">
        <f aca="false">-G325*AL325/3600</f>
        <v>-0.231851723360275</v>
      </c>
      <c r="AN325" s="0" t="n">
        <f aca="false">-H325*AL325/3600</f>
        <v>-0.41134326106625</v>
      </c>
      <c r="AO325" s="0" t="n">
        <f aca="false">AM325*E325+AN325*D325</f>
        <v>-0.231851723360275</v>
      </c>
      <c r="AP325" s="0" t="n">
        <f aca="false">AL325*D325</f>
        <v>0</v>
      </c>
      <c r="AR325" s="0" t="n">
        <f aca="false">AN325*D325</f>
        <v>-0</v>
      </c>
      <c r="AS325" s="0" t="n">
        <f aca="false">AH325-AR325</f>
        <v>0</v>
      </c>
    </row>
    <row r="326" customFormat="false" ht="12" hidden="false" customHeight="false" outlineLevel="0" collapsed="false">
      <c r="A326" s="3" t="n">
        <f aca="false">A325+1</f>
        <v>317</v>
      </c>
      <c r="B326" s="3" t="n">
        <f aca="false">IF(A326&lt;$N$4/3,0.1,(IF(A326&gt;2*$N$4/3,0.05,0.12)))</f>
        <v>0.1</v>
      </c>
      <c r="C326" s="4" t="n">
        <f aca="true">RAND()</f>
        <v>0.926470644239796</v>
      </c>
      <c r="D326" s="0" t="n">
        <f aca="false">IF((C326&gt;$M$2),1,0)</f>
        <v>1</v>
      </c>
      <c r="E326" s="0" t="n">
        <f aca="false">1-D326</f>
        <v>0</v>
      </c>
      <c r="F326" s="0" t="n">
        <f aca="true">RAND()</f>
        <v>0.243884605161037</v>
      </c>
      <c r="G326" s="0" t="n">
        <f aca="false">7.75+F326*10</f>
        <v>10.1888460516104</v>
      </c>
      <c r="H326" s="0" t="n">
        <f aca="false">LOGINV(F326,2.64,1.139)</f>
        <v>6.35786104110309</v>
      </c>
      <c r="I326" s="0" t="n">
        <v>19.5</v>
      </c>
      <c r="J326" s="4" t="n">
        <f aca="true">-LN(RAND())/B326</f>
        <v>4.95732273698554</v>
      </c>
      <c r="K326" s="4" t="n">
        <f aca="false">K325+J326</f>
        <v>3297.65258854575</v>
      </c>
      <c r="L326" s="4" t="n">
        <f aca="false">(1/$J$4)*(1+AB325)</f>
        <v>10</v>
      </c>
      <c r="M326" s="4" t="n">
        <f aca="false">L326+MAX(K326,Y$10:Y325)</f>
        <v>3358.88714125228</v>
      </c>
      <c r="N326" s="4" t="n">
        <f aca="false">K326</f>
        <v>3297.65258854575</v>
      </c>
      <c r="O326" s="4" t="n">
        <f aca="false">M326-K326</f>
        <v>61.2345527065286</v>
      </c>
      <c r="P326" s="4" t="n">
        <f aca="false">N326-K326</f>
        <v>0</v>
      </c>
      <c r="Q326" s="4" t="n">
        <f aca="false">A326-MATCH(K326,$M$9:M325,1)</f>
        <v>6</v>
      </c>
      <c r="R326" s="0" t="n">
        <f aca="false">-G326*(O326/3600)</f>
        <v>-0.173308175157234</v>
      </c>
      <c r="S326" s="0" t="n">
        <f aca="false">-1*I326-(H326*(P326/3600))</f>
        <v>-19.5</v>
      </c>
      <c r="T326" s="0" t="n">
        <f aca="false">-H326*(O326/3600)</f>
        <v>-0.108144660283948</v>
      </c>
      <c r="U326" s="0" t="n">
        <f aca="false">T326-S326</f>
        <v>19.3918553397161</v>
      </c>
      <c r="V326" s="0" t="n">
        <f aca="false">1/(1+EXP(U326))</f>
        <v>3.78638028742467E-009</v>
      </c>
      <c r="W326" s="0" t="n">
        <f aca="true">RAND()</f>
        <v>0.878031086868295</v>
      </c>
      <c r="X326" s="0" t="n">
        <f aca="false">IF(W326&lt;V326,1,0)</f>
        <v>0</v>
      </c>
      <c r="Y326" s="0" t="n">
        <f aca="false">(M326*(1-X326)+N326*X326)*D326+M326*E326</f>
        <v>3358.88714125228</v>
      </c>
      <c r="Z326" s="0" t="n">
        <f aca="false">((1-X326)*O326+X326*P326)*D326+E326*O326</f>
        <v>61.2345527065286</v>
      </c>
      <c r="AA326" s="0" t="n">
        <f aca="false">IF(D326*X326&gt;0,AA325,Q326)</f>
        <v>6</v>
      </c>
      <c r="AB326" s="0" t="n">
        <f aca="false">(X326*D326)</f>
        <v>0</v>
      </c>
      <c r="AC326" s="0" t="n">
        <f aca="false">SUM(AB$10:AB325)/K326</f>
        <v>0</v>
      </c>
      <c r="AD326" s="0" t="n">
        <f aca="false">R326*E326+D326*(X326*S326+(1-X326)*T326)</f>
        <v>-0.108144660283948</v>
      </c>
      <c r="AE326" s="0" t="n">
        <f aca="false">Z326</f>
        <v>61.2345527065286</v>
      </c>
      <c r="AF326" s="0" t="n">
        <f aca="false">E326*O326</f>
        <v>0</v>
      </c>
      <c r="AG326" s="0" t="n">
        <f aca="false">((1-X326)*O326+X326*P326)*D326</f>
        <v>61.2345527065286</v>
      </c>
      <c r="AH326" s="0" t="n">
        <f aca="false">D326*(LN(EXP(S326)+EXP(T326)))</f>
        <v>-0.108144656497567</v>
      </c>
      <c r="AJ326" s="0" t="n">
        <f aca="false">$J$5</f>
        <v>10</v>
      </c>
      <c r="AK326" s="4" t="n">
        <f aca="false">AJ326+MAX(K326,AK$10:AK325)</f>
        <v>3358.88714125228</v>
      </c>
      <c r="AL326" s="5" t="n">
        <f aca="false">AK326-K326</f>
        <v>61.2345527065286</v>
      </c>
      <c r="AM326" s="0" t="n">
        <f aca="false">-G326*AL326/3600</f>
        <v>-0.173308175157234</v>
      </c>
      <c r="AN326" s="0" t="n">
        <f aca="false">-H326*AL326/3600</f>
        <v>-0.108144660283948</v>
      </c>
      <c r="AO326" s="0" t="n">
        <f aca="false">AM326*E326+AN326*D326</f>
        <v>-0.108144660283948</v>
      </c>
      <c r="AP326" s="0" t="n">
        <f aca="false">AL326*D326</f>
        <v>61.2345527065286</v>
      </c>
      <c r="AR326" s="0" t="n">
        <f aca="false">AN326*D326</f>
        <v>-0.108144660283948</v>
      </c>
      <c r="AS326" s="0" t="n">
        <f aca="false">AH326-AR326</f>
        <v>3.78638025100297E-009</v>
      </c>
    </row>
    <row r="327" customFormat="false" ht="12" hidden="false" customHeight="false" outlineLevel="0" collapsed="false">
      <c r="A327" s="3" t="n">
        <f aca="false">A326+1</f>
        <v>318</v>
      </c>
      <c r="B327" s="3" t="n">
        <f aca="false">IF(A327&lt;$N$4/3,0.1,(IF(A327&gt;2*$N$4/3,0.05,0.12)))</f>
        <v>0.1</v>
      </c>
      <c r="C327" s="4" t="n">
        <f aca="true">RAND()</f>
        <v>0.0997612904185293</v>
      </c>
      <c r="D327" s="0" t="n">
        <f aca="false">IF((C327&gt;$M$2),1,0)</f>
        <v>0</v>
      </c>
      <c r="E327" s="0" t="n">
        <f aca="false">1-D327</f>
        <v>1</v>
      </c>
      <c r="F327" s="0" t="n">
        <f aca="true">RAND()</f>
        <v>0.814099450163606</v>
      </c>
      <c r="G327" s="0" t="n">
        <f aca="false">7.75+F327*10</f>
        <v>15.8909945016361</v>
      </c>
      <c r="H327" s="0" t="n">
        <f aca="false">LOGINV(F327,2.64,1.139)</f>
        <v>38.7544763310196</v>
      </c>
      <c r="I327" s="0" t="n">
        <v>19.5</v>
      </c>
      <c r="J327" s="4" t="n">
        <f aca="true">-LN(RAND())/B327</f>
        <v>7.46238416039017</v>
      </c>
      <c r="K327" s="4" t="n">
        <f aca="false">K326+J327</f>
        <v>3305.11497270614</v>
      </c>
      <c r="L327" s="4" t="n">
        <f aca="false">(1/$J$4)*(1+AB326)</f>
        <v>10</v>
      </c>
      <c r="M327" s="4" t="n">
        <f aca="false">L327+MAX(K327,Y$10:Y326)</f>
        <v>3368.88714125228</v>
      </c>
      <c r="N327" s="4" t="n">
        <f aca="false">K327</f>
        <v>3305.11497270614</v>
      </c>
      <c r="O327" s="4" t="n">
        <f aca="false">M327-K327</f>
        <v>63.7721685461383</v>
      </c>
      <c r="P327" s="4" t="n">
        <f aca="false">N327-K327</f>
        <v>0</v>
      </c>
      <c r="Q327" s="4" t="n">
        <f aca="false">A327-MATCH(K327,$M$9:M326,1)</f>
        <v>6</v>
      </c>
      <c r="R327" s="0" t="n">
        <f aca="false">-G327*(O327/3600)</f>
        <v>-0.281500883256692</v>
      </c>
      <c r="S327" s="0" t="n">
        <f aca="false">-1*I327-(H327*(P327/3600))</f>
        <v>-19.5</v>
      </c>
      <c r="T327" s="0" t="n">
        <f aca="false">-H327*(O327/3600)</f>
        <v>-0.686515832360864</v>
      </c>
      <c r="U327" s="0" t="n">
        <f aca="false">T327-S327</f>
        <v>18.8134841676391</v>
      </c>
      <c r="V327" s="0" t="n">
        <f aca="false">1/(1+EXP(U327))</f>
        <v>6.75161450733397E-009</v>
      </c>
      <c r="W327" s="0" t="n">
        <f aca="true">RAND()</f>
        <v>0.963384662509595</v>
      </c>
      <c r="X327" s="0" t="n">
        <f aca="false">IF(W327&lt;V327,1,0)</f>
        <v>0</v>
      </c>
      <c r="Y327" s="0" t="n">
        <f aca="false">(M327*(1-X327)+N327*X327)*D327+M327*E327</f>
        <v>3368.88714125228</v>
      </c>
      <c r="Z327" s="0" t="n">
        <f aca="false">((1-X327)*O327+X327*P327)*D327+E327*O327</f>
        <v>63.7721685461383</v>
      </c>
      <c r="AA327" s="0" t="n">
        <f aca="false">IF(D327*X327&gt;0,AA326,Q327)</f>
        <v>6</v>
      </c>
      <c r="AB327" s="0" t="n">
        <f aca="false">(X327*D327)</f>
        <v>0</v>
      </c>
      <c r="AC327" s="0" t="n">
        <f aca="false">SUM(AB$10:AB326)/K327</f>
        <v>0</v>
      </c>
      <c r="AD327" s="0" t="n">
        <f aca="false">R327*E327+D327*(X327*S327+(1-X327)*T327)</f>
        <v>-0.281500883256692</v>
      </c>
      <c r="AE327" s="0" t="n">
        <f aca="false">Z327</f>
        <v>63.7721685461383</v>
      </c>
      <c r="AF327" s="0" t="n">
        <f aca="false">E327*O327</f>
        <v>63.7721685461383</v>
      </c>
      <c r="AG327" s="0" t="n">
        <f aca="false">((1-X327)*O327+X327*P327)*D327</f>
        <v>0</v>
      </c>
      <c r="AH327" s="0" t="n">
        <f aca="false">D327*(LN(EXP(S327)+EXP(T327)))</f>
        <v>-0</v>
      </c>
      <c r="AJ327" s="0" t="n">
        <f aca="false">$J$5</f>
        <v>10</v>
      </c>
      <c r="AK327" s="4" t="n">
        <f aca="false">AJ327+MAX(K327,AK$10:AK326)</f>
        <v>3368.88714125228</v>
      </c>
      <c r="AL327" s="5" t="n">
        <f aca="false">AK327-K327</f>
        <v>63.7721685461383</v>
      </c>
      <c r="AM327" s="0" t="n">
        <f aca="false">-G327*AL327/3600</f>
        <v>-0.281500883256692</v>
      </c>
      <c r="AN327" s="0" t="n">
        <f aca="false">-H327*AL327/3600</f>
        <v>-0.686515832360864</v>
      </c>
      <c r="AO327" s="0" t="n">
        <f aca="false">AM327*E327+AN327*D327</f>
        <v>-0.281500883256692</v>
      </c>
      <c r="AP327" s="0" t="n">
        <f aca="false">AL327*D327</f>
        <v>0</v>
      </c>
      <c r="AR327" s="0" t="n">
        <f aca="false">AN327*D327</f>
        <v>-0</v>
      </c>
      <c r="AS327" s="0" t="n">
        <f aca="false">AH327-AR327</f>
        <v>0</v>
      </c>
    </row>
    <row r="328" customFormat="false" ht="12" hidden="false" customHeight="false" outlineLevel="0" collapsed="false">
      <c r="A328" s="3" t="n">
        <f aca="false">A327+1</f>
        <v>319</v>
      </c>
      <c r="B328" s="3" t="n">
        <f aca="false">IF(A328&lt;$N$4/3,0.1,(IF(A328&gt;2*$N$4/3,0.05,0.12)))</f>
        <v>0.1</v>
      </c>
      <c r="C328" s="4" t="n">
        <f aca="true">RAND()</f>
        <v>0.956600352867864</v>
      </c>
      <c r="D328" s="0" t="n">
        <f aca="false">IF((C328&gt;$M$2),1,0)</f>
        <v>1</v>
      </c>
      <c r="E328" s="0" t="n">
        <f aca="false">1-D328</f>
        <v>0</v>
      </c>
      <c r="F328" s="0" t="n">
        <f aca="true">RAND()</f>
        <v>0.962440066065831</v>
      </c>
      <c r="G328" s="0" t="n">
        <f aca="false">7.75+F328*10</f>
        <v>17.3744006606583</v>
      </c>
      <c r="H328" s="0" t="n">
        <f aca="false">LOGINV(F328,2.64,1.139)</f>
        <v>106.390308844168</v>
      </c>
      <c r="I328" s="0" t="n">
        <v>19.5</v>
      </c>
      <c r="J328" s="4" t="n">
        <f aca="true">-LN(RAND())/B328</f>
        <v>14.4288221686956</v>
      </c>
      <c r="K328" s="4" t="n">
        <f aca="false">K327+J328</f>
        <v>3319.54379487484</v>
      </c>
      <c r="L328" s="4" t="n">
        <f aca="false">(1/$J$4)*(1+AB327)</f>
        <v>10</v>
      </c>
      <c r="M328" s="4" t="n">
        <f aca="false">L328+MAX(K328,Y$10:Y327)</f>
        <v>3378.88714125228</v>
      </c>
      <c r="N328" s="4" t="n">
        <f aca="false">K328</f>
        <v>3319.54379487484</v>
      </c>
      <c r="O328" s="4" t="n">
        <f aca="false">M328-K328</f>
        <v>59.3433463774427</v>
      </c>
      <c r="P328" s="4" t="n">
        <f aca="false">N328-K328</f>
        <v>0</v>
      </c>
      <c r="Q328" s="4" t="n">
        <f aca="false">A328-MATCH(K328,$M$9:M327,1)</f>
        <v>5</v>
      </c>
      <c r="R328" s="0" t="n">
        <f aca="false">-G328*(O328/3600)</f>
        <v>-0.28640418791831</v>
      </c>
      <c r="S328" s="0" t="n">
        <f aca="false">-1*I328-(H328*(P328/3600))</f>
        <v>-19.5</v>
      </c>
      <c r="T328" s="0" t="n">
        <f aca="false">-H328*(O328/3600)</f>
        <v>-1.75376581915072</v>
      </c>
      <c r="U328" s="0" t="n">
        <f aca="false">T328-S328</f>
        <v>17.7462341808493</v>
      </c>
      <c r="V328" s="0" t="n">
        <f aca="false">1/(1+EXP(U328))</f>
        <v>1.9629462698513E-008</v>
      </c>
      <c r="W328" s="0" t="n">
        <f aca="true">RAND()</f>
        <v>0.0397504779895935</v>
      </c>
      <c r="X328" s="0" t="n">
        <f aca="false">IF(W328&lt;V328,1,0)</f>
        <v>0</v>
      </c>
      <c r="Y328" s="0" t="n">
        <f aca="false">(M328*(1-X328)+N328*X328)*D328+M328*E328</f>
        <v>3378.88714125228</v>
      </c>
      <c r="Z328" s="0" t="n">
        <f aca="false">((1-X328)*O328+X328*P328)*D328+E328*O328</f>
        <v>59.3433463774427</v>
      </c>
      <c r="AA328" s="0" t="n">
        <f aca="false">IF(D328*X328&gt;0,AA327,Q328)</f>
        <v>5</v>
      </c>
      <c r="AB328" s="0" t="n">
        <f aca="false">(X328*D328)</f>
        <v>0</v>
      </c>
      <c r="AC328" s="0" t="n">
        <f aca="false">SUM(AB$10:AB327)/K328</f>
        <v>0</v>
      </c>
      <c r="AD328" s="0" t="n">
        <f aca="false">R328*E328+D328*(X328*S328+(1-X328)*T328)</f>
        <v>-1.75376581915072</v>
      </c>
      <c r="AE328" s="0" t="n">
        <f aca="false">Z328</f>
        <v>59.3433463774427</v>
      </c>
      <c r="AF328" s="0" t="n">
        <f aca="false">E328*O328</f>
        <v>0</v>
      </c>
      <c r="AG328" s="0" t="n">
        <f aca="false">((1-X328)*O328+X328*P328)*D328</f>
        <v>59.3433463774427</v>
      </c>
      <c r="AH328" s="0" t="n">
        <f aca="false">D328*(LN(EXP(S328)+EXP(T328)))</f>
        <v>-1.75376579952125</v>
      </c>
      <c r="AJ328" s="0" t="n">
        <f aca="false">$J$5</f>
        <v>10</v>
      </c>
      <c r="AK328" s="4" t="n">
        <f aca="false">AJ328+MAX(K328,AK$10:AK327)</f>
        <v>3378.88714125228</v>
      </c>
      <c r="AL328" s="5" t="n">
        <f aca="false">AK328-K328</f>
        <v>59.3433463774427</v>
      </c>
      <c r="AM328" s="0" t="n">
        <f aca="false">-G328*AL328/3600</f>
        <v>-0.28640418791831</v>
      </c>
      <c r="AN328" s="0" t="n">
        <f aca="false">-H328*AL328/3600</f>
        <v>-1.75376581915072</v>
      </c>
      <c r="AO328" s="0" t="n">
        <f aca="false">AM328*E328+AN328*D328</f>
        <v>-1.75376581915072</v>
      </c>
      <c r="AP328" s="0" t="n">
        <f aca="false">AL328*D328</f>
        <v>59.3433463774427</v>
      </c>
      <c r="AR328" s="0" t="n">
        <f aca="false">AN328*D328</f>
        <v>-1.75376581915072</v>
      </c>
      <c r="AS328" s="0" t="n">
        <f aca="false">AH328-AR328</f>
        <v>1.96294627219373E-008</v>
      </c>
    </row>
    <row r="329" customFormat="false" ht="12" hidden="false" customHeight="false" outlineLevel="0" collapsed="false">
      <c r="A329" s="3" t="n">
        <f aca="false">A328+1</f>
        <v>320</v>
      </c>
      <c r="B329" s="3" t="n">
        <f aca="false">IF(A329&lt;$N$4/3,0.1,(IF(A329&gt;2*$N$4/3,0.05,0.12)))</f>
        <v>0.1</v>
      </c>
      <c r="C329" s="4" t="n">
        <f aca="true">RAND()</f>
        <v>0.743929724868665</v>
      </c>
      <c r="D329" s="0" t="n">
        <f aca="false">IF((C329&gt;$M$2),1,0)</f>
        <v>0</v>
      </c>
      <c r="E329" s="0" t="n">
        <f aca="false">1-D329</f>
        <v>1</v>
      </c>
      <c r="F329" s="0" t="n">
        <f aca="true">RAND()</f>
        <v>0.580895939631547</v>
      </c>
      <c r="G329" s="0" t="n">
        <f aca="false">7.75+F329*10</f>
        <v>13.5589593963155</v>
      </c>
      <c r="H329" s="0" t="n">
        <f aca="false">LOGINV(F329,2.64,1.139)</f>
        <v>17.6823664726458</v>
      </c>
      <c r="I329" s="0" t="n">
        <v>19.5</v>
      </c>
      <c r="J329" s="4" t="n">
        <f aca="true">-LN(RAND())/B329</f>
        <v>36.2916399061859</v>
      </c>
      <c r="K329" s="4" t="n">
        <f aca="false">K328+J329</f>
        <v>3355.83543478102</v>
      </c>
      <c r="L329" s="4" t="n">
        <f aca="false">(1/$J$4)*(1+AB328)</f>
        <v>10</v>
      </c>
      <c r="M329" s="4" t="n">
        <f aca="false">L329+MAX(K329,Y$10:Y328)</f>
        <v>3388.88714125228</v>
      </c>
      <c r="N329" s="4" t="n">
        <f aca="false">K329</f>
        <v>3355.83543478102</v>
      </c>
      <c r="O329" s="4" t="n">
        <f aca="false">M329-K329</f>
        <v>33.0517064712567</v>
      </c>
      <c r="P329" s="4" t="n">
        <f aca="false">N329-K329</f>
        <v>0</v>
      </c>
      <c r="Q329" s="4" t="n">
        <f aca="false">A329-MATCH(K329,$M$9:M328,1)</f>
        <v>3</v>
      </c>
      <c r="R329" s="0" t="n">
        <f aca="false">-G329*(O329/3600)</f>
        <v>-0.12448520722853</v>
      </c>
      <c r="S329" s="0" t="n">
        <f aca="false">-1*I329-(H329*(P329/3600))</f>
        <v>-19.5</v>
      </c>
      <c r="T329" s="0" t="n">
        <f aca="false">-H329*(O329/3600)</f>
        <v>-0.162342329547522</v>
      </c>
      <c r="U329" s="0" t="n">
        <f aca="false">T329-S329</f>
        <v>19.3376576704525</v>
      </c>
      <c r="V329" s="0" t="n">
        <f aca="false">1/(1+EXP(U329))</f>
        <v>3.99725614702887E-009</v>
      </c>
      <c r="W329" s="0" t="n">
        <f aca="true">RAND()</f>
        <v>0.514464567876118</v>
      </c>
      <c r="X329" s="0" t="n">
        <f aca="false">IF(W329&lt;V329,1,0)</f>
        <v>0</v>
      </c>
      <c r="Y329" s="0" t="n">
        <f aca="false">(M329*(1-X329)+N329*X329)*D329+M329*E329</f>
        <v>3388.88714125228</v>
      </c>
      <c r="Z329" s="0" t="n">
        <f aca="false">((1-X329)*O329+X329*P329)*D329+E329*O329</f>
        <v>33.0517064712567</v>
      </c>
      <c r="AA329" s="0" t="n">
        <f aca="false">IF(D329*X329&gt;0,AA328,Q329)</f>
        <v>3</v>
      </c>
      <c r="AB329" s="0" t="n">
        <f aca="false">(X329*D329)</f>
        <v>0</v>
      </c>
      <c r="AC329" s="0" t="n">
        <f aca="false">SUM(AB$10:AB328)/K329</f>
        <v>0</v>
      </c>
      <c r="AD329" s="0" t="n">
        <f aca="false">R329*E329+D329*(X329*S329+(1-X329)*T329)</f>
        <v>-0.12448520722853</v>
      </c>
      <c r="AE329" s="0" t="n">
        <f aca="false">Z329</f>
        <v>33.0517064712567</v>
      </c>
      <c r="AF329" s="0" t="n">
        <f aca="false">E329*O329</f>
        <v>33.0517064712567</v>
      </c>
      <c r="AG329" s="0" t="n">
        <f aca="false">((1-X329)*O329+X329*P329)*D329</f>
        <v>0</v>
      </c>
      <c r="AH329" s="0" t="n">
        <f aca="false">D329*(LN(EXP(S329)+EXP(T329)))</f>
        <v>-0</v>
      </c>
      <c r="AJ329" s="0" t="n">
        <f aca="false">$J$5</f>
        <v>10</v>
      </c>
      <c r="AK329" s="4" t="n">
        <f aca="false">AJ329+MAX(K329,AK$10:AK328)</f>
        <v>3388.88714125228</v>
      </c>
      <c r="AL329" s="5" t="n">
        <f aca="false">AK329-K329</f>
        <v>33.0517064712567</v>
      </c>
      <c r="AM329" s="0" t="n">
        <f aca="false">-G329*AL329/3600</f>
        <v>-0.12448520722853</v>
      </c>
      <c r="AN329" s="0" t="n">
        <f aca="false">-H329*AL329/3600</f>
        <v>-0.162342329547522</v>
      </c>
      <c r="AO329" s="0" t="n">
        <f aca="false">AM329*E329+AN329*D329</f>
        <v>-0.12448520722853</v>
      </c>
      <c r="AP329" s="0" t="n">
        <f aca="false">AL329*D329</f>
        <v>0</v>
      </c>
      <c r="AR329" s="0" t="n">
        <f aca="false">AN329*D329</f>
        <v>-0</v>
      </c>
      <c r="AS329" s="0" t="n">
        <f aca="false">AH329-AR329</f>
        <v>0</v>
      </c>
    </row>
    <row r="330" customFormat="false" ht="12" hidden="false" customHeight="false" outlineLevel="0" collapsed="false">
      <c r="A330" s="3" t="n">
        <f aca="false">A329+1</f>
        <v>321</v>
      </c>
      <c r="B330" s="3" t="n">
        <f aca="false">IF(A330&lt;$N$4/3,0.1,(IF(A330&gt;2*$N$4/3,0.05,0.12)))</f>
        <v>0.1</v>
      </c>
      <c r="C330" s="4" t="n">
        <f aca="true">RAND()</f>
        <v>0.761992632437865</v>
      </c>
      <c r="D330" s="0" t="n">
        <f aca="false">IF((C330&gt;$M$2),1,0)</f>
        <v>0</v>
      </c>
      <c r="E330" s="0" t="n">
        <f aca="false">1-D330</f>
        <v>1</v>
      </c>
      <c r="F330" s="0" t="n">
        <f aca="true">RAND()</f>
        <v>0.893057464856537</v>
      </c>
      <c r="G330" s="0" t="n">
        <f aca="false">7.75+F330*10</f>
        <v>16.6805746485654</v>
      </c>
      <c r="H330" s="0" t="n">
        <f aca="false">LOGINV(F330,2.64,1.139)</f>
        <v>57.7269262457962</v>
      </c>
      <c r="I330" s="0" t="n">
        <v>19.5</v>
      </c>
      <c r="J330" s="4" t="n">
        <f aca="true">-LN(RAND())/B330</f>
        <v>13.2320470737972</v>
      </c>
      <c r="K330" s="4" t="n">
        <f aca="false">K329+J330</f>
        <v>3369.06748185482</v>
      </c>
      <c r="L330" s="4" t="n">
        <f aca="false">(1/$J$4)*(1+AB329)</f>
        <v>10</v>
      </c>
      <c r="M330" s="4" t="n">
        <f aca="false">L330+MAX(K330,Y$10:Y329)</f>
        <v>3398.88714125228</v>
      </c>
      <c r="N330" s="4" t="n">
        <f aca="false">K330</f>
        <v>3369.06748185482</v>
      </c>
      <c r="O330" s="4" t="n">
        <f aca="false">M330-K330</f>
        <v>29.8196593974594</v>
      </c>
      <c r="P330" s="4" t="n">
        <f aca="false">N330-K330</f>
        <v>0</v>
      </c>
      <c r="Q330" s="4" t="n">
        <f aca="false">A330-MATCH(K330,$M$9:M329,1)</f>
        <v>2</v>
      </c>
      <c r="R330" s="0" t="n">
        <f aca="false">-G330*(O330/3600)</f>
        <v>-0.138169181826143</v>
      </c>
      <c r="S330" s="0" t="n">
        <f aca="false">-1*I330-(H330*(P330/3600))</f>
        <v>-19.5</v>
      </c>
      <c r="T330" s="0" t="n">
        <f aca="false">-H330*(O330/3600)</f>
        <v>-0.478165910753306</v>
      </c>
      <c r="U330" s="0" t="n">
        <f aca="false">T330-S330</f>
        <v>19.0218340892467</v>
      </c>
      <c r="V330" s="0" t="n">
        <f aca="false">1/(1+EXP(U330))</f>
        <v>5.48179028646864E-009</v>
      </c>
      <c r="W330" s="0" t="n">
        <f aca="true">RAND()</f>
        <v>0.607362885289713</v>
      </c>
      <c r="X330" s="0" t="n">
        <f aca="false">IF(W330&lt;V330,1,0)</f>
        <v>0</v>
      </c>
      <c r="Y330" s="0" t="n">
        <f aca="false">(M330*(1-X330)+N330*X330)*D330+M330*E330</f>
        <v>3398.88714125228</v>
      </c>
      <c r="Z330" s="0" t="n">
        <f aca="false">((1-X330)*O330+X330*P330)*D330+E330*O330</f>
        <v>29.8196593974594</v>
      </c>
      <c r="AA330" s="0" t="n">
        <f aca="false">IF(D330*X330&gt;0,AA329,Q330)</f>
        <v>2</v>
      </c>
      <c r="AB330" s="0" t="n">
        <f aca="false">(X330*D330)</f>
        <v>0</v>
      </c>
      <c r="AC330" s="0" t="n">
        <f aca="false">SUM(AB$10:AB329)/K330</f>
        <v>0</v>
      </c>
      <c r="AD330" s="0" t="n">
        <f aca="false">R330*E330+D330*(X330*S330+(1-X330)*T330)</f>
        <v>-0.138169181826143</v>
      </c>
      <c r="AE330" s="0" t="n">
        <f aca="false">Z330</f>
        <v>29.8196593974594</v>
      </c>
      <c r="AF330" s="0" t="n">
        <f aca="false">E330*O330</f>
        <v>29.8196593974594</v>
      </c>
      <c r="AG330" s="0" t="n">
        <f aca="false">((1-X330)*O330+X330*P330)*D330</f>
        <v>0</v>
      </c>
      <c r="AH330" s="0" t="n">
        <f aca="false">D330*(LN(EXP(S330)+EXP(T330)))</f>
        <v>-0</v>
      </c>
      <c r="AJ330" s="0" t="n">
        <f aca="false">$J$5</f>
        <v>10</v>
      </c>
      <c r="AK330" s="4" t="n">
        <f aca="false">AJ330+MAX(K330,AK$10:AK329)</f>
        <v>3398.88714125228</v>
      </c>
      <c r="AL330" s="5" t="n">
        <f aca="false">AK330-K330</f>
        <v>29.8196593974594</v>
      </c>
      <c r="AM330" s="0" t="n">
        <f aca="false">-G330*AL330/3600</f>
        <v>-0.138169181826143</v>
      </c>
      <c r="AN330" s="0" t="n">
        <f aca="false">-H330*AL330/3600</f>
        <v>-0.478165910753306</v>
      </c>
      <c r="AO330" s="0" t="n">
        <f aca="false">AM330*E330+AN330*D330</f>
        <v>-0.138169181826143</v>
      </c>
      <c r="AP330" s="0" t="n">
        <f aca="false">AL330*D330</f>
        <v>0</v>
      </c>
      <c r="AR330" s="0" t="n">
        <f aca="false">AN330*D330</f>
        <v>-0</v>
      </c>
      <c r="AS330" s="0" t="n">
        <f aca="false">AH330-AR330</f>
        <v>0</v>
      </c>
    </row>
    <row r="331" customFormat="false" ht="12" hidden="false" customHeight="false" outlineLevel="0" collapsed="false">
      <c r="A331" s="3" t="n">
        <f aca="false">A330+1</f>
        <v>322</v>
      </c>
      <c r="B331" s="3" t="n">
        <f aca="false">IF(A331&lt;$N$4/3,0.1,(IF(A331&gt;2*$N$4/3,0.05,0.12)))</f>
        <v>0.1</v>
      </c>
      <c r="C331" s="4" t="n">
        <f aca="true">RAND()</f>
        <v>0.133270333909456</v>
      </c>
      <c r="D331" s="0" t="n">
        <f aca="false">IF((C331&gt;$M$2),1,0)</f>
        <v>0</v>
      </c>
      <c r="E331" s="0" t="n">
        <f aca="false">1-D331</f>
        <v>1</v>
      </c>
      <c r="F331" s="0" t="n">
        <f aca="true">RAND()</f>
        <v>0.809919793770047</v>
      </c>
      <c r="G331" s="0" t="n">
        <f aca="false">7.75+F331*10</f>
        <v>15.8491979377005</v>
      </c>
      <c r="H331" s="0" t="n">
        <f aca="false">LOGINV(F331,2.64,1.139)</f>
        <v>38.0761184989314</v>
      </c>
      <c r="I331" s="0" t="n">
        <v>19.5</v>
      </c>
      <c r="J331" s="4" t="n">
        <f aca="true">-LN(RAND())/B331</f>
        <v>4.01008093761193</v>
      </c>
      <c r="K331" s="4" t="n">
        <f aca="false">K330+J331</f>
        <v>3373.07756279243</v>
      </c>
      <c r="L331" s="4" t="n">
        <f aca="false">(1/$J$4)*(1+AB330)</f>
        <v>10</v>
      </c>
      <c r="M331" s="4" t="n">
        <f aca="false">L331+MAX(K331,Y$10:Y330)</f>
        <v>3408.88714125228</v>
      </c>
      <c r="N331" s="4" t="n">
        <f aca="false">K331</f>
        <v>3373.07756279243</v>
      </c>
      <c r="O331" s="4" t="n">
        <f aca="false">M331-K331</f>
        <v>35.8095784598477</v>
      </c>
      <c r="P331" s="4" t="n">
        <f aca="false">N331-K331</f>
        <v>0</v>
      </c>
      <c r="Q331" s="4" t="n">
        <f aca="false">A331-MATCH(K331,$M$9:M330,1)</f>
        <v>3</v>
      </c>
      <c r="R331" s="0" t="n">
        <f aca="false">-G331*(O331/3600)</f>
        <v>-0.157653638076595</v>
      </c>
      <c r="S331" s="0" t="n">
        <f aca="false">-1*I331-(H331*(P331/3600))</f>
        <v>-19.5</v>
      </c>
      <c r="T331" s="0" t="n">
        <f aca="false">-H331*(O331/3600)</f>
        <v>-0.378747153564984</v>
      </c>
      <c r="U331" s="0" t="n">
        <f aca="false">T331-S331</f>
        <v>19.121252846435</v>
      </c>
      <c r="V331" s="0" t="n">
        <f aca="false">1/(1+EXP(U331))</f>
        <v>4.96301284894113E-009</v>
      </c>
      <c r="W331" s="0" t="n">
        <f aca="true">RAND()</f>
        <v>0.72961615372579</v>
      </c>
      <c r="X331" s="0" t="n">
        <f aca="false">IF(W331&lt;V331,1,0)</f>
        <v>0</v>
      </c>
      <c r="Y331" s="0" t="n">
        <f aca="false">(M331*(1-X331)+N331*X331)*D331+M331*E331</f>
        <v>3408.88714125228</v>
      </c>
      <c r="Z331" s="0" t="n">
        <f aca="false">((1-X331)*O331+X331*P331)*D331+E331*O331</f>
        <v>35.8095784598477</v>
      </c>
      <c r="AA331" s="0" t="n">
        <f aca="false">IF(D331*X331&gt;0,AA330,Q331)</f>
        <v>3</v>
      </c>
      <c r="AB331" s="0" t="n">
        <f aca="false">(X331*D331)</f>
        <v>0</v>
      </c>
      <c r="AC331" s="0" t="n">
        <f aca="false">SUM(AB$10:AB330)/K331</f>
        <v>0</v>
      </c>
      <c r="AD331" s="0" t="n">
        <f aca="false">R331*E331+D331*(X331*S331+(1-X331)*T331)</f>
        <v>-0.157653638076595</v>
      </c>
      <c r="AE331" s="0" t="n">
        <f aca="false">Z331</f>
        <v>35.8095784598477</v>
      </c>
      <c r="AF331" s="0" t="n">
        <f aca="false">E331*O331</f>
        <v>35.8095784598477</v>
      </c>
      <c r="AG331" s="0" t="n">
        <f aca="false">((1-X331)*O331+X331*P331)*D331</f>
        <v>0</v>
      </c>
      <c r="AH331" s="0" t="n">
        <f aca="false">D331*(LN(EXP(S331)+EXP(T331)))</f>
        <v>-0</v>
      </c>
      <c r="AJ331" s="0" t="n">
        <f aca="false">$J$5</f>
        <v>10</v>
      </c>
      <c r="AK331" s="4" t="n">
        <f aca="false">AJ331+MAX(K331,AK$10:AK330)</f>
        <v>3408.88714125228</v>
      </c>
      <c r="AL331" s="5" t="n">
        <f aca="false">AK331-K331</f>
        <v>35.8095784598477</v>
      </c>
      <c r="AM331" s="0" t="n">
        <f aca="false">-G331*AL331/3600</f>
        <v>-0.157653638076595</v>
      </c>
      <c r="AN331" s="0" t="n">
        <f aca="false">-H331*AL331/3600</f>
        <v>-0.378747153564984</v>
      </c>
      <c r="AO331" s="0" t="n">
        <f aca="false">AM331*E331+AN331*D331</f>
        <v>-0.157653638076595</v>
      </c>
      <c r="AP331" s="0" t="n">
        <f aca="false">AL331*D331</f>
        <v>0</v>
      </c>
      <c r="AR331" s="0" t="n">
        <f aca="false">AN331*D331</f>
        <v>-0</v>
      </c>
      <c r="AS331" s="0" t="n">
        <f aca="false">AH331-AR331</f>
        <v>0</v>
      </c>
    </row>
    <row r="332" customFormat="false" ht="12" hidden="false" customHeight="false" outlineLevel="0" collapsed="false">
      <c r="A332" s="3" t="n">
        <f aca="false">A331+1</f>
        <v>323</v>
      </c>
      <c r="B332" s="3" t="n">
        <f aca="false">IF(A332&lt;$N$4/3,0.1,(IF(A332&gt;2*$N$4/3,0.05,0.12)))</f>
        <v>0.1</v>
      </c>
      <c r="C332" s="4" t="n">
        <f aca="true">RAND()</f>
        <v>0.856077510567413</v>
      </c>
      <c r="D332" s="0" t="n">
        <f aca="false">IF((C332&gt;$M$2),1,0)</f>
        <v>0</v>
      </c>
      <c r="E332" s="0" t="n">
        <f aca="false">1-D332</f>
        <v>1</v>
      </c>
      <c r="F332" s="0" t="n">
        <f aca="true">RAND()</f>
        <v>0.514026800982712</v>
      </c>
      <c r="G332" s="0" t="n">
        <f aca="false">7.75+F332*10</f>
        <v>12.8902680098271</v>
      </c>
      <c r="H332" s="0" t="n">
        <f aca="false">LOGINV(F332,2.64,1.139)</f>
        <v>14.585902315444</v>
      </c>
      <c r="I332" s="0" t="n">
        <v>19.5</v>
      </c>
      <c r="J332" s="4" t="n">
        <f aca="true">-LN(RAND())/B332</f>
        <v>4.86845995303967</v>
      </c>
      <c r="K332" s="4" t="n">
        <f aca="false">K331+J332</f>
        <v>3377.94602274547</v>
      </c>
      <c r="L332" s="4" t="n">
        <f aca="false">(1/$J$4)*(1+AB331)</f>
        <v>10</v>
      </c>
      <c r="M332" s="4" t="n">
        <f aca="false">L332+MAX(K332,Y$10:Y331)</f>
        <v>3418.88714125228</v>
      </c>
      <c r="N332" s="4" t="n">
        <f aca="false">K332</f>
        <v>3377.94602274547</v>
      </c>
      <c r="O332" s="4" t="n">
        <f aca="false">M332-K332</f>
        <v>40.9411185068079</v>
      </c>
      <c r="P332" s="4" t="n">
        <f aca="false">N332-K332</f>
        <v>0</v>
      </c>
      <c r="Q332" s="4" t="n">
        <f aca="false">A332-MATCH(K332,$M$9:M331,1)</f>
        <v>4</v>
      </c>
      <c r="R332" s="0" t="n">
        <f aca="false">-G332*(O332/3600)</f>
        <v>-0.146594997270791</v>
      </c>
      <c r="S332" s="0" t="n">
        <f aca="false">-1*I332-(H332*(P332/3600))</f>
        <v>-19.5</v>
      </c>
      <c r="T332" s="0" t="n">
        <f aca="false">-H332*(O332/3600)</f>
        <v>-0.165878654229254</v>
      </c>
      <c r="U332" s="0" t="n">
        <f aca="false">T332-S332</f>
        <v>19.3341213457707</v>
      </c>
      <c r="V332" s="0" t="n">
        <f aca="false">1/(1+EXP(U332))</f>
        <v>4.01141676606017E-009</v>
      </c>
      <c r="W332" s="0" t="n">
        <f aca="true">RAND()</f>
        <v>0.922971684633021</v>
      </c>
      <c r="X332" s="0" t="n">
        <f aca="false">IF(W332&lt;V332,1,0)</f>
        <v>0</v>
      </c>
      <c r="Y332" s="0" t="n">
        <f aca="false">(M332*(1-X332)+N332*X332)*D332+M332*E332</f>
        <v>3418.88714125228</v>
      </c>
      <c r="Z332" s="0" t="n">
        <f aca="false">((1-X332)*O332+X332*P332)*D332+E332*O332</f>
        <v>40.9411185068079</v>
      </c>
      <c r="AA332" s="0" t="n">
        <f aca="false">IF(D332*X332&gt;0,AA331,Q332)</f>
        <v>4</v>
      </c>
      <c r="AB332" s="0" t="n">
        <f aca="false">(X332*D332)</f>
        <v>0</v>
      </c>
      <c r="AC332" s="0" t="n">
        <f aca="false">SUM(AB$10:AB331)/K332</f>
        <v>0</v>
      </c>
      <c r="AD332" s="0" t="n">
        <f aca="false">R332*E332+D332*(X332*S332+(1-X332)*T332)</f>
        <v>-0.146594997270791</v>
      </c>
      <c r="AE332" s="0" t="n">
        <f aca="false">Z332</f>
        <v>40.9411185068079</v>
      </c>
      <c r="AF332" s="0" t="n">
        <f aca="false">E332*O332</f>
        <v>40.9411185068079</v>
      </c>
      <c r="AG332" s="0" t="n">
        <f aca="false">((1-X332)*O332+X332*P332)*D332</f>
        <v>0</v>
      </c>
      <c r="AH332" s="0" t="n">
        <f aca="false">D332*(LN(EXP(S332)+EXP(T332)))</f>
        <v>-0</v>
      </c>
      <c r="AJ332" s="0" t="n">
        <f aca="false">$J$5</f>
        <v>10</v>
      </c>
      <c r="AK332" s="4" t="n">
        <f aca="false">AJ332+MAX(K332,AK$10:AK331)</f>
        <v>3418.88714125228</v>
      </c>
      <c r="AL332" s="5" t="n">
        <f aca="false">AK332-K332</f>
        <v>40.9411185068079</v>
      </c>
      <c r="AM332" s="0" t="n">
        <f aca="false">-G332*AL332/3600</f>
        <v>-0.146594997270791</v>
      </c>
      <c r="AN332" s="0" t="n">
        <f aca="false">-H332*AL332/3600</f>
        <v>-0.165878654229254</v>
      </c>
      <c r="AO332" s="0" t="n">
        <f aca="false">AM332*E332+AN332*D332</f>
        <v>-0.146594997270791</v>
      </c>
      <c r="AP332" s="0" t="n">
        <f aca="false">AL332*D332</f>
        <v>0</v>
      </c>
      <c r="AR332" s="0" t="n">
        <f aca="false">AN332*D332</f>
        <v>-0</v>
      </c>
      <c r="AS332" s="0" t="n">
        <f aca="false">AH332-AR332</f>
        <v>0</v>
      </c>
    </row>
    <row r="333" customFormat="false" ht="12" hidden="false" customHeight="false" outlineLevel="0" collapsed="false">
      <c r="A333" s="3" t="n">
        <f aca="false">A332+1</f>
        <v>324</v>
      </c>
      <c r="B333" s="3" t="n">
        <f aca="false">IF(A333&lt;$N$4/3,0.1,(IF(A333&gt;2*$N$4/3,0.05,0.12)))</f>
        <v>0.1</v>
      </c>
      <c r="C333" s="4" t="n">
        <f aca="true">RAND()</f>
        <v>0.165084540875335</v>
      </c>
      <c r="D333" s="0" t="n">
        <f aca="false">IF((C333&gt;$M$2),1,0)</f>
        <v>0</v>
      </c>
      <c r="E333" s="0" t="n">
        <f aca="false">1-D333</f>
        <v>1</v>
      </c>
      <c r="F333" s="0" t="n">
        <f aca="true">RAND()</f>
        <v>0.416917676352316</v>
      </c>
      <c r="G333" s="0" t="n">
        <f aca="false">7.75+F333*10</f>
        <v>11.9191767635232</v>
      </c>
      <c r="H333" s="0" t="n">
        <f aca="false">LOGINV(F333,2.64,1.139)</f>
        <v>11.0348086362279</v>
      </c>
      <c r="I333" s="0" t="n">
        <v>19.5</v>
      </c>
      <c r="J333" s="4" t="n">
        <f aca="true">-LN(RAND())/B333</f>
        <v>8.37836557335875</v>
      </c>
      <c r="K333" s="4" t="n">
        <f aca="false">K332+J333</f>
        <v>3386.32438831883</v>
      </c>
      <c r="L333" s="4" t="n">
        <f aca="false">(1/$J$4)*(1+AB332)</f>
        <v>10</v>
      </c>
      <c r="M333" s="4" t="n">
        <f aca="false">L333+MAX(K333,Y$10:Y332)</f>
        <v>3428.88714125228</v>
      </c>
      <c r="N333" s="4" t="n">
        <f aca="false">K333</f>
        <v>3386.32438831883</v>
      </c>
      <c r="O333" s="4" t="n">
        <f aca="false">M333-K333</f>
        <v>42.5627529334493</v>
      </c>
      <c r="P333" s="4" t="n">
        <f aca="false">N333-K333</f>
        <v>0</v>
      </c>
      <c r="Q333" s="4" t="n">
        <f aca="false">A333-MATCH(K333,$M$9:M332,1)</f>
        <v>4</v>
      </c>
      <c r="R333" s="0" t="n">
        <f aca="false">-G333*(O333/3600)</f>
        <v>-0.140920271043318</v>
      </c>
      <c r="S333" s="0" t="n">
        <f aca="false">-1*I333-(H333*(P333/3600))</f>
        <v>-19.5</v>
      </c>
      <c r="T333" s="0" t="n">
        <f aca="false">-H333*(O333/3600)</f>
        <v>-0.130464398236572</v>
      </c>
      <c r="U333" s="0" t="n">
        <f aca="false">T333-S333</f>
        <v>19.3695356017634</v>
      </c>
      <c r="V333" s="0" t="n">
        <f aca="false">1/(1+EXP(U333))</f>
        <v>3.87184149090901E-009</v>
      </c>
      <c r="W333" s="0" t="n">
        <f aca="true">RAND()</f>
        <v>0.430259879511277</v>
      </c>
      <c r="X333" s="0" t="n">
        <f aca="false">IF(W333&lt;V333,1,0)</f>
        <v>0</v>
      </c>
      <c r="Y333" s="0" t="n">
        <f aca="false">(M333*(1-X333)+N333*X333)*D333+M333*E333</f>
        <v>3428.88714125228</v>
      </c>
      <c r="Z333" s="0" t="n">
        <f aca="false">((1-X333)*O333+X333*P333)*D333+E333*O333</f>
        <v>42.5627529334493</v>
      </c>
      <c r="AA333" s="0" t="n">
        <f aca="false">IF(D333*X333&gt;0,AA332,Q333)</f>
        <v>4</v>
      </c>
      <c r="AB333" s="0" t="n">
        <f aca="false">(X333*D333)</f>
        <v>0</v>
      </c>
      <c r="AC333" s="0" t="n">
        <f aca="false">SUM(AB$10:AB332)/K333</f>
        <v>0</v>
      </c>
      <c r="AD333" s="0" t="n">
        <f aca="false">R333*E333+D333*(X333*S333+(1-X333)*T333)</f>
        <v>-0.140920271043318</v>
      </c>
      <c r="AE333" s="0" t="n">
        <f aca="false">Z333</f>
        <v>42.5627529334493</v>
      </c>
      <c r="AF333" s="0" t="n">
        <f aca="false">E333*O333</f>
        <v>42.5627529334493</v>
      </c>
      <c r="AG333" s="0" t="n">
        <f aca="false">((1-X333)*O333+X333*P333)*D333</f>
        <v>0</v>
      </c>
      <c r="AH333" s="0" t="n">
        <f aca="false">D333*(LN(EXP(S333)+EXP(T333)))</f>
        <v>-0</v>
      </c>
      <c r="AJ333" s="0" t="n">
        <f aca="false">$J$5</f>
        <v>10</v>
      </c>
      <c r="AK333" s="4" t="n">
        <f aca="false">AJ333+MAX(K333,AK$10:AK332)</f>
        <v>3428.88714125228</v>
      </c>
      <c r="AL333" s="5" t="n">
        <f aca="false">AK333-K333</f>
        <v>42.5627529334493</v>
      </c>
      <c r="AM333" s="0" t="n">
        <f aca="false">-G333*AL333/3600</f>
        <v>-0.140920271043318</v>
      </c>
      <c r="AN333" s="0" t="n">
        <f aca="false">-H333*AL333/3600</f>
        <v>-0.130464398236572</v>
      </c>
      <c r="AO333" s="0" t="n">
        <f aca="false">AM333*E333+AN333*D333</f>
        <v>-0.140920271043318</v>
      </c>
      <c r="AP333" s="0" t="n">
        <f aca="false">AL333*D333</f>
        <v>0</v>
      </c>
      <c r="AR333" s="0" t="n">
        <f aca="false">AN333*D333</f>
        <v>-0</v>
      </c>
      <c r="AS333" s="0" t="n">
        <f aca="false">AH333-AR333</f>
        <v>0</v>
      </c>
    </row>
    <row r="334" customFormat="false" ht="12" hidden="false" customHeight="false" outlineLevel="0" collapsed="false">
      <c r="A334" s="3" t="n">
        <f aca="false">A333+1</f>
        <v>325</v>
      </c>
      <c r="B334" s="3" t="n">
        <f aca="false">IF(A334&lt;$N$4/3,0.1,(IF(A334&gt;2*$N$4/3,0.05,0.12)))</f>
        <v>0.1</v>
      </c>
      <c r="C334" s="4" t="n">
        <f aca="true">RAND()</f>
        <v>0.602728090461756</v>
      </c>
      <c r="D334" s="0" t="n">
        <f aca="false">IF((C334&gt;$M$2),1,0)</f>
        <v>0</v>
      </c>
      <c r="E334" s="0" t="n">
        <f aca="false">1-D334</f>
        <v>1</v>
      </c>
      <c r="F334" s="0" t="n">
        <f aca="true">RAND()</f>
        <v>0.249600877134984</v>
      </c>
      <c r="G334" s="0" t="n">
        <f aca="false">7.75+F334*10</f>
        <v>10.2460087713498</v>
      </c>
      <c r="H334" s="0" t="n">
        <f aca="false">LOGINV(F334,2.64,1.139)</f>
        <v>6.49040543845424</v>
      </c>
      <c r="I334" s="0" t="n">
        <v>19.5</v>
      </c>
      <c r="J334" s="4" t="n">
        <f aca="true">-LN(RAND())/B334</f>
        <v>39.8996586922607</v>
      </c>
      <c r="K334" s="4" t="n">
        <f aca="false">K333+J334</f>
        <v>3426.22404701109</v>
      </c>
      <c r="L334" s="4" t="n">
        <f aca="false">(1/$J$4)*(1+AB333)</f>
        <v>10</v>
      </c>
      <c r="M334" s="4" t="n">
        <f aca="false">L334+MAX(K334,Y$10:Y333)</f>
        <v>3438.88714125228</v>
      </c>
      <c r="N334" s="4" t="n">
        <f aca="false">K334</f>
        <v>3426.22404701109</v>
      </c>
      <c r="O334" s="4" t="n">
        <f aca="false">M334-K334</f>
        <v>12.6630942411884</v>
      </c>
      <c r="P334" s="4" t="n">
        <f aca="false">N334-K334</f>
        <v>0</v>
      </c>
      <c r="Q334" s="4" t="n">
        <f aca="false">A334-MATCH(K334,$M$9:M333,1)</f>
        <v>1</v>
      </c>
      <c r="R334" s="0" t="n">
        <f aca="false">-G334*(O334/3600)</f>
        <v>-0.0360406040743463</v>
      </c>
      <c r="S334" s="0" t="n">
        <f aca="false">-1*I334-(H334*(P334/3600))</f>
        <v>-19.5</v>
      </c>
      <c r="T334" s="0" t="n">
        <f aca="false">-H334*(O334/3600)</f>
        <v>-0.0228301710362967</v>
      </c>
      <c r="U334" s="0" t="n">
        <f aca="false">T334-S334</f>
        <v>19.4771698289637</v>
      </c>
      <c r="V334" s="0" t="n">
        <f aca="false">1/(1+EXP(U334))</f>
        <v>3.47674323817765E-009</v>
      </c>
      <c r="W334" s="0" t="n">
        <f aca="true">RAND()</f>
        <v>0.418749297393635</v>
      </c>
      <c r="X334" s="0" t="n">
        <f aca="false">IF(W334&lt;V334,1,0)</f>
        <v>0</v>
      </c>
      <c r="Y334" s="0" t="n">
        <f aca="false">(M334*(1-X334)+N334*X334)*D334+M334*E334</f>
        <v>3438.88714125228</v>
      </c>
      <c r="Z334" s="0" t="n">
        <f aca="false">((1-X334)*O334+X334*P334)*D334+E334*O334</f>
        <v>12.6630942411884</v>
      </c>
      <c r="AA334" s="0" t="n">
        <f aca="false">IF(D334*X334&gt;0,AA333,Q334)</f>
        <v>1</v>
      </c>
      <c r="AB334" s="0" t="n">
        <f aca="false">(X334*D334)</f>
        <v>0</v>
      </c>
      <c r="AC334" s="0" t="n">
        <f aca="false">SUM(AB$10:AB333)/K334</f>
        <v>0</v>
      </c>
      <c r="AD334" s="0" t="n">
        <f aca="false">R334*E334+D334*(X334*S334+(1-X334)*T334)</f>
        <v>-0.0360406040743463</v>
      </c>
      <c r="AE334" s="0" t="n">
        <f aca="false">Z334</f>
        <v>12.6630942411884</v>
      </c>
      <c r="AF334" s="0" t="n">
        <f aca="false">E334*O334</f>
        <v>12.6630942411884</v>
      </c>
      <c r="AG334" s="0" t="n">
        <f aca="false">((1-X334)*O334+X334*P334)*D334</f>
        <v>0</v>
      </c>
      <c r="AH334" s="0" t="n">
        <f aca="false">D334*(LN(EXP(S334)+EXP(T334)))</f>
        <v>-0</v>
      </c>
      <c r="AJ334" s="0" t="n">
        <f aca="false">$J$5</f>
        <v>10</v>
      </c>
      <c r="AK334" s="4" t="n">
        <f aca="false">AJ334+MAX(K334,AK$10:AK333)</f>
        <v>3438.88714125228</v>
      </c>
      <c r="AL334" s="5" t="n">
        <f aca="false">AK334-K334</f>
        <v>12.6630942411884</v>
      </c>
      <c r="AM334" s="0" t="n">
        <f aca="false">-G334*AL334/3600</f>
        <v>-0.0360406040743463</v>
      </c>
      <c r="AN334" s="0" t="n">
        <f aca="false">-H334*AL334/3600</f>
        <v>-0.0228301710362967</v>
      </c>
      <c r="AO334" s="0" t="n">
        <f aca="false">AM334*E334+AN334*D334</f>
        <v>-0.0360406040743463</v>
      </c>
      <c r="AP334" s="0" t="n">
        <f aca="false">AL334*D334</f>
        <v>0</v>
      </c>
      <c r="AR334" s="0" t="n">
        <f aca="false">AN334*D334</f>
        <v>-0</v>
      </c>
      <c r="AS334" s="0" t="n">
        <f aca="false">AH334-AR334</f>
        <v>0</v>
      </c>
    </row>
    <row r="335" customFormat="false" ht="12" hidden="false" customHeight="false" outlineLevel="0" collapsed="false">
      <c r="A335" s="3" t="n">
        <f aca="false">A334+1</f>
        <v>326</v>
      </c>
      <c r="B335" s="3" t="n">
        <f aca="false">IF(A335&lt;$N$4/3,0.1,(IF(A335&gt;2*$N$4/3,0.05,0.12)))</f>
        <v>0.1</v>
      </c>
      <c r="C335" s="4" t="n">
        <f aca="true">RAND()</f>
        <v>0.397553643536554</v>
      </c>
      <c r="D335" s="0" t="n">
        <f aca="false">IF((C335&gt;$M$2),1,0)</f>
        <v>0</v>
      </c>
      <c r="E335" s="0" t="n">
        <f aca="false">1-D335</f>
        <v>1</v>
      </c>
      <c r="F335" s="0" t="n">
        <f aca="true">RAND()</f>
        <v>0.276592539316364</v>
      </c>
      <c r="G335" s="0" t="n">
        <f aca="false">7.75+F335*10</f>
        <v>10.5159253931636</v>
      </c>
      <c r="H335" s="0" t="n">
        <f aca="false">LOGINV(F335,2.64,1.139)</f>
        <v>7.13191429121534</v>
      </c>
      <c r="I335" s="0" t="n">
        <v>19.5</v>
      </c>
      <c r="J335" s="4" t="n">
        <f aca="true">-LN(RAND())/B335</f>
        <v>9.60161202615957</v>
      </c>
      <c r="K335" s="4" t="n">
        <f aca="false">K334+J335</f>
        <v>3435.82565903725</v>
      </c>
      <c r="L335" s="4" t="n">
        <f aca="false">(1/$J$4)*(1+AB334)</f>
        <v>10</v>
      </c>
      <c r="M335" s="4" t="n">
        <f aca="false">L335+MAX(K335,Y$10:Y334)</f>
        <v>3448.88714125228</v>
      </c>
      <c r="N335" s="4" t="n">
        <f aca="false">K335</f>
        <v>3435.82565903725</v>
      </c>
      <c r="O335" s="4" t="n">
        <f aca="false">M335-K335</f>
        <v>13.0614822150287</v>
      </c>
      <c r="P335" s="4" t="n">
        <f aca="false">N335-K335</f>
        <v>0</v>
      </c>
      <c r="Q335" s="4" t="n">
        <f aca="false">A335-MATCH(K335,$M$9:M334,1)</f>
        <v>1</v>
      </c>
      <c r="R335" s="0" t="n">
        <f aca="false">-G335*(O335/3600)</f>
        <v>-0.0381537701381599</v>
      </c>
      <c r="S335" s="0" t="n">
        <f aca="false">-1*I335-(H335*(P335/3600))</f>
        <v>-19.5</v>
      </c>
      <c r="T335" s="0" t="n">
        <f aca="false">-H335*(O335/3600)</f>
        <v>-0.0258759365760606</v>
      </c>
      <c r="U335" s="0" t="n">
        <f aca="false">T335-S335</f>
        <v>19.4741240634239</v>
      </c>
      <c r="V335" s="0" t="n">
        <f aca="false">1/(1+EXP(U335))</f>
        <v>3.48734872560159E-009</v>
      </c>
      <c r="W335" s="0" t="n">
        <f aca="true">RAND()</f>
        <v>0.274074969970534</v>
      </c>
      <c r="X335" s="0" t="n">
        <f aca="false">IF(W335&lt;V335,1,0)</f>
        <v>0</v>
      </c>
      <c r="Y335" s="0" t="n">
        <f aca="false">(M335*(1-X335)+N335*X335)*D335+M335*E335</f>
        <v>3448.88714125228</v>
      </c>
      <c r="Z335" s="0" t="n">
        <f aca="false">((1-X335)*O335+X335*P335)*D335+E335*O335</f>
        <v>13.0614822150287</v>
      </c>
      <c r="AA335" s="0" t="n">
        <f aca="false">IF(D335*X335&gt;0,AA334,Q335)</f>
        <v>1</v>
      </c>
      <c r="AB335" s="0" t="n">
        <f aca="false">(X335*D335)</f>
        <v>0</v>
      </c>
      <c r="AC335" s="0" t="n">
        <f aca="false">SUM(AB$10:AB334)/K335</f>
        <v>0</v>
      </c>
      <c r="AD335" s="0" t="n">
        <f aca="false">R335*E335+D335*(X335*S335+(1-X335)*T335)</f>
        <v>-0.0381537701381599</v>
      </c>
      <c r="AE335" s="0" t="n">
        <f aca="false">Z335</f>
        <v>13.0614822150287</v>
      </c>
      <c r="AF335" s="0" t="n">
        <f aca="false">E335*O335</f>
        <v>13.0614822150287</v>
      </c>
      <c r="AG335" s="0" t="n">
        <f aca="false">((1-X335)*O335+X335*P335)*D335</f>
        <v>0</v>
      </c>
      <c r="AH335" s="0" t="n">
        <f aca="false">D335*(LN(EXP(S335)+EXP(T335)))</f>
        <v>-0</v>
      </c>
      <c r="AJ335" s="0" t="n">
        <f aca="false">$J$5</f>
        <v>10</v>
      </c>
      <c r="AK335" s="4" t="n">
        <f aca="false">AJ335+MAX(K335,AK$10:AK334)</f>
        <v>3448.88714125228</v>
      </c>
      <c r="AL335" s="5" t="n">
        <f aca="false">AK335-K335</f>
        <v>13.0614822150287</v>
      </c>
      <c r="AM335" s="0" t="n">
        <f aca="false">-G335*AL335/3600</f>
        <v>-0.0381537701381599</v>
      </c>
      <c r="AN335" s="0" t="n">
        <f aca="false">-H335*AL335/3600</f>
        <v>-0.0258759365760606</v>
      </c>
      <c r="AO335" s="0" t="n">
        <f aca="false">AM335*E335+AN335*D335</f>
        <v>-0.0381537701381599</v>
      </c>
      <c r="AP335" s="0" t="n">
        <f aca="false">AL335*D335</f>
        <v>0</v>
      </c>
      <c r="AR335" s="0" t="n">
        <f aca="false">AN335*D335</f>
        <v>-0</v>
      </c>
      <c r="AS335" s="0" t="n">
        <f aca="false">AH335-AR335</f>
        <v>0</v>
      </c>
    </row>
    <row r="336" customFormat="false" ht="12" hidden="false" customHeight="false" outlineLevel="0" collapsed="false">
      <c r="A336" s="3" t="n">
        <f aca="false">A335+1</f>
        <v>327</v>
      </c>
      <c r="B336" s="3" t="n">
        <f aca="false">IF(A336&lt;$N$4/3,0.1,(IF(A336&gt;2*$N$4/3,0.05,0.12)))</f>
        <v>0.1</v>
      </c>
      <c r="C336" s="4" t="n">
        <f aca="true">RAND()</f>
        <v>0.995179591684985</v>
      </c>
      <c r="D336" s="0" t="n">
        <f aca="false">IF((C336&gt;$M$2),1,0)</f>
        <v>1</v>
      </c>
      <c r="E336" s="0" t="n">
        <f aca="false">1-D336</f>
        <v>0</v>
      </c>
      <c r="F336" s="0" t="n">
        <f aca="true">RAND()</f>
        <v>0.00289298619589506</v>
      </c>
      <c r="G336" s="0" t="n">
        <f aca="false">7.75+F336*10</f>
        <v>7.77892986195895</v>
      </c>
      <c r="H336" s="0" t="n">
        <f aca="false">LOGINV(F336,2.64,1.139)</f>
        <v>0.604553894896441</v>
      </c>
      <c r="I336" s="0" t="n">
        <v>19.5</v>
      </c>
      <c r="J336" s="4" t="n">
        <f aca="true">-LN(RAND())/B336</f>
        <v>15.7597941708868</v>
      </c>
      <c r="K336" s="4" t="n">
        <f aca="false">K335+J336</f>
        <v>3451.58545320814</v>
      </c>
      <c r="L336" s="4" t="n">
        <f aca="false">(1/$J$4)*(1+AB335)</f>
        <v>10</v>
      </c>
      <c r="M336" s="4" t="n">
        <f aca="false">L336+MAX(K336,Y$10:Y335)</f>
        <v>3461.58545320814</v>
      </c>
      <c r="N336" s="4" t="n">
        <f aca="false">K336</f>
        <v>3451.58545320814</v>
      </c>
      <c r="O336" s="4" t="n">
        <f aca="false">M336-K336</f>
        <v>10</v>
      </c>
      <c r="P336" s="4" t="n">
        <f aca="false">N336-K336</f>
        <v>0</v>
      </c>
      <c r="Q336" s="4" t="n">
        <f aca="false">A336-MATCH(K336,$M$9:M335,1)</f>
        <v>0</v>
      </c>
      <c r="R336" s="0" t="n">
        <f aca="false">-G336*(O336/3600)</f>
        <v>-0.0216081385054415</v>
      </c>
      <c r="S336" s="0" t="n">
        <f aca="false">-1*I336-(H336*(P336/3600))</f>
        <v>-19.5</v>
      </c>
      <c r="T336" s="0" t="n">
        <f aca="false">-H336*(O336/3600)</f>
        <v>-0.00167931637471234</v>
      </c>
      <c r="U336" s="0" t="n">
        <f aca="false">T336-S336</f>
        <v>19.4983206836253</v>
      </c>
      <c r="V336" s="0" t="n">
        <f aca="false">1/(1+EXP(U336))</f>
        <v>3.4039793691198E-009</v>
      </c>
      <c r="W336" s="0" t="n">
        <f aca="true">RAND()</f>
        <v>0.0376148451883164</v>
      </c>
      <c r="X336" s="0" t="n">
        <f aca="false">IF(W336&lt;V336,1,0)</f>
        <v>0</v>
      </c>
      <c r="Y336" s="0" t="n">
        <f aca="false">(M336*(1-X336)+N336*X336)*D336+M336*E336</f>
        <v>3461.58545320814</v>
      </c>
      <c r="Z336" s="0" t="n">
        <f aca="false">((1-X336)*O336+X336*P336)*D336+E336*O336</f>
        <v>10</v>
      </c>
      <c r="AA336" s="0" t="n">
        <f aca="false">IF(D336*X336&gt;0,AA335,Q336)</f>
        <v>0</v>
      </c>
      <c r="AB336" s="0" t="n">
        <f aca="false">(X336*D336)</f>
        <v>0</v>
      </c>
      <c r="AC336" s="0" t="n">
        <f aca="false">SUM(AB$10:AB335)/K336</f>
        <v>0</v>
      </c>
      <c r="AD336" s="0" t="n">
        <f aca="false">R336*E336+D336*(X336*S336+(1-X336)*T336)</f>
        <v>-0.00167931637471234</v>
      </c>
      <c r="AE336" s="0" t="n">
        <f aca="false">Z336</f>
        <v>10</v>
      </c>
      <c r="AF336" s="0" t="n">
        <f aca="false">E336*O336</f>
        <v>0</v>
      </c>
      <c r="AG336" s="0" t="n">
        <f aca="false">((1-X336)*O336+X336*P336)*D336</f>
        <v>10</v>
      </c>
      <c r="AH336" s="0" t="n">
        <f aca="false">D336*(LN(EXP(S336)+EXP(T336)))</f>
        <v>-0.00167931297073306</v>
      </c>
      <c r="AJ336" s="0" t="n">
        <f aca="false">$J$5</f>
        <v>10</v>
      </c>
      <c r="AK336" s="4" t="n">
        <f aca="false">AJ336+MAX(K336,AK$10:AK335)</f>
        <v>3461.58545320814</v>
      </c>
      <c r="AL336" s="5" t="n">
        <f aca="false">AK336-K336</f>
        <v>10</v>
      </c>
      <c r="AM336" s="0" t="n">
        <f aca="false">-G336*AL336/3600</f>
        <v>-0.0216081385054415</v>
      </c>
      <c r="AN336" s="0" t="n">
        <f aca="false">-H336*AL336/3600</f>
        <v>-0.00167931637471234</v>
      </c>
      <c r="AO336" s="0" t="n">
        <f aca="false">AM336*E336+AN336*D336</f>
        <v>-0.00167931637471234</v>
      </c>
      <c r="AP336" s="0" t="n">
        <f aca="false">AL336*D336</f>
        <v>10</v>
      </c>
      <c r="AR336" s="0" t="n">
        <f aca="false">AN336*D336</f>
        <v>-0.00167931637471234</v>
      </c>
      <c r="AS336" s="0" t="n">
        <f aca="false">AH336-AR336</f>
        <v>3.40397927987152E-009</v>
      </c>
    </row>
    <row r="337" customFormat="false" ht="12" hidden="false" customHeight="false" outlineLevel="0" collapsed="false">
      <c r="A337" s="3" t="n">
        <f aca="false">A336+1</f>
        <v>328</v>
      </c>
      <c r="B337" s="3" t="n">
        <f aca="false">IF(A337&lt;$N$4/3,0.1,(IF(A337&gt;2*$N$4/3,0.05,0.12)))</f>
        <v>0.1</v>
      </c>
      <c r="C337" s="4" t="n">
        <f aca="true">RAND()</f>
        <v>0.185236607570174</v>
      </c>
      <c r="D337" s="0" t="n">
        <f aca="false">IF((C337&gt;$M$2),1,0)</f>
        <v>0</v>
      </c>
      <c r="E337" s="0" t="n">
        <f aca="false">1-D337</f>
        <v>1</v>
      </c>
      <c r="F337" s="0" t="n">
        <f aca="true">RAND()</f>
        <v>0.620545115016511</v>
      </c>
      <c r="G337" s="0" t="n">
        <f aca="false">7.75+F337*10</f>
        <v>13.9554511501651</v>
      </c>
      <c r="H337" s="0" t="n">
        <f aca="false">LOGINV(F337,2.64,1.139)</f>
        <v>19.8772059050294</v>
      </c>
      <c r="I337" s="0" t="n">
        <v>19.5</v>
      </c>
      <c r="J337" s="4" t="n">
        <f aca="true">-LN(RAND())/B337</f>
        <v>7.69212297512403</v>
      </c>
      <c r="K337" s="4" t="n">
        <f aca="false">K336+J337</f>
        <v>3459.27757618326</v>
      </c>
      <c r="L337" s="4" t="n">
        <f aca="false">(1/$J$4)*(1+AB336)</f>
        <v>10</v>
      </c>
      <c r="M337" s="4" t="n">
        <f aca="false">L337+MAX(K337,Y$10:Y336)</f>
        <v>3471.58545320814</v>
      </c>
      <c r="N337" s="4" t="n">
        <f aca="false">K337</f>
        <v>3459.27757618326</v>
      </c>
      <c r="O337" s="4" t="n">
        <f aca="false">M337-K337</f>
        <v>12.3078770248758</v>
      </c>
      <c r="P337" s="4" t="n">
        <f aca="false">N337-K337</f>
        <v>0</v>
      </c>
      <c r="Q337" s="4" t="n">
        <f aca="false">A337-MATCH(K337,$M$9:M336,1)</f>
        <v>1</v>
      </c>
      <c r="R337" s="0" t="n">
        <f aca="false">-G337*(O337/3600)</f>
        <v>-0.0477116601619148</v>
      </c>
      <c r="S337" s="0" t="n">
        <f aca="false">-1*I337-(H337*(P337/3600))</f>
        <v>-19.5</v>
      </c>
      <c r="T337" s="0" t="n">
        <f aca="false">-H337*(O337/3600)</f>
        <v>-0.0679572794103433</v>
      </c>
      <c r="U337" s="0" t="n">
        <f aca="false">T337-S337</f>
        <v>19.4320427205897</v>
      </c>
      <c r="V337" s="0" t="n">
        <f aca="false">1/(1+EXP(U337))</f>
        <v>3.63723258163759E-009</v>
      </c>
      <c r="W337" s="0" t="n">
        <f aca="true">RAND()</f>
        <v>0.321045926980499</v>
      </c>
      <c r="X337" s="0" t="n">
        <f aca="false">IF(W337&lt;V337,1,0)</f>
        <v>0</v>
      </c>
      <c r="Y337" s="0" t="n">
        <f aca="false">(M337*(1-X337)+N337*X337)*D337+M337*E337</f>
        <v>3471.58545320814</v>
      </c>
      <c r="Z337" s="0" t="n">
        <f aca="false">((1-X337)*O337+X337*P337)*D337+E337*O337</f>
        <v>12.3078770248758</v>
      </c>
      <c r="AA337" s="0" t="n">
        <f aca="false">IF(D337*X337&gt;0,AA336,Q337)</f>
        <v>1</v>
      </c>
      <c r="AB337" s="0" t="n">
        <f aca="false">(X337*D337)</f>
        <v>0</v>
      </c>
      <c r="AC337" s="0" t="n">
        <f aca="false">SUM(AB$10:AB336)/K337</f>
        <v>0</v>
      </c>
      <c r="AD337" s="0" t="n">
        <f aca="false">R337*E337+D337*(X337*S337+(1-X337)*T337)</f>
        <v>-0.0477116601619148</v>
      </c>
      <c r="AE337" s="0" t="n">
        <f aca="false">Z337</f>
        <v>12.3078770248758</v>
      </c>
      <c r="AF337" s="0" t="n">
        <f aca="false">E337*O337</f>
        <v>12.3078770248758</v>
      </c>
      <c r="AG337" s="0" t="n">
        <f aca="false">((1-X337)*O337+X337*P337)*D337</f>
        <v>0</v>
      </c>
      <c r="AH337" s="0" t="n">
        <f aca="false">D337*(LN(EXP(S337)+EXP(T337)))</f>
        <v>-0</v>
      </c>
      <c r="AJ337" s="0" t="n">
        <f aca="false">$J$5</f>
        <v>10</v>
      </c>
      <c r="AK337" s="4" t="n">
        <f aca="false">AJ337+MAX(K337,AK$10:AK336)</f>
        <v>3471.58545320814</v>
      </c>
      <c r="AL337" s="5" t="n">
        <f aca="false">AK337-K337</f>
        <v>12.3078770248758</v>
      </c>
      <c r="AM337" s="0" t="n">
        <f aca="false">-G337*AL337/3600</f>
        <v>-0.0477116601619148</v>
      </c>
      <c r="AN337" s="0" t="n">
        <f aca="false">-H337*AL337/3600</f>
        <v>-0.0679572794103433</v>
      </c>
      <c r="AO337" s="0" t="n">
        <f aca="false">AM337*E337+AN337*D337</f>
        <v>-0.0477116601619148</v>
      </c>
      <c r="AP337" s="0" t="n">
        <f aca="false">AL337*D337</f>
        <v>0</v>
      </c>
      <c r="AR337" s="0" t="n">
        <f aca="false">AN337*D337</f>
        <v>-0</v>
      </c>
      <c r="AS337" s="0" t="n">
        <f aca="false">AH337-AR337</f>
        <v>0</v>
      </c>
    </row>
    <row r="338" customFormat="false" ht="12" hidden="false" customHeight="false" outlineLevel="0" collapsed="false">
      <c r="A338" s="3" t="n">
        <f aca="false">A337+1</f>
        <v>329</v>
      </c>
      <c r="B338" s="3" t="n">
        <f aca="false">IF(A338&lt;$N$4/3,0.1,(IF(A338&gt;2*$N$4/3,0.05,0.12)))</f>
        <v>0.1</v>
      </c>
      <c r="C338" s="4" t="n">
        <f aca="true">RAND()</f>
        <v>0.796094160380875</v>
      </c>
      <c r="D338" s="0" t="n">
        <f aca="false">IF((C338&gt;$M$2),1,0)</f>
        <v>0</v>
      </c>
      <c r="E338" s="0" t="n">
        <f aca="false">1-D338</f>
        <v>1</v>
      </c>
      <c r="F338" s="0" t="n">
        <f aca="true">RAND()</f>
        <v>0.00440450142947646</v>
      </c>
      <c r="G338" s="0" t="n">
        <f aca="false">7.75+F338*10</f>
        <v>7.79404501429477</v>
      </c>
      <c r="H338" s="0" t="n">
        <f aca="false">LOGINV(F338,2.64,1.139)</f>
        <v>0.709302893050925</v>
      </c>
      <c r="I338" s="0" t="n">
        <v>19.5</v>
      </c>
      <c r="J338" s="4" t="n">
        <f aca="true">-LN(RAND())/B338</f>
        <v>9.0682885294843</v>
      </c>
      <c r="K338" s="4" t="n">
        <f aca="false">K337+J338</f>
        <v>3468.34586471275</v>
      </c>
      <c r="L338" s="4" t="n">
        <f aca="false">(1/$J$4)*(1+AB337)</f>
        <v>10</v>
      </c>
      <c r="M338" s="4" t="n">
        <f aca="false">L338+MAX(K338,Y$10:Y337)</f>
        <v>3481.58545320814</v>
      </c>
      <c r="N338" s="4" t="n">
        <f aca="false">K338</f>
        <v>3468.34586471275</v>
      </c>
      <c r="O338" s="4" t="n">
        <f aca="false">M338-K338</f>
        <v>13.2395884953917</v>
      </c>
      <c r="P338" s="4" t="n">
        <f aca="false">N338-K338</f>
        <v>0</v>
      </c>
      <c r="Q338" s="4" t="n">
        <f aca="false">A338-MATCH(K338,$M$9:M337,1)</f>
        <v>1</v>
      </c>
      <c r="R338" s="0" t="n">
        <f aca="false">-G338*(O338/3600)</f>
        <v>-0.0286638746399505</v>
      </c>
      <c r="S338" s="0" t="n">
        <f aca="false">-1*I338-(H338*(P338/3600))</f>
        <v>-19.5</v>
      </c>
      <c r="T338" s="0" t="n">
        <f aca="false">-H338*(O338/3600)</f>
        <v>-0.00260857733960696</v>
      </c>
      <c r="U338" s="0" t="n">
        <f aca="false">T338-S338</f>
        <v>19.4973914226604</v>
      </c>
      <c r="V338" s="0" t="n">
        <f aca="false">1/(1+EXP(U338))</f>
        <v>3.40714402442965E-009</v>
      </c>
      <c r="W338" s="0" t="n">
        <f aca="true">RAND()</f>
        <v>0.773296770106121</v>
      </c>
      <c r="X338" s="0" t="n">
        <f aca="false">IF(W338&lt;V338,1,0)</f>
        <v>0</v>
      </c>
      <c r="Y338" s="0" t="n">
        <f aca="false">(M338*(1-X338)+N338*X338)*D338+M338*E338</f>
        <v>3481.58545320814</v>
      </c>
      <c r="Z338" s="0" t="n">
        <f aca="false">((1-X338)*O338+X338*P338)*D338+E338*O338</f>
        <v>13.2395884953917</v>
      </c>
      <c r="AA338" s="0" t="n">
        <f aca="false">IF(D338*X338&gt;0,AA337,Q338)</f>
        <v>1</v>
      </c>
      <c r="AB338" s="0" t="n">
        <f aca="false">(X338*D338)</f>
        <v>0</v>
      </c>
      <c r="AC338" s="0" t="n">
        <f aca="false">SUM(AB$10:AB337)/K338</f>
        <v>0</v>
      </c>
      <c r="AD338" s="0" t="n">
        <f aca="false">R338*E338+D338*(X338*S338+(1-X338)*T338)</f>
        <v>-0.0286638746399505</v>
      </c>
      <c r="AE338" s="0" t="n">
        <f aca="false">Z338</f>
        <v>13.2395884953917</v>
      </c>
      <c r="AF338" s="0" t="n">
        <f aca="false">E338*O338</f>
        <v>13.2395884953917</v>
      </c>
      <c r="AG338" s="0" t="n">
        <f aca="false">((1-X338)*O338+X338*P338)*D338</f>
        <v>0</v>
      </c>
      <c r="AH338" s="0" t="n">
        <f aca="false">D338*(LN(EXP(S338)+EXP(T338)))</f>
        <v>-0</v>
      </c>
      <c r="AJ338" s="0" t="n">
        <f aca="false">$J$5</f>
        <v>10</v>
      </c>
      <c r="AK338" s="4" t="n">
        <f aca="false">AJ338+MAX(K338,AK$10:AK337)</f>
        <v>3481.58545320814</v>
      </c>
      <c r="AL338" s="5" t="n">
        <f aca="false">AK338-K338</f>
        <v>13.2395884953917</v>
      </c>
      <c r="AM338" s="0" t="n">
        <f aca="false">-G338*AL338/3600</f>
        <v>-0.0286638746399505</v>
      </c>
      <c r="AN338" s="0" t="n">
        <f aca="false">-H338*AL338/3600</f>
        <v>-0.00260857733960696</v>
      </c>
      <c r="AO338" s="0" t="n">
        <f aca="false">AM338*E338+AN338*D338</f>
        <v>-0.0286638746399505</v>
      </c>
      <c r="AP338" s="0" t="n">
        <f aca="false">AL338*D338</f>
        <v>0</v>
      </c>
      <c r="AR338" s="0" t="n">
        <f aca="false">AN338*D338</f>
        <v>-0</v>
      </c>
      <c r="AS338" s="0" t="n">
        <f aca="false">AH338-AR338</f>
        <v>0</v>
      </c>
    </row>
    <row r="339" customFormat="false" ht="12" hidden="false" customHeight="false" outlineLevel="0" collapsed="false">
      <c r="A339" s="3" t="n">
        <f aca="false">A338+1</f>
        <v>330</v>
      </c>
      <c r="B339" s="3" t="n">
        <f aca="false">IF(A339&lt;$N$4/3,0.1,(IF(A339&gt;2*$N$4/3,0.05,0.12)))</f>
        <v>0.1</v>
      </c>
      <c r="C339" s="4" t="n">
        <f aca="true">RAND()</f>
        <v>0.457296087993308</v>
      </c>
      <c r="D339" s="0" t="n">
        <f aca="false">IF((C339&gt;$M$2),1,0)</f>
        <v>0</v>
      </c>
      <c r="E339" s="0" t="n">
        <f aca="false">1-D339</f>
        <v>1</v>
      </c>
      <c r="F339" s="0" t="n">
        <f aca="true">RAND()</f>
        <v>0.511153632351469</v>
      </c>
      <c r="G339" s="0" t="n">
        <f aca="false">7.75+F339*10</f>
        <v>12.8615363235147</v>
      </c>
      <c r="H339" s="0" t="n">
        <f aca="false">LOGINV(F339,2.64,1.139)</f>
        <v>14.4666836047674</v>
      </c>
      <c r="I339" s="0" t="n">
        <v>19.5</v>
      </c>
      <c r="J339" s="4" t="n">
        <f aca="true">-LN(RAND())/B339</f>
        <v>12.2221011503092</v>
      </c>
      <c r="K339" s="4" t="n">
        <f aca="false">K338+J339</f>
        <v>3480.56796586305</v>
      </c>
      <c r="L339" s="4" t="n">
        <f aca="false">(1/$J$4)*(1+AB338)</f>
        <v>10</v>
      </c>
      <c r="M339" s="4" t="n">
        <f aca="false">L339+MAX(K339,Y$10:Y338)</f>
        <v>3491.58545320814</v>
      </c>
      <c r="N339" s="4" t="n">
        <f aca="false">K339</f>
        <v>3480.56796586305</v>
      </c>
      <c r="O339" s="4" t="n">
        <f aca="false">M339-K339</f>
        <v>11.0174873450824</v>
      </c>
      <c r="P339" s="4" t="n">
        <f aca="false">N339-K339</f>
        <v>0</v>
      </c>
      <c r="Q339" s="4" t="n">
        <f aca="false">A339-MATCH(K339,$M$9:M338,1)</f>
        <v>1</v>
      </c>
      <c r="R339" s="0" t="n">
        <f aca="false">-G339*(O339/3600)</f>
        <v>-0.0393616149118445</v>
      </c>
      <c r="S339" s="0" t="n">
        <f aca="false">-1*I339-(H339*(P339/3600))</f>
        <v>-19.5</v>
      </c>
      <c r="T339" s="0" t="n">
        <f aca="false">-H339*(O339/3600)</f>
        <v>-0.0442740287613431</v>
      </c>
      <c r="U339" s="0" t="n">
        <f aca="false">T339-S339</f>
        <v>19.4557259712387</v>
      </c>
      <c r="V339" s="0" t="n">
        <f aca="false">1/(1+EXP(U339))</f>
        <v>3.55210314101283E-009</v>
      </c>
      <c r="W339" s="0" t="n">
        <f aca="true">RAND()</f>
        <v>0.920697085385167</v>
      </c>
      <c r="X339" s="0" t="n">
        <f aca="false">IF(W339&lt;V339,1,0)</f>
        <v>0</v>
      </c>
      <c r="Y339" s="0" t="n">
        <f aca="false">(M339*(1-X339)+N339*X339)*D339+M339*E339</f>
        <v>3491.58545320814</v>
      </c>
      <c r="Z339" s="0" t="n">
        <f aca="false">((1-X339)*O339+X339*P339)*D339+E339*O339</f>
        <v>11.0174873450824</v>
      </c>
      <c r="AA339" s="0" t="n">
        <f aca="false">IF(D339*X339&gt;0,AA338,Q339)</f>
        <v>1</v>
      </c>
      <c r="AB339" s="0" t="n">
        <f aca="false">(X339*D339)</f>
        <v>0</v>
      </c>
      <c r="AC339" s="0" t="n">
        <f aca="false">SUM(AB$10:AB338)/K339</f>
        <v>0</v>
      </c>
      <c r="AD339" s="0" t="n">
        <f aca="false">R339*E339+D339*(X339*S339+(1-X339)*T339)</f>
        <v>-0.0393616149118445</v>
      </c>
      <c r="AE339" s="0" t="n">
        <f aca="false">Z339</f>
        <v>11.0174873450824</v>
      </c>
      <c r="AF339" s="0" t="n">
        <f aca="false">E339*O339</f>
        <v>11.0174873450824</v>
      </c>
      <c r="AG339" s="0" t="n">
        <f aca="false">((1-X339)*O339+X339*P339)*D339</f>
        <v>0</v>
      </c>
      <c r="AH339" s="0" t="n">
        <f aca="false">D339*(LN(EXP(S339)+EXP(T339)))</f>
        <v>-0</v>
      </c>
      <c r="AJ339" s="0" t="n">
        <f aca="false">$J$5</f>
        <v>10</v>
      </c>
      <c r="AK339" s="4" t="n">
        <f aca="false">AJ339+MAX(K339,AK$10:AK338)</f>
        <v>3491.58545320814</v>
      </c>
      <c r="AL339" s="5" t="n">
        <f aca="false">AK339-K339</f>
        <v>11.0174873450824</v>
      </c>
      <c r="AM339" s="0" t="n">
        <f aca="false">-G339*AL339/3600</f>
        <v>-0.0393616149118446</v>
      </c>
      <c r="AN339" s="0" t="n">
        <f aca="false">-H339*AL339/3600</f>
        <v>-0.0442740287613431</v>
      </c>
      <c r="AO339" s="0" t="n">
        <f aca="false">AM339*E339+AN339*D339</f>
        <v>-0.0393616149118446</v>
      </c>
      <c r="AP339" s="0" t="n">
        <f aca="false">AL339*D339</f>
        <v>0</v>
      </c>
      <c r="AR339" s="0" t="n">
        <f aca="false">AN339*D339</f>
        <v>-0</v>
      </c>
      <c r="AS339" s="0" t="n">
        <f aca="false">AH339-AR339</f>
        <v>0</v>
      </c>
    </row>
    <row r="340" customFormat="false" ht="12" hidden="false" customHeight="false" outlineLevel="0" collapsed="false">
      <c r="A340" s="3" t="n">
        <f aca="false">A339+1</f>
        <v>331</v>
      </c>
      <c r="B340" s="3" t="n">
        <f aca="false">IF(A340&lt;$N$4/3,0.1,(IF(A340&gt;2*$N$4/3,0.05,0.12)))</f>
        <v>0.1</v>
      </c>
      <c r="C340" s="4" t="n">
        <f aca="true">RAND()</f>
        <v>0.511820487025157</v>
      </c>
      <c r="D340" s="0" t="n">
        <f aca="false">IF((C340&gt;$M$2),1,0)</f>
        <v>0</v>
      </c>
      <c r="E340" s="0" t="n">
        <f aca="false">1-D340</f>
        <v>1</v>
      </c>
      <c r="F340" s="0" t="n">
        <f aca="true">RAND()</f>
        <v>0.0353034960199264</v>
      </c>
      <c r="G340" s="0" t="n">
        <f aca="false">7.75+F340*10</f>
        <v>8.10303496019926</v>
      </c>
      <c r="H340" s="0" t="n">
        <f aca="false">LOGINV(F340,2.64,1.139)</f>
        <v>1.7872740761236</v>
      </c>
      <c r="I340" s="0" t="n">
        <v>19.5</v>
      </c>
      <c r="J340" s="4" t="n">
        <f aca="true">-LN(RAND())/B340</f>
        <v>27.4183591684943</v>
      </c>
      <c r="K340" s="4" t="n">
        <f aca="false">K339+J340</f>
        <v>3507.98632503155</v>
      </c>
      <c r="L340" s="4" t="n">
        <f aca="false">(1/$J$4)*(1+AB339)</f>
        <v>10</v>
      </c>
      <c r="M340" s="4" t="n">
        <f aca="false">L340+MAX(K340,Y$10:Y339)</f>
        <v>3517.98632503155</v>
      </c>
      <c r="N340" s="4" t="n">
        <f aca="false">K340</f>
        <v>3507.98632503155</v>
      </c>
      <c r="O340" s="4" t="n">
        <f aca="false">M340-K340</f>
        <v>10</v>
      </c>
      <c r="P340" s="4" t="n">
        <f aca="false">N340-K340</f>
        <v>0</v>
      </c>
      <c r="Q340" s="4" t="n">
        <f aca="false">A340-MATCH(K340,$M$9:M339,1)</f>
        <v>0</v>
      </c>
      <c r="R340" s="0" t="n">
        <f aca="false">-G340*(O340/3600)</f>
        <v>-0.022508430444998</v>
      </c>
      <c r="S340" s="0" t="n">
        <f aca="false">-1*I340-(H340*(P340/3600))</f>
        <v>-19.5</v>
      </c>
      <c r="T340" s="0" t="n">
        <f aca="false">-H340*(O340/3600)</f>
        <v>-0.00496465021145444</v>
      </c>
      <c r="U340" s="0" t="n">
        <f aca="false">T340-S340</f>
        <v>19.4950353497885</v>
      </c>
      <c r="V340" s="0" t="n">
        <f aca="false">1/(1+EXP(U340))</f>
        <v>3.41518096810334E-009</v>
      </c>
      <c r="W340" s="0" t="n">
        <f aca="true">RAND()</f>
        <v>0.542101684085359</v>
      </c>
      <c r="X340" s="0" t="n">
        <f aca="false">IF(W340&lt;V340,1,0)</f>
        <v>0</v>
      </c>
      <c r="Y340" s="0" t="n">
        <f aca="false">(M340*(1-X340)+N340*X340)*D340+M340*E340</f>
        <v>3517.98632503155</v>
      </c>
      <c r="Z340" s="0" t="n">
        <f aca="false">((1-X340)*O340+X340*P340)*D340+E340*O340</f>
        <v>10</v>
      </c>
      <c r="AA340" s="0" t="n">
        <f aca="false">IF(D340*X340&gt;0,AA339,Q340)</f>
        <v>0</v>
      </c>
      <c r="AB340" s="0" t="n">
        <f aca="false">(X340*D340)</f>
        <v>0</v>
      </c>
      <c r="AC340" s="0" t="n">
        <f aca="false">SUM(AB$10:AB339)/K340</f>
        <v>0</v>
      </c>
      <c r="AD340" s="0" t="n">
        <f aca="false">R340*E340+D340*(X340*S340+(1-X340)*T340)</f>
        <v>-0.022508430444998</v>
      </c>
      <c r="AE340" s="0" t="n">
        <f aca="false">Z340</f>
        <v>10</v>
      </c>
      <c r="AF340" s="0" t="n">
        <f aca="false">E340*O340</f>
        <v>10</v>
      </c>
      <c r="AG340" s="0" t="n">
        <f aca="false">((1-X340)*O340+X340*P340)*D340</f>
        <v>0</v>
      </c>
      <c r="AH340" s="0" t="n">
        <f aca="false">D340*(LN(EXP(S340)+EXP(T340)))</f>
        <v>-0</v>
      </c>
      <c r="AJ340" s="0" t="n">
        <f aca="false">$J$5</f>
        <v>10</v>
      </c>
      <c r="AK340" s="4" t="n">
        <f aca="false">AJ340+MAX(K340,AK$10:AK339)</f>
        <v>3517.98632503155</v>
      </c>
      <c r="AL340" s="5" t="n">
        <f aca="false">AK340-K340</f>
        <v>10</v>
      </c>
      <c r="AM340" s="0" t="n">
        <f aca="false">-G340*AL340/3600</f>
        <v>-0.022508430444998</v>
      </c>
      <c r="AN340" s="0" t="n">
        <f aca="false">-H340*AL340/3600</f>
        <v>-0.00496465021145444</v>
      </c>
      <c r="AO340" s="0" t="n">
        <f aca="false">AM340*E340+AN340*D340</f>
        <v>-0.022508430444998</v>
      </c>
      <c r="AP340" s="0" t="n">
        <f aca="false">AL340*D340</f>
        <v>0</v>
      </c>
      <c r="AR340" s="0" t="n">
        <f aca="false">AN340*D340</f>
        <v>-0</v>
      </c>
      <c r="AS340" s="0" t="n">
        <f aca="false">AH340-AR340</f>
        <v>0</v>
      </c>
    </row>
    <row r="341" customFormat="false" ht="12" hidden="false" customHeight="false" outlineLevel="0" collapsed="false">
      <c r="A341" s="3" t="n">
        <f aca="false">A340+1</f>
        <v>332</v>
      </c>
      <c r="B341" s="3" t="n">
        <f aca="false">IF(A341&lt;$N$4/3,0.1,(IF(A341&gt;2*$N$4/3,0.05,0.12)))</f>
        <v>0.1</v>
      </c>
      <c r="C341" s="4" t="n">
        <f aca="true">RAND()</f>
        <v>0.583476441272104</v>
      </c>
      <c r="D341" s="0" t="n">
        <f aca="false">IF((C341&gt;$M$2),1,0)</f>
        <v>0</v>
      </c>
      <c r="E341" s="0" t="n">
        <f aca="false">1-D341</f>
        <v>1</v>
      </c>
      <c r="F341" s="0" t="n">
        <f aca="true">RAND()</f>
        <v>0.907781203113872</v>
      </c>
      <c r="G341" s="0" t="n">
        <f aca="false">7.75+F341*10</f>
        <v>16.8278120311387</v>
      </c>
      <c r="H341" s="0" t="n">
        <f aca="false">LOGINV(F341,2.64,1.139)</f>
        <v>63.5417906227657</v>
      </c>
      <c r="I341" s="0" t="n">
        <v>19.5</v>
      </c>
      <c r="J341" s="4" t="n">
        <f aca="true">-LN(RAND())/B341</f>
        <v>16.9381062235041</v>
      </c>
      <c r="K341" s="4" t="n">
        <f aca="false">K340+J341</f>
        <v>3524.92443125505</v>
      </c>
      <c r="L341" s="4" t="n">
        <f aca="false">(1/$J$4)*(1+AB340)</f>
        <v>10</v>
      </c>
      <c r="M341" s="4" t="n">
        <f aca="false">L341+MAX(K341,Y$10:Y340)</f>
        <v>3534.92443125505</v>
      </c>
      <c r="N341" s="4" t="n">
        <f aca="false">K341</f>
        <v>3524.92443125505</v>
      </c>
      <c r="O341" s="4" t="n">
        <f aca="false">M341-K341</f>
        <v>10</v>
      </c>
      <c r="P341" s="4" t="n">
        <f aca="false">N341-K341</f>
        <v>0</v>
      </c>
      <c r="Q341" s="4" t="n">
        <f aca="false">A341-MATCH(K341,$M$9:M340,1)</f>
        <v>0</v>
      </c>
      <c r="R341" s="0" t="n">
        <f aca="false">-G341*(O341/3600)</f>
        <v>-0.0467439223087187</v>
      </c>
      <c r="S341" s="0" t="n">
        <f aca="false">-1*I341-(H341*(P341/3600))</f>
        <v>-19.5</v>
      </c>
      <c r="T341" s="0" t="n">
        <f aca="false">-H341*(O341/3600)</f>
        <v>-0.176504973952127</v>
      </c>
      <c r="U341" s="0" t="n">
        <f aca="false">T341-S341</f>
        <v>19.3234950260479</v>
      </c>
      <c r="V341" s="0" t="n">
        <f aca="false">1/(1+EXP(U341))</f>
        <v>4.05427064926783E-009</v>
      </c>
      <c r="W341" s="0" t="n">
        <f aca="true">RAND()</f>
        <v>0.471104575448274</v>
      </c>
      <c r="X341" s="0" t="n">
        <f aca="false">IF(W341&lt;V341,1,0)</f>
        <v>0</v>
      </c>
      <c r="Y341" s="0" t="n">
        <f aca="false">(M341*(1-X341)+N341*X341)*D341+M341*E341</f>
        <v>3534.92443125505</v>
      </c>
      <c r="Z341" s="0" t="n">
        <f aca="false">((1-X341)*O341+X341*P341)*D341+E341*O341</f>
        <v>10</v>
      </c>
      <c r="AA341" s="0" t="n">
        <f aca="false">IF(D341*X341&gt;0,AA340,Q341)</f>
        <v>0</v>
      </c>
      <c r="AB341" s="0" t="n">
        <f aca="false">(X341*D341)</f>
        <v>0</v>
      </c>
      <c r="AC341" s="0" t="n">
        <f aca="false">SUM(AB$10:AB340)/K341</f>
        <v>0</v>
      </c>
      <c r="AD341" s="0" t="n">
        <f aca="false">R341*E341+D341*(X341*S341+(1-X341)*T341)</f>
        <v>-0.0467439223087187</v>
      </c>
      <c r="AE341" s="0" t="n">
        <f aca="false">Z341</f>
        <v>10</v>
      </c>
      <c r="AF341" s="0" t="n">
        <f aca="false">E341*O341</f>
        <v>10</v>
      </c>
      <c r="AG341" s="0" t="n">
        <f aca="false">((1-X341)*O341+X341*P341)*D341</f>
        <v>0</v>
      </c>
      <c r="AH341" s="0" t="n">
        <f aca="false">D341*(LN(EXP(S341)+EXP(T341)))</f>
        <v>-0</v>
      </c>
      <c r="AJ341" s="0" t="n">
        <f aca="false">$J$5</f>
        <v>10</v>
      </c>
      <c r="AK341" s="4" t="n">
        <f aca="false">AJ341+MAX(K341,AK$10:AK340)</f>
        <v>3534.92443125505</v>
      </c>
      <c r="AL341" s="5" t="n">
        <f aca="false">AK341-K341</f>
        <v>10</v>
      </c>
      <c r="AM341" s="0" t="n">
        <f aca="false">-G341*AL341/3600</f>
        <v>-0.0467439223087187</v>
      </c>
      <c r="AN341" s="0" t="n">
        <f aca="false">-H341*AL341/3600</f>
        <v>-0.176504973952127</v>
      </c>
      <c r="AO341" s="0" t="n">
        <f aca="false">AM341*E341+AN341*D341</f>
        <v>-0.0467439223087187</v>
      </c>
      <c r="AP341" s="0" t="n">
        <f aca="false">AL341*D341</f>
        <v>0</v>
      </c>
      <c r="AR341" s="0" t="n">
        <f aca="false">AN341*D341</f>
        <v>-0</v>
      </c>
      <c r="AS341" s="0" t="n">
        <f aca="false">AH341-AR341</f>
        <v>0</v>
      </c>
    </row>
    <row r="342" customFormat="false" ht="12" hidden="false" customHeight="false" outlineLevel="0" collapsed="false">
      <c r="A342" s="3" t="n">
        <f aca="false">A341+1</f>
        <v>333</v>
      </c>
      <c r="B342" s="3" t="n">
        <f aca="false">IF(A342&lt;$N$4/3,0.1,(IF(A342&gt;2*$N$4/3,0.05,0.12)))</f>
        <v>0.1</v>
      </c>
      <c r="C342" s="4" t="n">
        <f aca="true">RAND()</f>
        <v>0.0472711570824172</v>
      </c>
      <c r="D342" s="0" t="n">
        <f aca="false">IF((C342&gt;$M$2),1,0)</f>
        <v>0</v>
      </c>
      <c r="E342" s="0" t="n">
        <f aca="false">1-D342</f>
        <v>1</v>
      </c>
      <c r="F342" s="0" t="n">
        <f aca="true">RAND()</f>
        <v>0.836064095660649</v>
      </c>
      <c r="G342" s="0" t="n">
        <f aca="false">7.75+F342*10</f>
        <v>16.1106409566065</v>
      </c>
      <c r="H342" s="0" t="n">
        <f aca="false">LOGINV(F342,2.64,1.139)</f>
        <v>42.7089488435768</v>
      </c>
      <c r="I342" s="0" t="n">
        <v>19.5</v>
      </c>
      <c r="J342" s="4" t="n">
        <f aca="true">-LN(RAND())/B342</f>
        <v>10.7400681204825</v>
      </c>
      <c r="K342" s="4" t="n">
        <f aca="false">K341+J342</f>
        <v>3535.66449937554</v>
      </c>
      <c r="L342" s="4" t="n">
        <f aca="false">(1/$J$4)*(1+AB341)</f>
        <v>10</v>
      </c>
      <c r="M342" s="4" t="n">
        <f aca="false">L342+MAX(K342,Y$10:Y341)</f>
        <v>3545.66449937554</v>
      </c>
      <c r="N342" s="4" t="n">
        <f aca="false">K342</f>
        <v>3535.66449937554</v>
      </c>
      <c r="O342" s="4" t="n">
        <f aca="false">M342-K342</f>
        <v>10</v>
      </c>
      <c r="P342" s="4" t="n">
        <f aca="false">N342-K342</f>
        <v>0</v>
      </c>
      <c r="Q342" s="4" t="n">
        <f aca="false">A342-MATCH(K342,$M$9:M341,1)</f>
        <v>0</v>
      </c>
      <c r="R342" s="0" t="n">
        <f aca="false">-G342*(O342/3600)</f>
        <v>-0.044751780435018</v>
      </c>
      <c r="S342" s="0" t="n">
        <f aca="false">-1*I342-(H342*(P342/3600))</f>
        <v>-19.5</v>
      </c>
      <c r="T342" s="0" t="n">
        <f aca="false">-H342*(O342/3600)</f>
        <v>-0.118635969009936</v>
      </c>
      <c r="U342" s="0" t="n">
        <f aca="false">T342-S342</f>
        <v>19.3813640309901</v>
      </c>
      <c r="V342" s="0" t="n">
        <f aca="false">1/(1+EXP(U342))</f>
        <v>3.82631348127617E-009</v>
      </c>
      <c r="W342" s="0" t="n">
        <f aca="true">RAND()</f>
        <v>0.614960474428359</v>
      </c>
      <c r="X342" s="0" t="n">
        <f aca="false">IF(W342&lt;V342,1,0)</f>
        <v>0</v>
      </c>
      <c r="Y342" s="0" t="n">
        <f aca="false">(M342*(1-X342)+N342*X342)*D342+M342*E342</f>
        <v>3545.66449937554</v>
      </c>
      <c r="Z342" s="0" t="n">
        <f aca="false">((1-X342)*O342+X342*P342)*D342+E342*O342</f>
        <v>10</v>
      </c>
      <c r="AA342" s="0" t="n">
        <f aca="false">IF(D342*X342&gt;0,AA341,Q342)</f>
        <v>0</v>
      </c>
      <c r="AB342" s="0" t="n">
        <f aca="false">(X342*D342)</f>
        <v>0</v>
      </c>
      <c r="AC342" s="0" t="n">
        <f aca="false">SUM(AB$10:AB341)/K342</f>
        <v>0</v>
      </c>
      <c r="AD342" s="0" t="n">
        <f aca="false">R342*E342+D342*(X342*S342+(1-X342)*T342)</f>
        <v>-0.044751780435018</v>
      </c>
      <c r="AE342" s="0" t="n">
        <f aca="false">Z342</f>
        <v>10</v>
      </c>
      <c r="AF342" s="0" t="n">
        <f aca="false">E342*O342</f>
        <v>10</v>
      </c>
      <c r="AG342" s="0" t="n">
        <f aca="false">((1-X342)*O342+X342*P342)*D342</f>
        <v>0</v>
      </c>
      <c r="AH342" s="0" t="n">
        <f aca="false">D342*(LN(EXP(S342)+EXP(T342)))</f>
        <v>-0</v>
      </c>
      <c r="AJ342" s="0" t="n">
        <f aca="false">$J$5</f>
        <v>10</v>
      </c>
      <c r="AK342" s="4" t="n">
        <f aca="false">AJ342+MAX(K342,AK$10:AK341)</f>
        <v>3545.66449937554</v>
      </c>
      <c r="AL342" s="5" t="n">
        <f aca="false">AK342-K342</f>
        <v>10</v>
      </c>
      <c r="AM342" s="0" t="n">
        <f aca="false">-G342*AL342/3600</f>
        <v>-0.044751780435018</v>
      </c>
      <c r="AN342" s="0" t="n">
        <f aca="false">-H342*AL342/3600</f>
        <v>-0.118635969009936</v>
      </c>
      <c r="AO342" s="0" t="n">
        <f aca="false">AM342*E342+AN342*D342</f>
        <v>-0.044751780435018</v>
      </c>
      <c r="AP342" s="0" t="n">
        <f aca="false">AL342*D342</f>
        <v>0</v>
      </c>
      <c r="AR342" s="0" t="n">
        <f aca="false">AN342*D342</f>
        <v>-0</v>
      </c>
      <c r="AS342" s="0" t="n">
        <f aca="false">AH342-AR342</f>
        <v>0</v>
      </c>
    </row>
    <row r="343" customFormat="false" ht="12" hidden="false" customHeight="false" outlineLevel="0" collapsed="false">
      <c r="A343" s="3" t="n">
        <f aca="false">A342+1</f>
        <v>334</v>
      </c>
      <c r="B343" s="3" t="n">
        <f aca="false">IF(A343&lt;$N$4/3,0.1,(IF(A343&gt;2*$N$4/3,0.05,0.12)))</f>
        <v>0.12</v>
      </c>
      <c r="C343" s="4" t="n">
        <f aca="true">RAND()</f>
        <v>0.216140940654351</v>
      </c>
      <c r="D343" s="0" t="n">
        <f aca="false">IF((C343&gt;$M$2),1,0)</f>
        <v>0</v>
      </c>
      <c r="E343" s="0" t="n">
        <f aca="false">1-D343</f>
        <v>1</v>
      </c>
      <c r="F343" s="0" t="n">
        <f aca="true">RAND()</f>
        <v>0.781307587163977</v>
      </c>
      <c r="G343" s="0" t="n">
        <f aca="false">7.75+F343*10</f>
        <v>15.5630758716398</v>
      </c>
      <c r="H343" s="0" t="n">
        <f aca="false">LOGINV(F343,2.64,1.139)</f>
        <v>33.9390630413456</v>
      </c>
      <c r="I343" s="0" t="n">
        <v>19.5</v>
      </c>
      <c r="J343" s="4" t="n">
        <f aca="true">-LN(RAND())/B343</f>
        <v>12.1339424094556</v>
      </c>
      <c r="K343" s="4" t="n">
        <f aca="false">K342+J343</f>
        <v>3547.79844178499</v>
      </c>
      <c r="L343" s="4" t="n">
        <f aca="false">(1/$J$4)*(1+AB342)</f>
        <v>10</v>
      </c>
      <c r="M343" s="4" t="n">
        <f aca="false">L343+MAX(K343,Y$10:Y342)</f>
        <v>3557.79844178499</v>
      </c>
      <c r="N343" s="4" t="n">
        <f aca="false">K343</f>
        <v>3547.79844178499</v>
      </c>
      <c r="O343" s="4" t="n">
        <f aca="false">M343-K343</f>
        <v>10</v>
      </c>
      <c r="P343" s="4" t="n">
        <f aca="false">N343-K343</f>
        <v>0</v>
      </c>
      <c r="Q343" s="4" t="n">
        <f aca="false">A343-MATCH(K343,$M$9:M342,1)</f>
        <v>0</v>
      </c>
      <c r="R343" s="0" t="n">
        <f aca="false">-G343*(O343/3600)</f>
        <v>-0.0432307663101105</v>
      </c>
      <c r="S343" s="0" t="n">
        <f aca="false">-1*I343-(H343*(P343/3600))</f>
        <v>-19.5</v>
      </c>
      <c r="T343" s="0" t="n">
        <f aca="false">-H343*(O343/3600)</f>
        <v>-0.0942751751148488</v>
      </c>
      <c r="U343" s="0" t="n">
        <f aca="false">T343-S343</f>
        <v>19.4057248248852</v>
      </c>
      <c r="V343" s="0" t="n">
        <f aca="false">1/(1+EXP(U343))</f>
        <v>3.73422764355568E-009</v>
      </c>
      <c r="W343" s="0" t="n">
        <f aca="true">RAND()</f>
        <v>0.594019979663119</v>
      </c>
      <c r="X343" s="0" t="n">
        <f aca="false">IF(W343&lt;V343,1,0)</f>
        <v>0</v>
      </c>
      <c r="Y343" s="0" t="n">
        <f aca="false">(M343*(1-X343)+N343*X343)*D343+M343*E343</f>
        <v>3557.79844178499</v>
      </c>
      <c r="Z343" s="0" t="n">
        <f aca="false">((1-X343)*O343+X343*P343)*D343+E343*O343</f>
        <v>10</v>
      </c>
      <c r="AA343" s="0" t="n">
        <f aca="false">IF(D343*X343&gt;0,AA342,Q343)</f>
        <v>0</v>
      </c>
      <c r="AB343" s="0" t="n">
        <f aca="false">(X343*D343)</f>
        <v>0</v>
      </c>
      <c r="AC343" s="0" t="n">
        <f aca="false">SUM(AB$10:AB342)/K343</f>
        <v>0</v>
      </c>
      <c r="AD343" s="0" t="n">
        <f aca="false">R343*E343+D343*(X343*S343+(1-X343)*T343)</f>
        <v>-0.0432307663101105</v>
      </c>
      <c r="AE343" s="0" t="n">
        <f aca="false">Z343</f>
        <v>10</v>
      </c>
      <c r="AF343" s="0" t="n">
        <f aca="false">E343*O343</f>
        <v>10</v>
      </c>
      <c r="AG343" s="0" t="n">
        <f aca="false">((1-X343)*O343+X343*P343)*D343</f>
        <v>0</v>
      </c>
      <c r="AH343" s="0" t="n">
        <f aca="false">D343*(LN(EXP(S343)+EXP(T343)))</f>
        <v>-0</v>
      </c>
      <c r="AJ343" s="0" t="n">
        <f aca="false">$J$5</f>
        <v>10</v>
      </c>
      <c r="AK343" s="4" t="n">
        <f aca="false">AJ343+MAX(K343,AK$10:AK342)</f>
        <v>3557.79844178499</v>
      </c>
      <c r="AL343" s="5" t="n">
        <f aca="false">AK343-K343</f>
        <v>10</v>
      </c>
      <c r="AM343" s="0" t="n">
        <f aca="false">-G343*AL343/3600</f>
        <v>-0.0432307663101105</v>
      </c>
      <c r="AN343" s="0" t="n">
        <f aca="false">-H343*AL343/3600</f>
        <v>-0.0942751751148488</v>
      </c>
      <c r="AO343" s="0" t="n">
        <f aca="false">AM343*E343+AN343*D343</f>
        <v>-0.0432307663101105</v>
      </c>
      <c r="AP343" s="0" t="n">
        <f aca="false">AL343*D343</f>
        <v>0</v>
      </c>
      <c r="AR343" s="0" t="n">
        <f aca="false">AN343*D343</f>
        <v>-0</v>
      </c>
      <c r="AS343" s="0" t="n">
        <f aca="false">AH343-AR343</f>
        <v>0</v>
      </c>
    </row>
    <row r="344" customFormat="false" ht="12" hidden="false" customHeight="false" outlineLevel="0" collapsed="false">
      <c r="A344" s="3" t="n">
        <f aca="false">A343+1</f>
        <v>335</v>
      </c>
      <c r="B344" s="3" t="n">
        <f aca="false">IF(A344&lt;$N$4/3,0.1,(IF(A344&gt;2*$N$4/3,0.05,0.12)))</f>
        <v>0.12</v>
      </c>
      <c r="C344" s="4" t="n">
        <f aca="true">RAND()</f>
        <v>0.0584032998863967</v>
      </c>
      <c r="D344" s="0" t="n">
        <f aca="false">IF((C344&gt;$M$2),1,0)</f>
        <v>0</v>
      </c>
      <c r="E344" s="0" t="n">
        <f aca="false">1-D344</f>
        <v>1</v>
      </c>
      <c r="F344" s="0" t="n">
        <f aca="true">RAND()</f>
        <v>0.133925065329617</v>
      </c>
      <c r="G344" s="0" t="n">
        <f aca="false">7.75+F344*10</f>
        <v>9.08925065329617</v>
      </c>
      <c r="H344" s="0" t="n">
        <f aca="false">LOGINV(F344,2.64,1.139)</f>
        <v>3.96678991306573</v>
      </c>
      <c r="I344" s="0" t="n">
        <v>19.5</v>
      </c>
      <c r="J344" s="4" t="n">
        <f aca="true">-LN(RAND())/B344</f>
        <v>4.4457080505447</v>
      </c>
      <c r="K344" s="4" t="n">
        <f aca="false">K343+J344</f>
        <v>3552.24414983554</v>
      </c>
      <c r="L344" s="4" t="n">
        <f aca="false">(1/$J$4)*(1+AB343)</f>
        <v>10</v>
      </c>
      <c r="M344" s="4" t="n">
        <f aca="false">L344+MAX(K344,Y$10:Y343)</f>
        <v>3567.79844178499</v>
      </c>
      <c r="N344" s="4" t="n">
        <f aca="false">K344</f>
        <v>3552.24414983554</v>
      </c>
      <c r="O344" s="4" t="n">
        <f aca="false">M344-K344</f>
        <v>15.5542919494551</v>
      </c>
      <c r="P344" s="4" t="n">
        <f aca="false">N344-K344</f>
        <v>0</v>
      </c>
      <c r="Q344" s="4" t="n">
        <f aca="false">A344-MATCH(K344,$M$9:M343,1)</f>
        <v>1</v>
      </c>
      <c r="R344" s="0" t="n">
        <f aca="false">-G344*(O344/3600)</f>
        <v>-0.03927134951754</v>
      </c>
      <c r="S344" s="0" t="n">
        <f aca="false">-1*I344-(H344*(P344/3600))</f>
        <v>-19.5</v>
      </c>
      <c r="T344" s="0" t="n">
        <f aca="false">-H344*(O344/3600)</f>
        <v>-0.0171390578916606</v>
      </c>
      <c r="U344" s="0" t="n">
        <f aca="false">T344-S344</f>
        <v>19.4828609421083</v>
      </c>
      <c r="V344" s="0" t="n">
        <f aca="false">1/(1+EXP(U344))</f>
        <v>3.45701289616057E-009</v>
      </c>
      <c r="W344" s="0" t="n">
        <f aca="true">RAND()</f>
        <v>0.361151141333194</v>
      </c>
      <c r="X344" s="0" t="n">
        <f aca="false">IF(W344&lt;V344,1,0)</f>
        <v>0</v>
      </c>
      <c r="Y344" s="0" t="n">
        <f aca="false">(M344*(1-X344)+N344*X344)*D344+M344*E344</f>
        <v>3567.79844178499</v>
      </c>
      <c r="Z344" s="0" t="n">
        <f aca="false">((1-X344)*O344+X344*P344)*D344+E344*O344</f>
        <v>15.5542919494551</v>
      </c>
      <c r="AA344" s="0" t="n">
        <f aca="false">IF(D344*X344&gt;0,AA343,Q344)</f>
        <v>1</v>
      </c>
      <c r="AB344" s="0" t="n">
        <f aca="false">(X344*D344)</f>
        <v>0</v>
      </c>
      <c r="AC344" s="0" t="n">
        <f aca="false">SUM(AB$10:AB343)/K344</f>
        <v>0</v>
      </c>
      <c r="AD344" s="0" t="n">
        <f aca="false">R344*E344+D344*(X344*S344+(1-X344)*T344)</f>
        <v>-0.03927134951754</v>
      </c>
      <c r="AE344" s="0" t="n">
        <f aca="false">Z344</f>
        <v>15.5542919494551</v>
      </c>
      <c r="AF344" s="0" t="n">
        <f aca="false">E344*O344</f>
        <v>15.5542919494551</v>
      </c>
      <c r="AG344" s="0" t="n">
        <f aca="false">((1-X344)*O344+X344*P344)*D344</f>
        <v>0</v>
      </c>
      <c r="AH344" s="0" t="n">
        <f aca="false">D344*(LN(EXP(S344)+EXP(T344)))</f>
        <v>-0</v>
      </c>
      <c r="AJ344" s="0" t="n">
        <f aca="false">$J$5</f>
        <v>10</v>
      </c>
      <c r="AK344" s="4" t="n">
        <f aca="false">AJ344+MAX(K344,AK$10:AK343)</f>
        <v>3567.79844178499</v>
      </c>
      <c r="AL344" s="5" t="n">
        <f aca="false">AK344-K344</f>
        <v>15.5542919494551</v>
      </c>
      <c r="AM344" s="0" t="n">
        <f aca="false">-G344*AL344/3600</f>
        <v>-0.03927134951754</v>
      </c>
      <c r="AN344" s="0" t="n">
        <f aca="false">-H344*AL344/3600</f>
        <v>-0.0171390578916606</v>
      </c>
      <c r="AO344" s="0" t="n">
        <f aca="false">AM344*E344+AN344*D344</f>
        <v>-0.03927134951754</v>
      </c>
      <c r="AP344" s="0" t="n">
        <f aca="false">AL344*D344</f>
        <v>0</v>
      </c>
      <c r="AR344" s="0" t="n">
        <f aca="false">AN344*D344</f>
        <v>-0</v>
      </c>
      <c r="AS344" s="0" t="n">
        <f aca="false">AH344-AR344</f>
        <v>0</v>
      </c>
    </row>
    <row r="345" customFormat="false" ht="12" hidden="false" customHeight="false" outlineLevel="0" collapsed="false">
      <c r="A345" s="3" t="n">
        <f aca="false">A344+1</f>
        <v>336</v>
      </c>
      <c r="B345" s="3" t="n">
        <f aca="false">IF(A345&lt;$N$4/3,0.1,(IF(A345&gt;2*$N$4/3,0.05,0.12)))</f>
        <v>0.12</v>
      </c>
      <c r="C345" s="4" t="n">
        <f aca="true">RAND()</f>
        <v>0.772246197324347</v>
      </c>
      <c r="D345" s="0" t="n">
        <f aca="false">IF((C345&gt;$M$2),1,0)</f>
        <v>0</v>
      </c>
      <c r="E345" s="0" t="n">
        <f aca="false">1-D345</f>
        <v>1</v>
      </c>
      <c r="F345" s="0" t="n">
        <f aca="true">RAND()</f>
        <v>0.876279275616279</v>
      </c>
      <c r="G345" s="0" t="n">
        <f aca="false">7.75+F345*10</f>
        <v>16.5127927561628</v>
      </c>
      <c r="H345" s="0" t="n">
        <f aca="false">LOGINV(F345,2.64,1.139)</f>
        <v>52.3185881361335</v>
      </c>
      <c r="I345" s="0" t="n">
        <v>19.5</v>
      </c>
      <c r="J345" s="4" t="n">
        <f aca="true">-LN(RAND())/B345</f>
        <v>12.5880122100381</v>
      </c>
      <c r="K345" s="4" t="n">
        <f aca="false">K344+J345</f>
        <v>3564.83216204557</v>
      </c>
      <c r="L345" s="4" t="n">
        <f aca="false">(1/$J$4)*(1+AB344)</f>
        <v>10</v>
      </c>
      <c r="M345" s="4" t="n">
        <f aca="false">L345+MAX(K345,Y$10:Y344)</f>
        <v>3577.79844178499</v>
      </c>
      <c r="N345" s="4" t="n">
        <f aca="false">K345</f>
        <v>3564.83216204557</v>
      </c>
      <c r="O345" s="4" t="n">
        <f aca="false">M345-K345</f>
        <v>12.9662797394171</v>
      </c>
      <c r="P345" s="4" t="n">
        <f aca="false">N345-K345</f>
        <v>0</v>
      </c>
      <c r="Q345" s="4" t="n">
        <f aca="false">A345-MATCH(K345,$M$9:M344,1)</f>
        <v>1</v>
      </c>
      <c r="R345" s="0" t="n">
        <f aca="false">-G345*(O345/3600)</f>
        <v>-0.0594748583765077</v>
      </c>
      <c r="S345" s="0" t="n">
        <f aca="false">-1*I345-(H345*(P345/3600))</f>
        <v>-19.5</v>
      </c>
      <c r="T345" s="0" t="n">
        <f aca="false">-H345*(O345/3600)</f>
        <v>-0.188438180373461</v>
      </c>
      <c r="U345" s="0" t="n">
        <f aca="false">T345-S345</f>
        <v>19.3115618196265</v>
      </c>
      <c r="V345" s="0" t="n">
        <f aca="false">1/(1+EXP(U345))</f>
        <v>4.10294091622789E-009</v>
      </c>
      <c r="W345" s="0" t="n">
        <f aca="true">RAND()</f>
        <v>0.0146782266423163</v>
      </c>
      <c r="X345" s="0" t="n">
        <f aca="false">IF(W345&lt;V345,1,0)</f>
        <v>0</v>
      </c>
      <c r="Y345" s="0" t="n">
        <f aca="false">(M345*(1-X345)+N345*X345)*D345+M345*E345</f>
        <v>3577.79844178499</v>
      </c>
      <c r="Z345" s="0" t="n">
        <f aca="false">((1-X345)*O345+X345*P345)*D345+E345*O345</f>
        <v>12.9662797394171</v>
      </c>
      <c r="AA345" s="0" t="n">
        <f aca="false">IF(D345*X345&gt;0,AA344,Q345)</f>
        <v>1</v>
      </c>
      <c r="AB345" s="0" t="n">
        <f aca="false">(X345*D345)</f>
        <v>0</v>
      </c>
      <c r="AC345" s="0" t="n">
        <f aca="false">SUM(AB$10:AB344)/K345</f>
        <v>0</v>
      </c>
      <c r="AD345" s="0" t="n">
        <f aca="false">R345*E345+D345*(X345*S345+(1-X345)*T345)</f>
        <v>-0.0594748583765077</v>
      </c>
      <c r="AE345" s="0" t="n">
        <f aca="false">Z345</f>
        <v>12.9662797394171</v>
      </c>
      <c r="AF345" s="0" t="n">
        <f aca="false">E345*O345</f>
        <v>12.9662797394171</v>
      </c>
      <c r="AG345" s="0" t="n">
        <f aca="false">((1-X345)*O345+X345*P345)*D345</f>
        <v>0</v>
      </c>
      <c r="AH345" s="0" t="n">
        <f aca="false">D345*(LN(EXP(S345)+EXP(T345)))</f>
        <v>-0</v>
      </c>
      <c r="AJ345" s="0" t="n">
        <f aca="false">$J$5</f>
        <v>10</v>
      </c>
      <c r="AK345" s="4" t="n">
        <f aca="false">AJ345+MAX(K345,AK$10:AK344)</f>
        <v>3577.79844178499</v>
      </c>
      <c r="AL345" s="5" t="n">
        <f aca="false">AK345-K345</f>
        <v>12.9662797394171</v>
      </c>
      <c r="AM345" s="0" t="n">
        <f aca="false">-G345*AL345/3600</f>
        <v>-0.0594748583765077</v>
      </c>
      <c r="AN345" s="0" t="n">
        <f aca="false">-H345*AL345/3600</f>
        <v>-0.188438180373461</v>
      </c>
      <c r="AO345" s="0" t="n">
        <f aca="false">AM345*E345+AN345*D345</f>
        <v>-0.0594748583765077</v>
      </c>
      <c r="AP345" s="0" t="n">
        <f aca="false">AL345*D345</f>
        <v>0</v>
      </c>
      <c r="AR345" s="0" t="n">
        <f aca="false">AN345*D345</f>
        <v>-0</v>
      </c>
      <c r="AS345" s="0" t="n">
        <f aca="false">AH345-AR345</f>
        <v>0</v>
      </c>
    </row>
    <row r="346" customFormat="false" ht="12" hidden="false" customHeight="false" outlineLevel="0" collapsed="false">
      <c r="A346" s="3" t="n">
        <f aca="false">A345+1</f>
        <v>337</v>
      </c>
      <c r="B346" s="3" t="n">
        <f aca="false">IF(A346&lt;$N$4/3,0.1,(IF(A346&gt;2*$N$4/3,0.05,0.12)))</f>
        <v>0.12</v>
      </c>
      <c r="C346" s="4" t="n">
        <f aca="true">RAND()</f>
        <v>0.406534146081718</v>
      </c>
      <c r="D346" s="0" t="n">
        <f aca="false">IF((C346&gt;$M$2),1,0)</f>
        <v>0</v>
      </c>
      <c r="E346" s="0" t="n">
        <f aca="false">1-D346</f>
        <v>1</v>
      </c>
      <c r="F346" s="0" t="n">
        <f aca="true">RAND()</f>
        <v>0.129728684719756</v>
      </c>
      <c r="G346" s="0" t="n">
        <f aca="false">7.75+F346*10</f>
        <v>9.04728684719756</v>
      </c>
      <c r="H346" s="0" t="n">
        <f aca="false">LOGINV(F346,2.64,1.139)</f>
        <v>3.87900482838169</v>
      </c>
      <c r="I346" s="0" t="n">
        <v>19.5</v>
      </c>
      <c r="J346" s="4" t="n">
        <f aca="true">-LN(RAND())/B346</f>
        <v>6.95721044617431</v>
      </c>
      <c r="K346" s="4" t="n">
        <f aca="false">K345+J346</f>
        <v>3571.78937249175</v>
      </c>
      <c r="L346" s="4" t="n">
        <f aca="false">(1/$J$4)*(1+AB345)</f>
        <v>10</v>
      </c>
      <c r="M346" s="4" t="n">
        <f aca="false">L346+MAX(K346,Y$10:Y345)</f>
        <v>3587.79844178499</v>
      </c>
      <c r="N346" s="4" t="n">
        <f aca="false">K346</f>
        <v>3571.78937249175</v>
      </c>
      <c r="O346" s="4" t="n">
        <f aca="false">M346-K346</f>
        <v>16.0090692932426</v>
      </c>
      <c r="P346" s="4" t="n">
        <f aca="false">N346-K346</f>
        <v>0</v>
      </c>
      <c r="Q346" s="4" t="n">
        <f aca="false">A346-MATCH(K346,$M$9:M345,1)</f>
        <v>1</v>
      </c>
      <c r="R346" s="0" t="n">
        <f aca="false">-G346*(O346/3600)</f>
        <v>-0.0402329561257301</v>
      </c>
      <c r="S346" s="0" t="n">
        <f aca="false">-1*I346-(H346*(P346/3600))</f>
        <v>-19.5</v>
      </c>
      <c r="T346" s="0" t="n">
        <f aca="false">-H346*(O346/3600)</f>
        <v>-0.017249793635107</v>
      </c>
      <c r="U346" s="0" t="n">
        <f aca="false">T346-S346</f>
        <v>19.4827502063649</v>
      </c>
      <c r="V346" s="0" t="n">
        <f aca="false">1/(1+EXP(U346))</f>
        <v>3.45739573224883E-009</v>
      </c>
      <c r="W346" s="0" t="n">
        <f aca="true">RAND()</f>
        <v>0.559398059706543</v>
      </c>
      <c r="X346" s="0" t="n">
        <f aca="false">IF(W346&lt;V346,1,0)</f>
        <v>0</v>
      </c>
      <c r="Y346" s="0" t="n">
        <f aca="false">(M346*(1-X346)+N346*X346)*D346+M346*E346</f>
        <v>3587.79844178499</v>
      </c>
      <c r="Z346" s="0" t="n">
        <f aca="false">((1-X346)*O346+X346*P346)*D346+E346*O346</f>
        <v>16.0090692932426</v>
      </c>
      <c r="AA346" s="0" t="n">
        <f aca="false">IF(D346*X346&gt;0,AA345,Q346)</f>
        <v>1</v>
      </c>
      <c r="AB346" s="0" t="n">
        <f aca="false">(X346*D346)</f>
        <v>0</v>
      </c>
      <c r="AC346" s="0" t="n">
        <f aca="false">SUM(AB$10:AB345)/K346</f>
        <v>0</v>
      </c>
      <c r="AD346" s="0" t="n">
        <f aca="false">R346*E346+D346*(X346*S346+(1-X346)*T346)</f>
        <v>-0.0402329561257301</v>
      </c>
      <c r="AE346" s="0" t="n">
        <f aca="false">Z346</f>
        <v>16.0090692932426</v>
      </c>
      <c r="AF346" s="0" t="n">
        <f aca="false">E346*O346</f>
        <v>16.0090692932426</v>
      </c>
      <c r="AG346" s="0" t="n">
        <f aca="false">((1-X346)*O346+X346*P346)*D346</f>
        <v>0</v>
      </c>
      <c r="AH346" s="0" t="n">
        <f aca="false">D346*(LN(EXP(S346)+EXP(T346)))</f>
        <v>-0</v>
      </c>
      <c r="AJ346" s="0" t="n">
        <f aca="false">$J$5</f>
        <v>10</v>
      </c>
      <c r="AK346" s="4" t="n">
        <f aca="false">AJ346+MAX(K346,AK$10:AK345)</f>
        <v>3587.79844178499</v>
      </c>
      <c r="AL346" s="5" t="n">
        <f aca="false">AK346-K346</f>
        <v>16.0090692932426</v>
      </c>
      <c r="AM346" s="0" t="n">
        <f aca="false">-G346*AL346/3600</f>
        <v>-0.0402329561257301</v>
      </c>
      <c r="AN346" s="0" t="n">
        <f aca="false">-H346*AL346/3600</f>
        <v>-0.017249793635107</v>
      </c>
      <c r="AO346" s="0" t="n">
        <f aca="false">AM346*E346+AN346*D346</f>
        <v>-0.0402329561257301</v>
      </c>
      <c r="AP346" s="0" t="n">
        <f aca="false">AL346*D346</f>
        <v>0</v>
      </c>
      <c r="AR346" s="0" t="n">
        <f aca="false">AN346*D346</f>
        <v>-0</v>
      </c>
      <c r="AS346" s="0" t="n">
        <f aca="false">AH346-AR346</f>
        <v>0</v>
      </c>
    </row>
    <row r="347" customFormat="false" ht="12" hidden="false" customHeight="false" outlineLevel="0" collapsed="false">
      <c r="A347" s="3" t="n">
        <f aca="false">A346+1</f>
        <v>338</v>
      </c>
      <c r="B347" s="3" t="n">
        <f aca="false">IF(A347&lt;$N$4/3,0.1,(IF(A347&gt;2*$N$4/3,0.05,0.12)))</f>
        <v>0.12</v>
      </c>
      <c r="C347" s="4" t="n">
        <f aca="true">RAND()</f>
        <v>0.314323541915671</v>
      </c>
      <c r="D347" s="0" t="n">
        <f aca="false">IF((C347&gt;$M$2),1,0)</f>
        <v>0</v>
      </c>
      <c r="E347" s="0" t="n">
        <f aca="false">1-D347</f>
        <v>1</v>
      </c>
      <c r="F347" s="0" t="n">
        <f aca="true">RAND()</f>
        <v>0.140323780799999</v>
      </c>
      <c r="G347" s="0" t="n">
        <f aca="false">7.75+F347*10</f>
        <v>9.15323780799999</v>
      </c>
      <c r="H347" s="0" t="n">
        <f aca="false">LOGINV(F347,2.64,1.139)</f>
        <v>4.10075812946542</v>
      </c>
      <c r="I347" s="0" t="n">
        <v>19.5</v>
      </c>
      <c r="J347" s="4" t="n">
        <f aca="true">-LN(RAND())/B347</f>
        <v>17.0404782704232</v>
      </c>
      <c r="K347" s="4" t="n">
        <f aca="false">K346+J347</f>
        <v>3588.82985076217</v>
      </c>
      <c r="L347" s="4" t="n">
        <f aca="false">(1/$J$4)*(1+AB346)</f>
        <v>10</v>
      </c>
      <c r="M347" s="4" t="n">
        <f aca="false">L347+MAX(K347,Y$10:Y346)</f>
        <v>3598.82985076217</v>
      </c>
      <c r="N347" s="4" t="n">
        <f aca="false">K347</f>
        <v>3588.82985076217</v>
      </c>
      <c r="O347" s="4" t="n">
        <f aca="false">M347-K347</f>
        <v>10</v>
      </c>
      <c r="P347" s="4" t="n">
        <f aca="false">N347-K347</f>
        <v>0</v>
      </c>
      <c r="Q347" s="4" t="n">
        <f aca="false">A347-MATCH(K347,$M$9:M346,1)</f>
        <v>0</v>
      </c>
      <c r="R347" s="0" t="n">
        <f aca="false">-G347*(O347/3600)</f>
        <v>-0.0254256605777778</v>
      </c>
      <c r="S347" s="0" t="n">
        <f aca="false">-1*I347-(H347*(P347/3600))</f>
        <v>-19.5</v>
      </c>
      <c r="T347" s="0" t="n">
        <f aca="false">-H347*(O347/3600)</f>
        <v>-0.0113909948040706</v>
      </c>
      <c r="U347" s="0" t="n">
        <f aca="false">T347-S347</f>
        <v>19.4886090051959</v>
      </c>
      <c r="V347" s="0" t="n">
        <f aca="false">1/(1+EXP(U347))</f>
        <v>3.43719876898887E-009</v>
      </c>
      <c r="W347" s="0" t="n">
        <f aca="true">RAND()</f>
        <v>0.563285247859301</v>
      </c>
      <c r="X347" s="0" t="n">
        <f aca="false">IF(W347&lt;V347,1,0)</f>
        <v>0</v>
      </c>
      <c r="Y347" s="0" t="n">
        <f aca="false">(M347*(1-X347)+N347*X347)*D347+M347*E347</f>
        <v>3598.82985076217</v>
      </c>
      <c r="Z347" s="0" t="n">
        <f aca="false">((1-X347)*O347+X347*P347)*D347+E347*O347</f>
        <v>10</v>
      </c>
      <c r="AA347" s="0" t="n">
        <f aca="false">IF(D347*X347&gt;0,AA346,Q347)</f>
        <v>0</v>
      </c>
      <c r="AB347" s="0" t="n">
        <f aca="false">(X347*D347)</f>
        <v>0</v>
      </c>
      <c r="AC347" s="0" t="n">
        <f aca="false">SUM(AB$10:AB346)/K347</f>
        <v>0</v>
      </c>
      <c r="AD347" s="0" t="n">
        <f aca="false">R347*E347+D347*(X347*S347+(1-X347)*T347)</f>
        <v>-0.0254256605777778</v>
      </c>
      <c r="AE347" s="0" t="n">
        <f aca="false">Z347</f>
        <v>10</v>
      </c>
      <c r="AF347" s="0" t="n">
        <f aca="false">E347*O347</f>
        <v>10</v>
      </c>
      <c r="AG347" s="0" t="n">
        <f aca="false">((1-X347)*O347+X347*P347)*D347</f>
        <v>0</v>
      </c>
      <c r="AH347" s="0" t="n">
        <f aca="false">D347*(LN(EXP(S347)+EXP(T347)))</f>
        <v>-0</v>
      </c>
      <c r="AJ347" s="0" t="n">
        <f aca="false">$J$5</f>
        <v>10</v>
      </c>
      <c r="AK347" s="4" t="n">
        <f aca="false">AJ347+MAX(K347,AK$10:AK346)</f>
        <v>3598.82985076217</v>
      </c>
      <c r="AL347" s="5" t="n">
        <f aca="false">AK347-K347</f>
        <v>10</v>
      </c>
      <c r="AM347" s="0" t="n">
        <f aca="false">-G347*AL347/3600</f>
        <v>-0.0254256605777778</v>
      </c>
      <c r="AN347" s="0" t="n">
        <f aca="false">-H347*AL347/3600</f>
        <v>-0.0113909948040706</v>
      </c>
      <c r="AO347" s="0" t="n">
        <f aca="false">AM347*E347+AN347*D347</f>
        <v>-0.0254256605777778</v>
      </c>
      <c r="AP347" s="0" t="n">
        <f aca="false">AL347*D347</f>
        <v>0</v>
      </c>
      <c r="AR347" s="0" t="n">
        <f aca="false">AN347*D347</f>
        <v>-0</v>
      </c>
      <c r="AS347" s="0" t="n">
        <f aca="false">AH347-AR347</f>
        <v>0</v>
      </c>
    </row>
    <row r="348" customFormat="false" ht="12" hidden="false" customHeight="false" outlineLevel="0" collapsed="false">
      <c r="A348" s="3" t="n">
        <f aca="false">A347+1</f>
        <v>339</v>
      </c>
      <c r="B348" s="3" t="n">
        <f aca="false">IF(A348&lt;$N$4/3,0.1,(IF(A348&gt;2*$N$4/3,0.05,0.12)))</f>
        <v>0.12</v>
      </c>
      <c r="C348" s="4" t="n">
        <f aca="true">RAND()</f>
        <v>0.360559999116825</v>
      </c>
      <c r="D348" s="0" t="n">
        <f aca="false">IF((C348&gt;$M$2),1,0)</f>
        <v>0</v>
      </c>
      <c r="E348" s="0" t="n">
        <f aca="false">1-D348</f>
        <v>1</v>
      </c>
      <c r="F348" s="0" t="n">
        <f aca="true">RAND()</f>
        <v>0.481657426774581</v>
      </c>
      <c r="G348" s="0" t="n">
        <f aca="false">7.75+F348*10</f>
        <v>12.5665742677458</v>
      </c>
      <c r="H348" s="0" t="n">
        <f aca="false">LOGINV(F348,2.64,1.139)</f>
        <v>13.2979857815621</v>
      </c>
      <c r="I348" s="0" t="n">
        <v>19.5</v>
      </c>
      <c r="J348" s="4" t="n">
        <f aca="true">-LN(RAND())/B348</f>
        <v>9.15871534755211</v>
      </c>
      <c r="K348" s="4" t="n">
        <f aca="false">K347+J348</f>
        <v>3597.98856610972</v>
      </c>
      <c r="L348" s="4" t="n">
        <f aca="false">(1/$J$4)*(1+AB347)</f>
        <v>10</v>
      </c>
      <c r="M348" s="4" t="n">
        <f aca="false">L348+MAX(K348,Y$10:Y347)</f>
        <v>3608.82985076217</v>
      </c>
      <c r="N348" s="4" t="n">
        <f aca="false">K348</f>
        <v>3597.98856610972</v>
      </c>
      <c r="O348" s="4" t="n">
        <f aca="false">M348-K348</f>
        <v>10.8412846524479</v>
      </c>
      <c r="P348" s="4" t="n">
        <f aca="false">N348-K348</f>
        <v>0</v>
      </c>
      <c r="Q348" s="4" t="n">
        <f aca="false">A348-MATCH(K348,$M$9:M347,1)</f>
        <v>1</v>
      </c>
      <c r="R348" s="0" t="n">
        <f aca="false">-G348*(O348/3600)</f>
        <v>-0.0378438357618777</v>
      </c>
      <c r="S348" s="0" t="n">
        <f aca="false">-1*I348-(H348*(P348/3600))</f>
        <v>-19.5</v>
      </c>
      <c r="T348" s="0" t="n">
        <f aca="false">-H348*(O348/3600)</f>
        <v>-0.0400464581005891</v>
      </c>
      <c r="U348" s="0" t="n">
        <f aca="false">T348-S348</f>
        <v>19.4599535418994</v>
      </c>
      <c r="V348" s="0" t="n">
        <f aca="false">1/(1+EXP(U348))</f>
        <v>3.53711807158117E-009</v>
      </c>
      <c r="W348" s="0" t="n">
        <f aca="true">RAND()</f>
        <v>0.560629546782903</v>
      </c>
      <c r="X348" s="0" t="n">
        <f aca="false">IF(W348&lt;V348,1,0)</f>
        <v>0</v>
      </c>
      <c r="Y348" s="0" t="n">
        <f aca="false">(M348*(1-X348)+N348*X348)*D348+M348*E348</f>
        <v>3608.82985076217</v>
      </c>
      <c r="Z348" s="0" t="n">
        <f aca="false">((1-X348)*O348+X348*P348)*D348+E348*O348</f>
        <v>10.8412846524479</v>
      </c>
      <c r="AA348" s="0" t="n">
        <f aca="false">IF(D348*X348&gt;0,AA347,Q348)</f>
        <v>1</v>
      </c>
      <c r="AB348" s="0" t="n">
        <f aca="false">(X348*D348)</f>
        <v>0</v>
      </c>
      <c r="AC348" s="0" t="n">
        <f aca="false">SUM(AB$10:AB347)/K348</f>
        <v>0</v>
      </c>
      <c r="AD348" s="0" t="n">
        <f aca="false">R348*E348+D348*(X348*S348+(1-X348)*T348)</f>
        <v>-0.0378438357618777</v>
      </c>
      <c r="AE348" s="0" t="n">
        <f aca="false">Z348</f>
        <v>10.8412846524479</v>
      </c>
      <c r="AF348" s="0" t="n">
        <f aca="false">E348*O348</f>
        <v>10.8412846524479</v>
      </c>
      <c r="AG348" s="0" t="n">
        <f aca="false">((1-X348)*O348+X348*P348)*D348</f>
        <v>0</v>
      </c>
      <c r="AH348" s="0" t="n">
        <f aca="false">D348*(LN(EXP(S348)+EXP(T348)))</f>
        <v>-0</v>
      </c>
      <c r="AJ348" s="0" t="n">
        <f aca="false">$J$5</f>
        <v>10</v>
      </c>
      <c r="AK348" s="4" t="n">
        <f aca="false">AJ348+MAX(K348,AK$10:AK347)</f>
        <v>3608.82985076217</v>
      </c>
      <c r="AL348" s="5" t="n">
        <f aca="false">AK348-K348</f>
        <v>10.8412846524479</v>
      </c>
      <c r="AM348" s="0" t="n">
        <f aca="false">-G348*AL348/3600</f>
        <v>-0.0378438357618777</v>
      </c>
      <c r="AN348" s="0" t="n">
        <f aca="false">-H348*AL348/3600</f>
        <v>-0.0400464581005891</v>
      </c>
      <c r="AO348" s="0" t="n">
        <f aca="false">AM348*E348+AN348*D348</f>
        <v>-0.0378438357618777</v>
      </c>
      <c r="AP348" s="0" t="n">
        <f aca="false">AL348*D348</f>
        <v>0</v>
      </c>
      <c r="AR348" s="0" t="n">
        <f aca="false">AN348*D348</f>
        <v>-0</v>
      </c>
      <c r="AS348" s="0" t="n">
        <f aca="false">AH348-AR348</f>
        <v>0</v>
      </c>
    </row>
    <row r="349" customFormat="false" ht="12" hidden="false" customHeight="false" outlineLevel="0" collapsed="false">
      <c r="A349" s="3" t="n">
        <f aca="false">A348+1</f>
        <v>340</v>
      </c>
      <c r="B349" s="3" t="n">
        <f aca="false">IF(A349&lt;$N$4/3,0.1,(IF(A349&gt;2*$N$4/3,0.05,0.12)))</f>
        <v>0.12</v>
      </c>
      <c r="C349" s="4" t="n">
        <f aca="true">RAND()</f>
        <v>0.707066670506996</v>
      </c>
      <c r="D349" s="0" t="n">
        <f aca="false">IF((C349&gt;$M$2),1,0)</f>
        <v>0</v>
      </c>
      <c r="E349" s="0" t="n">
        <f aca="false">1-D349</f>
        <v>1</v>
      </c>
      <c r="F349" s="0" t="n">
        <f aca="true">RAND()</f>
        <v>0.491194197398959</v>
      </c>
      <c r="G349" s="0" t="n">
        <f aca="false">7.75+F349*10</f>
        <v>12.6619419739896</v>
      </c>
      <c r="H349" s="0" t="n">
        <f aca="false">LOGINV(F349,2.64,1.139)</f>
        <v>13.6652614896143</v>
      </c>
      <c r="I349" s="0" t="n">
        <v>19.5</v>
      </c>
      <c r="J349" s="4" t="n">
        <f aca="true">-LN(RAND())/B349</f>
        <v>0.781575610553255</v>
      </c>
      <c r="K349" s="4" t="n">
        <f aca="false">K348+J349</f>
        <v>3598.77014172028</v>
      </c>
      <c r="L349" s="4" t="n">
        <f aca="false">(1/$J$4)*(1+AB348)</f>
        <v>10</v>
      </c>
      <c r="M349" s="4" t="n">
        <f aca="false">L349+MAX(K349,Y$10:Y348)</f>
        <v>3618.82985076217</v>
      </c>
      <c r="N349" s="4" t="n">
        <f aca="false">K349</f>
        <v>3598.77014172028</v>
      </c>
      <c r="O349" s="4" t="n">
        <f aca="false">M349-K349</f>
        <v>20.0597090418946</v>
      </c>
      <c r="P349" s="4" t="n">
        <f aca="false">N349-K349</f>
        <v>0</v>
      </c>
      <c r="Q349" s="4" t="n">
        <f aca="false">A349-MATCH(K349,$M$9:M348,1)</f>
        <v>2</v>
      </c>
      <c r="R349" s="0" t="n">
        <f aca="false">-G349*(O349/3600)</f>
        <v>-0.0705541310843289</v>
      </c>
      <c r="S349" s="0" t="n">
        <f aca="false">-1*I349-(H349*(P349/3600))</f>
        <v>-19.5</v>
      </c>
      <c r="T349" s="0" t="n">
        <f aca="false">-H349*(O349/3600)</f>
        <v>-0.0761447692952976</v>
      </c>
      <c r="U349" s="0" t="n">
        <f aca="false">T349-S349</f>
        <v>19.4238552307047</v>
      </c>
      <c r="V349" s="0" t="n">
        <f aca="false">1/(1+EXP(U349))</f>
        <v>3.66713463082227E-009</v>
      </c>
      <c r="W349" s="0" t="n">
        <f aca="true">RAND()</f>
        <v>0.337408241427461</v>
      </c>
      <c r="X349" s="0" t="n">
        <f aca="false">IF(W349&lt;V349,1,0)</f>
        <v>0</v>
      </c>
      <c r="Y349" s="0" t="n">
        <f aca="false">(M349*(1-X349)+N349*X349)*D349+M349*E349</f>
        <v>3618.82985076217</v>
      </c>
      <c r="Z349" s="0" t="n">
        <f aca="false">((1-X349)*O349+X349*P349)*D349+E349*O349</f>
        <v>20.0597090418946</v>
      </c>
      <c r="AA349" s="0" t="n">
        <f aca="false">IF(D349*X349&gt;0,AA348,Q349)</f>
        <v>2</v>
      </c>
      <c r="AB349" s="0" t="n">
        <f aca="false">(X349*D349)</f>
        <v>0</v>
      </c>
      <c r="AC349" s="0" t="n">
        <f aca="false">SUM(AB$10:AB348)/K349</f>
        <v>0</v>
      </c>
      <c r="AD349" s="0" t="n">
        <f aca="false">R349*E349+D349*(X349*S349+(1-X349)*T349)</f>
        <v>-0.0705541310843289</v>
      </c>
      <c r="AE349" s="0" t="n">
        <f aca="false">Z349</f>
        <v>20.0597090418946</v>
      </c>
      <c r="AF349" s="0" t="n">
        <f aca="false">E349*O349</f>
        <v>20.0597090418946</v>
      </c>
      <c r="AG349" s="0" t="n">
        <f aca="false">((1-X349)*O349+X349*P349)*D349</f>
        <v>0</v>
      </c>
      <c r="AH349" s="0" t="n">
        <f aca="false">D349*(LN(EXP(S349)+EXP(T349)))</f>
        <v>-0</v>
      </c>
      <c r="AJ349" s="0" t="n">
        <f aca="false">$J$5</f>
        <v>10</v>
      </c>
      <c r="AK349" s="4" t="n">
        <f aca="false">AJ349+MAX(K349,AK$10:AK348)</f>
        <v>3618.82985076217</v>
      </c>
      <c r="AL349" s="5" t="n">
        <f aca="false">AK349-K349</f>
        <v>20.0597090418946</v>
      </c>
      <c r="AM349" s="0" t="n">
        <f aca="false">-G349*AL349/3600</f>
        <v>-0.0705541310843289</v>
      </c>
      <c r="AN349" s="0" t="n">
        <f aca="false">-H349*AL349/3600</f>
        <v>-0.0761447692952976</v>
      </c>
      <c r="AO349" s="0" t="n">
        <f aca="false">AM349*E349+AN349*D349</f>
        <v>-0.0705541310843289</v>
      </c>
      <c r="AP349" s="0" t="n">
        <f aca="false">AL349*D349</f>
        <v>0</v>
      </c>
      <c r="AR349" s="0" t="n">
        <f aca="false">AN349*D349</f>
        <v>-0</v>
      </c>
      <c r="AS349" s="0" t="n">
        <f aca="false">AH349-AR349</f>
        <v>0</v>
      </c>
    </row>
    <row r="350" customFormat="false" ht="12" hidden="false" customHeight="false" outlineLevel="0" collapsed="false">
      <c r="A350" s="3" t="n">
        <f aca="false">A349+1</f>
        <v>341</v>
      </c>
      <c r="B350" s="3" t="n">
        <f aca="false">IF(A350&lt;$N$4/3,0.1,(IF(A350&gt;2*$N$4/3,0.05,0.12)))</f>
        <v>0.12</v>
      </c>
      <c r="C350" s="4" t="n">
        <f aca="true">RAND()</f>
        <v>0.660431613897893</v>
      </c>
      <c r="D350" s="0" t="n">
        <f aca="false">IF((C350&gt;$M$2),1,0)</f>
        <v>0</v>
      </c>
      <c r="E350" s="0" t="n">
        <f aca="false">1-D350</f>
        <v>1</v>
      </c>
      <c r="F350" s="0" t="n">
        <f aca="true">RAND()</f>
        <v>0.433741335321698</v>
      </c>
      <c r="G350" s="0" t="n">
        <f aca="false">7.75+F350*10</f>
        <v>12.087413353217</v>
      </c>
      <c r="H350" s="0" t="n">
        <f aca="false">LOGINV(F350,2.64,1.139)</f>
        <v>11.587767616657</v>
      </c>
      <c r="I350" s="0" t="n">
        <v>19.5</v>
      </c>
      <c r="J350" s="4" t="n">
        <f aca="true">-LN(RAND())/B350</f>
        <v>11.5728251105627</v>
      </c>
      <c r="K350" s="4" t="n">
        <f aca="false">K349+J350</f>
        <v>3610.34296683084</v>
      </c>
      <c r="L350" s="4" t="n">
        <f aca="false">(1/$J$4)*(1+AB349)</f>
        <v>10</v>
      </c>
      <c r="M350" s="4" t="n">
        <f aca="false">L350+MAX(K350,Y$10:Y349)</f>
        <v>3628.82985076217</v>
      </c>
      <c r="N350" s="4" t="n">
        <f aca="false">K350</f>
        <v>3610.34296683084</v>
      </c>
      <c r="O350" s="4" t="n">
        <f aca="false">M350-K350</f>
        <v>18.4868839313322</v>
      </c>
      <c r="P350" s="4" t="n">
        <f aca="false">N350-K350</f>
        <v>0</v>
      </c>
      <c r="Q350" s="4" t="n">
        <f aca="false">A350-MATCH(K350,$M$9:M349,1)</f>
        <v>1</v>
      </c>
      <c r="R350" s="0" t="n">
        <f aca="false">-G350*(O350/3600)</f>
        <v>-0.0620718354697102</v>
      </c>
      <c r="S350" s="0" t="n">
        <f aca="false">-1*I350-(H350*(P350/3600))</f>
        <v>-19.5</v>
      </c>
      <c r="T350" s="0" t="n">
        <f aca="false">-H350*(O350/3600)</f>
        <v>-0.0595060319312187</v>
      </c>
      <c r="U350" s="0" t="n">
        <f aca="false">T350-S350</f>
        <v>19.4404939680688</v>
      </c>
      <c r="V350" s="0" t="n">
        <f aca="false">1/(1+EXP(U350))</f>
        <v>3.60662295600982E-009</v>
      </c>
      <c r="W350" s="0" t="n">
        <f aca="true">RAND()</f>
        <v>0.426706456471827</v>
      </c>
      <c r="X350" s="0" t="n">
        <f aca="false">IF(W350&lt;V350,1,0)</f>
        <v>0</v>
      </c>
      <c r="Y350" s="0" t="n">
        <f aca="false">(M350*(1-X350)+N350*X350)*D350+M350*E350</f>
        <v>3628.82985076217</v>
      </c>
      <c r="Z350" s="0" t="n">
        <f aca="false">((1-X350)*O350+X350*P350)*D350+E350*O350</f>
        <v>18.4868839313322</v>
      </c>
      <c r="AA350" s="0" t="n">
        <f aca="false">IF(D350*X350&gt;0,AA349,Q350)</f>
        <v>1</v>
      </c>
      <c r="AB350" s="0" t="n">
        <f aca="false">(X350*D350)</f>
        <v>0</v>
      </c>
      <c r="AC350" s="0" t="n">
        <f aca="false">SUM(AB$10:AB349)/K350</f>
        <v>0</v>
      </c>
      <c r="AD350" s="0" t="n">
        <f aca="false">R350*E350+D350*(X350*S350+(1-X350)*T350)</f>
        <v>-0.0620718354697102</v>
      </c>
      <c r="AE350" s="0" t="n">
        <f aca="false">Z350</f>
        <v>18.4868839313322</v>
      </c>
      <c r="AF350" s="0" t="n">
        <f aca="false">E350*O350</f>
        <v>18.4868839313322</v>
      </c>
      <c r="AG350" s="0" t="n">
        <f aca="false">((1-X350)*O350+X350*P350)*D350</f>
        <v>0</v>
      </c>
      <c r="AH350" s="0" t="n">
        <f aca="false">D350*(LN(EXP(S350)+EXP(T350)))</f>
        <v>-0</v>
      </c>
      <c r="AJ350" s="0" t="n">
        <f aca="false">$J$5</f>
        <v>10</v>
      </c>
      <c r="AK350" s="4" t="n">
        <f aca="false">AJ350+MAX(K350,AK$10:AK349)</f>
        <v>3628.82985076217</v>
      </c>
      <c r="AL350" s="5" t="n">
        <f aca="false">AK350-K350</f>
        <v>18.4868839313322</v>
      </c>
      <c r="AM350" s="0" t="n">
        <f aca="false">-G350*AL350/3600</f>
        <v>-0.0620718354697102</v>
      </c>
      <c r="AN350" s="0" t="n">
        <f aca="false">-H350*AL350/3600</f>
        <v>-0.0595060319312187</v>
      </c>
      <c r="AO350" s="0" t="n">
        <f aca="false">AM350*E350+AN350*D350</f>
        <v>-0.0620718354697102</v>
      </c>
      <c r="AP350" s="0" t="n">
        <f aca="false">AL350*D350</f>
        <v>0</v>
      </c>
      <c r="AR350" s="0" t="n">
        <f aca="false">AN350*D350</f>
        <v>-0</v>
      </c>
      <c r="AS350" s="0" t="n">
        <f aca="false">AH350-AR350</f>
        <v>0</v>
      </c>
    </row>
    <row r="351" customFormat="false" ht="12" hidden="false" customHeight="false" outlineLevel="0" collapsed="false">
      <c r="A351" s="3" t="n">
        <f aca="false">A350+1</f>
        <v>342</v>
      </c>
      <c r="B351" s="3" t="n">
        <f aca="false">IF(A351&lt;$N$4/3,0.1,(IF(A351&gt;2*$N$4/3,0.05,0.12)))</f>
        <v>0.12</v>
      </c>
      <c r="C351" s="4" t="n">
        <f aca="true">RAND()</f>
        <v>0.0353462694350123</v>
      </c>
      <c r="D351" s="0" t="n">
        <f aca="false">IF((C351&gt;$M$2),1,0)</f>
        <v>0</v>
      </c>
      <c r="E351" s="0" t="n">
        <f aca="false">1-D351</f>
        <v>1</v>
      </c>
      <c r="F351" s="0" t="n">
        <f aca="true">RAND()</f>
        <v>0.602924167596209</v>
      </c>
      <c r="G351" s="0" t="n">
        <f aca="false">7.75+F351*10</f>
        <v>13.7792416759621</v>
      </c>
      <c r="H351" s="0" t="n">
        <f aca="false">LOGINV(F351,2.64,1.139)</f>
        <v>18.8627980674082</v>
      </c>
      <c r="I351" s="0" t="n">
        <v>19.5</v>
      </c>
      <c r="J351" s="4" t="n">
        <f aca="true">-LN(RAND())/B351</f>
        <v>8.00354803477324</v>
      </c>
      <c r="K351" s="4" t="n">
        <f aca="false">K350+J351</f>
        <v>3618.34651486561</v>
      </c>
      <c r="L351" s="4" t="n">
        <f aca="false">(1/$J$4)*(1+AB350)</f>
        <v>10</v>
      </c>
      <c r="M351" s="4" t="n">
        <f aca="false">L351+MAX(K351,Y$10:Y350)</f>
        <v>3638.82985076217</v>
      </c>
      <c r="N351" s="4" t="n">
        <f aca="false">K351</f>
        <v>3618.34651486561</v>
      </c>
      <c r="O351" s="4" t="n">
        <f aca="false">M351-K351</f>
        <v>20.4833358965589</v>
      </c>
      <c r="P351" s="4" t="n">
        <f aca="false">N351-K351</f>
        <v>0</v>
      </c>
      <c r="Q351" s="4" t="n">
        <f aca="false">A351-MATCH(K351,$M$9:M350,1)</f>
        <v>2</v>
      </c>
      <c r="R351" s="0" t="n">
        <f aca="false">-G351*(O351/3600)</f>
        <v>-0.0784013432357206</v>
      </c>
      <c r="S351" s="0" t="n">
        <f aca="false">-1*I351-(H351*(P351/3600))</f>
        <v>-19.5</v>
      </c>
      <c r="T351" s="0" t="n">
        <f aca="false">-H351*(O351/3600)</f>
        <v>-0.107325841323245</v>
      </c>
      <c r="U351" s="0" t="n">
        <f aca="false">T351-S351</f>
        <v>19.3926741586768</v>
      </c>
      <c r="V351" s="0" t="n">
        <f aca="false">1/(1+EXP(U351))</f>
        <v>3.78328119643501E-009</v>
      </c>
      <c r="W351" s="0" t="n">
        <f aca="true">RAND()</f>
        <v>0.604588785927681</v>
      </c>
      <c r="X351" s="0" t="n">
        <f aca="false">IF(W351&lt;V351,1,0)</f>
        <v>0</v>
      </c>
      <c r="Y351" s="0" t="n">
        <f aca="false">(M351*(1-X351)+N351*X351)*D351+M351*E351</f>
        <v>3638.82985076217</v>
      </c>
      <c r="Z351" s="0" t="n">
        <f aca="false">((1-X351)*O351+X351*P351)*D351+E351*O351</f>
        <v>20.4833358965589</v>
      </c>
      <c r="AA351" s="0" t="n">
        <f aca="false">IF(D351*X351&gt;0,AA350,Q351)</f>
        <v>2</v>
      </c>
      <c r="AB351" s="0" t="n">
        <f aca="false">(X351*D351)</f>
        <v>0</v>
      </c>
      <c r="AC351" s="0" t="n">
        <f aca="false">SUM(AB$10:AB350)/K351</f>
        <v>0</v>
      </c>
      <c r="AD351" s="0" t="n">
        <f aca="false">R351*E351+D351*(X351*S351+(1-X351)*T351)</f>
        <v>-0.0784013432357206</v>
      </c>
      <c r="AE351" s="0" t="n">
        <f aca="false">Z351</f>
        <v>20.4833358965589</v>
      </c>
      <c r="AF351" s="0" t="n">
        <f aca="false">E351*O351</f>
        <v>20.4833358965589</v>
      </c>
      <c r="AG351" s="0" t="n">
        <f aca="false">((1-X351)*O351+X351*P351)*D351</f>
        <v>0</v>
      </c>
      <c r="AH351" s="0" t="n">
        <f aca="false">D351*(LN(EXP(S351)+EXP(T351)))</f>
        <v>-0</v>
      </c>
      <c r="AJ351" s="0" t="n">
        <f aca="false">$J$5</f>
        <v>10</v>
      </c>
      <c r="AK351" s="4" t="n">
        <f aca="false">AJ351+MAX(K351,AK$10:AK350)</f>
        <v>3638.82985076217</v>
      </c>
      <c r="AL351" s="5" t="n">
        <f aca="false">AK351-K351</f>
        <v>20.4833358965589</v>
      </c>
      <c r="AM351" s="0" t="n">
        <f aca="false">-G351*AL351/3600</f>
        <v>-0.0784013432357206</v>
      </c>
      <c r="AN351" s="0" t="n">
        <f aca="false">-H351*AL351/3600</f>
        <v>-0.107325841323245</v>
      </c>
      <c r="AO351" s="0" t="n">
        <f aca="false">AM351*E351+AN351*D351</f>
        <v>-0.0784013432357206</v>
      </c>
      <c r="AP351" s="0" t="n">
        <f aca="false">AL351*D351</f>
        <v>0</v>
      </c>
      <c r="AR351" s="0" t="n">
        <f aca="false">AN351*D351</f>
        <v>-0</v>
      </c>
      <c r="AS351" s="0" t="n">
        <f aca="false">AH351-AR351</f>
        <v>0</v>
      </c>
    </row>
    <row r="352" customFormat="false" ht="12" hidden="false" customHeight="false" outlineLevel="0" collapsed="false">
      <c r="A352" s="3" t="n">
        <f aca="false">A351+1</f>
        <v>343</v>
      </c>
      <c r="B352" s="3" t="n">
        <f aca="false">IF(A352&lt;$N$4/3,0.1,(IF(A352&gt;2*$N$4/3,0.05,0.12)))</f>
        <v>0.12</v>
      </c>
      <c r="C352" s="4" t="n">
        <f aca="true">RAND()</f>
        <v>0.972390927013973</v>
      </c>
      <c r="D352" s="0" t="n">
        <f aca="false">IF((C352&gt;$M$2),1,0)</f>
        <v>1</v>
      </c>
      <c r="E352" s="0" t="n">
        <f aca="false">1-D352</f>
        <v>0</v>
      </c>
      <c r="F352" s="0" t="n">
        <f aca="true">RAND()</f>
        <v>0.0166250210937349</v>
      </c>
      <c r="G352" s="0" t="n">
        <f aca="false">7.75+F352*10</f>
        <v>7.91625021093735</v>
      </c>
      <c r="H352" s="0" t="n">
        <f aca="false">LOGINV(F352,2.64,1.139)</f>
        <v>1.23987544299865</v>
      </c>
      <c r="I352" s="0" t="n">
        <v>19.5</v>
      </c>
      <c r="J352" s="4" t="n">
        <f aca="true">-LN(RAND())/B352</f>
        <v>1.43212471301716</v>
      </c>
      <c r="K352" s="4" t="n">
        <f aca="false">K351+J352</f>
        <v>3619.77863957863</v>
      </c>
      <c r="L352" s="4" t="n">
        <f aca="false">(1/$J$4)*(1+AB351)</f>
        <v>10</v>
      </c>
      <c r="M352" s="4" t="n">
        <f aca="false">L352+MAX(K352,Y$10:Y351)</f>
        <v>3648.82985076217</v>
      </c>
      <c r="N352" s="4" t="n">
        <f aca="false">K352</f>
        <v>3619.77863957863</v>
      </c>
      <c r="O352" s="4" t="n">
        <f aca="false">M352-K352</f>
        <v>29.0512111835419</v>
      </c>
      <c r="P352" s="4" t="n">
        <f aca="false">N352-K352</f>
        <v>0</v>
      </c>
      <c r="Q352" s="4" t="n">
        <f aca="false">A352-MATCH(K352,$M$9:M351,1)</f>
        <v>2</v>
      </c>
      <c r="R352" s="0" t="n">
        <f aca="false">-G352*(O352/3600)</f>
        <v>-0.0638824046276942</v>
      </c>
      <c r="S352" s="0" t="n">
        <f aca="false">-1*I352-(H352*(P352/3600))</f>
        <v>-19.5</v>
      </c>
      <c r="T352" s="0" t="n">
        <f aca="false">-H352*(O352/3600)</f>
        <v>-0.0100055231488448</v>
      </c>
      <c r="U352" s="0" t="n">
        <f aca="false">T352-S352</f>
        <v>19.4899944768512</v>
      </c>
      <c r="V352" s="0" t="n">
        <f aca="false">1/(1+EXP(U352))</f>
        <v>3.43243992492042E-009</v>
      </c>
      <c r="W352" s="0" t="n">
        <f aca="true">RAND()</f>
        <v>0.798936378868264</v>
      </c>
      <c r="X352" s="0" t="n">
        <f aca="false">IF(W352&lt;V352,1,0)</f>
        <v>0</v>
      </c>
      <c r="Y352" s="0" t="n">
        <f aca="false">(M352*(1-X352)+N352*X352)*D352+M352*E352</f>
        <v>3648.82985076217</v>
      </c>
      <c r="Z352" s="0" t="n">
        <f aca="false">((1-X352)*O352+X352*P352)*D352+E352*O352</f>
        <v>29.0512111835419</v>
      </c>
      <c r="AA352" s="0" t="n">
        <f aca="false">IF(D352*X352&gt;0,AA351,Q352)</f>
        <v>2</v>
      </c>
      <c r="AB352" s="0" t="n">
        <f aca="false">(X352*D352)</f>
        <v>0</v>
      </c>
      <c r="AC352" s="0" t="n">
        <f aca="false">SUM(AB$10:AB351)/K352</f>
        <v>0</v>
      </c>
      <c r="AD352" s="0" t="n">
        <f aca="false">R352*E352+D352*(X352*S352+(1-X352)*T352)</f>
        <v>-0.0100055231488448</v>
      </c>
      <c r="AE352" s="0" t="n">
        <f aca="false">Z352</f>
        <v>29.0512111835419</v>
      </c>
      <c r="AF352" s="0" t="n">
        <f aca="false">E352*O352</f>
        <v>0</v>
      </c>
      <c r="AG352" s="0" t="n">
        <f aca="false">((1-X352)*O352+X352*P352)*D352</f>
        <v>29.0512111835419</v>
      </c>
      <c r="AH352" s="0" t="n">
        <f aca="false">D352*(LN(EXP(S352)+EXP(T352)))</f>
        <v>-0.0100055197164049</v>
      </c>
      <c r="AJ352" s="0" t="n">
        <f aca="false">$J$5</f>
        <v>10</v>
      </c>
      <c r="AK352" s="4" t="n">
        <f aca="false">AJ352+MAX(K352,AK$10:AK351)</f>
        <v>3648.82985076217</v>
      </c>
      <c r="AL352" s="5" t="n">
        <f aca="false">AK352-K352</f>
        <v>29.0512111835419</v>
      </c>
      <c r="AM352" s="0" t="n">
        <f aca="false">-G352*AL352/3600</f>
        <v>-0.0638824046276942</v>
      </c>
      <c r="AN352" s="0" t="n">
        <f aca="false">-H352*AL352/3600</f>
        <v>-0.0100055231488448</v>
      </c>
      <c r="AO352" s="0" t="n">
        <f aca="false">AM352*E352+AN352*D352</f>
        <v>-0.0100055231488448</v>
      </c>
      <c r="AP352" s="0" t="n">
        <f aca="false">AL352*D352</f>
        <v>29.0512111835419</v>
      </c>
      <c r="AR352" s="0" t="n">
        <f aca="false">AN352*D352</f>
        <v>-0.0100055231488448</v>
      </c>
      <c r="AS352" s="0" t="n">
        <f aca="false">AH352-AR352</f>
        <v>3.43243992256825E-009</v>
      </c>
    </row>
    <row r="353" customFormat="false" ht="12" hidden="false" customHeight="false" outlineLevel="0" collapsed="false">
      <c r="A353" s="3" t="n">
        <f aca="false">A352+1</f>
        <v>344</v>
      </c>
      <c r="B353" s="3" t="n">
        <f aca="false">IF(A353&lt;$N$4/3,0.1,(IF(A353&gt;2*$N$4/3,0.05,0.12)))</f>
        <v>0.12</v>
      </c>
      <c r="C353" s="4" t="n">
        <f aca="true">RAND()</f>
        <v>0.363886768118708</v>
      </c>
      <c r="D353" s="0" t="n">
        <f aca="false">IF((C353&gt;$M$2),1,0)</f>
        <v>0</v>
      </c>
      <c r="E353" s="0" t="n">
        <f aca="false">1-D353</f>
        <v>1</v>
      </c>
      <c r="F353" s="0" t="n">
        <f aca="true">RAND()</f>
        <v>0.287981048854493</v>
      </c>
      <c r="G353" s="0" t="n">
        <f aca="false">7.75+F353*10</f>
        <v>10.6298104885449</v>
      </c>
      <c r="H353" s="0" t="n">
        <f aca="false">LOGINV(F353,2.64,1.139)</f>
        <v>7.41100321567951</v>
      </c>
      <c r="I353" s="0" t="n">
        <v>19.5</v>
      </c>
      <c r="J353" s="4" t="n">
        <f aca="true">-LN(RAND())/B353</f>
        <v>10.6274854704703</v>
      </c>
      <c r="K353" s="4" t="n">
        <f aca="false">K352+J353</f>
        <v>3630.4061250491</v>
      </c>
      <c r="L353" s="4" t="n">
        <f aca="false">(1/$J$4)*(1+AB352)</f>
        <v>10</v>
      </c>
      <c r="M353" s="4" t="n">
        <f aca="false">L353+MAX(K353,Y$10:Y352)</f>
        <v>3658.82985076217</v>
      </c>
      <c r="N353" s="4" t="n">
        <f aca="false">K353</f>
        <v>3630.4061250491</v>
      </c>
      <c r="O353" s="4" t="n">
        <f aca="false">M353-K353</f>
        <v>28.4237257130717</v>
      </c>
      <c r="P353" s="4" t="n">
        <f aca="false">N353-K353</f>
        <v>0</v>
      </c>
      <c r="Q353" s="4" t="n">
        <f aca="false">A353-MATCH(K353,$M$9:M352,1)</f>
        <v>2</v>
      </c>
      <c r="R353" s="0" t="n">
        <f aca="false">-G353*(O353/3600)</f>
        <v>-0.083927449363426</v>
      </c>
      <c r="S353" s="0" t="n">
        <f aca="false">-1*I353-(H353*(P353/3600))</f>
        <v>-19.5</v>
      </c>
      <c r="T353" s="0" t="n">
        <f aca="false">-H353*(O353/3600)</f>
        <v>-0.0585134229614352</v>
      </c>
      <c r="U353" s="0" t="n">
        <f aca="false">T353-S353</f>
        <v>19.4414865770386</v>
      </c>
      <c r="V353" s="0" t="n">
        <f aca="false">1/(1+EXP(U353))</f>
        <v>3.60304476589156E-009</v>
      </c>
      <c r="W353" s="0" t="n">
        <f aca="true">RAND()</f>
        <v>0.198755775119278</v>
      </c>
      <c r="X353" s="0" t="n">
        <f aca="false">IF(W353&lt;V353,1,0)</f>
        <v>0</v>
      </c>
      <c r="Y353" s="0" t="n">
        <f aca="false">(M353*(1-X353)+N353*X353)*D353+M353*E353</f>
        <v>3658.82985076217</v>
      </c>
      <c r="Z353" s="0" t="n">
        <f aca="false">((1-X353)*O353+X353*P353)*D353+E353*O353</f>
        <v>28.4237257130717</v>
      </c>
      <c r="AA353" s="0" t="n">
        <f aca="false">IF(D353*X353&gt;0,AA352,Q353)</f>
        <v>2</v>
      </c>
      <c r="AB353" s="0" t="n">
        <f aca="false">(X353*D353)</f>
        <v>0</v>
      </c>
      <c r="AC353" s="0" t="n">
        <f aca="false">SUM(AB$10:AB352)/K353</f>
        <v>0</v>
      </c>
      <c r="AD353" s="0" t="n">
        <f aca="false">R353*E353+D353*(X353*S353+(1-X353)*T353)</f>
        <v>-0.083927449363426</v>
      </c>
      <c r="AE353" s="0" t="n">
        <f aca="false">Z353</f>
        <v>28.4237257130717</v>
      </c>
      <c r="AF353" s="0" t="n">
        <f aca="false">E353*O353</f>
        <v>28.4237257130717</v>
      </c>
      <c r="AG353" s="0" t="n">
        <f aca="false">((1-X353)*O353+X353*P353)*D353</f>
        <v>0</v>
      </c>
      <c r="AH353" s="0" t="n">
        <f aca="false">D353*(LN(EXP(S353)+EXP(T353)))</f>
        <v>-0</v>
      </c>
      <c r="AJ353" s="0" t="n">
        <f aca="false">$J$5</f>
        <v>10</v>
      </c>
      <c r="AK353" s="4" t="n">
        <f aca="false">AJ353+MAX(K353,AK$10:AK352)</f>
        <v>3658.82985076217</v>
      </c>
      <c r="AL353" s="5" t="n">
        <f aca="false">AK353-K353</f>
        <v>28.4237257130717</v>
      </c>
      <c r="AM353" s="0" t="n">
        <f aca="false">-G353*AL353/3600</f>
        <v>-0.083927449363426</v>
      </c>
      <c r="AN353" s="0" t="n">
        <f aca="false">-H353*AL353/3600</f>
        <v>-0.0585134229614352</v>
      </c>
      <c r="AO353" s="0" t="n">
        <f aca="false">AM353*E353+AN353*D353</f>
        <v>-0.083927449363426</v>
      </c>
      <c r="AP353" s="0" t="n">
        <f aca="false">AL353*D353</f>
        <v>0</v>
      </c>
      <c r="AR353" s="0" t="n">
        <f aca="false">AN353*D353</f>
        <v>-0</v>
      </c>
      <c r="AS353" s="0" t="n">
        <f aca="false">AH353-AR353</f>
        <v>0</v>
      </c>
    </row>
    <row r="354" customFormat="false" ht="12" hidden="false" customHeight="false" outlineLevel="0" collapsed="false">
      <c r="A354" s="3" t="n">
        <f aca="false">A353+1</f>
        <v>345</v>
      </c>
      <c r="B354" s="3" t="n">
        <f aca="false">IF(A354&lt;$N$4/3,0.1,(IF(A354&gt;2*$N$4/3,0.05,0.12)))</f>
        <v>0.12</v>
      </c>
      <c r="C354" s="4" t="n">
        <f aca="true">RAND()</f>
        <v>0.66763529830419</v>
      </c>
      <c r="D354" s="0" t="n">
        <f aca="false">IF((C354&gt;$M$2),1,0)</f>
        <v>0</v>
      </c>
      <c r="E354" s="0" t="n">
        <f aca="false">1-D354</f>
        <v>1</v>
      </c>
      <c r="F354" s="0" t="n">
        <f aca="true">RAND()</f>
        <v>0.714700703813626</v>
      </c>
      <c r="G354" s="0" t="n">
        <f aca="false">7.75+F354*10</f>
        <v>14.8970070381363</v>
      </c>
      <c r="H354" s="0" t="n">
        <f aca="false">LOGINV(F354,2.64,1.139)</f>
        <v>26.7358882075533</v>
      </c>
      <c r="I354" s="0" t="n">
        <v>19.5</v>
      </c>
      <c r="J354" s="4" t="n">
        <f aca="true">-LN(RAND())/B354</f>
        <v>24.8716405624332</v>
      </c>
      <c r="K354" s="4" t="n">
        <f aca="false">K353+J354</f>
        <v>3655.27776561153</v>
      </c>
      <c r="L354" s="4" t="n">
        <f aca="false">(1/$J$4)*(1+AB353)</f>
        <v>10</v>
      </c>
      <c r="M354" s="4" t="n">
        <f aca="false">L354+MAX(K354,Y$10:Y353)</f>
        <v>3668.82985076217</v>
      </c>
      <c r="N354" s="4" t="n">
        <f aca="false">K354</f>
        <v>3655.27776561153</v>
      </c>
      <c r="O354" s="4" t="n">
        <f aca="false">M354-K354</f>
        <v>13.5520851506385</v>
      </c>
      <c r="P354" s="4" t="n">
        <f aca="false">N354-K354</f>
        <v>0</v>
      </c>
      <c r="Q354" s="4" t="n">
        <f aca="false">A354-MATCH(K354,$M$9:M353,1)</f>
        <v>1</v>
      </c>
      <c r="R354" s="0" t="n">
        <f aca="false">-G354*(O354/3600)</f>
        <v>-0.056079307741801</v>
      </c>
      <c r="S354" s="0" t="n">
        <f aca="false">-1*I354-(H354*(P354/3600))</f>
        <v>-19.5</v>
      </c>
      <c r="T354" s="0" t="n">
        <f aca="false">-H354*(O354/3600)</f>
        <v>-0.100646398212976</v>
      </c>
      <c r="U354" s="0" t="n">
        <f aca="false">T354-S354</f>
        <v>19.399353601787</v>
      </c>
      <c r="V354" s="0" t="n">
        <f aca="false">1/(1+EXP(U354))</f>
        <v>3.75809519288648E-009</v>
      </c>
      <c r="W354" s="0" t="n">
        <f aca="true">RAND()</f>
        <v>0.561104037263973</v>
      </c>
      <c r="X354" s="0" t="n">
        <f aca="false">IF(W354&lt;V354,1,0)</f>
        <v>0</v>
      </c>
      <c r="Y354" s="0" t="n">
        <f aca="false">(M354*(1-X354)+N354*X354)*D354+M354*E354</f>
        <v>3668.82985076217</v>
      </c>
      <c r="Z354" s="0" t="n">
        <f aca="false">((1-X354)*O354+X354*P354)*D354+E354*O354</f>
        <v>13.5520851506385</v>
      </c>
      <c r="AA354" s="0" t="n">
        <f aca="false">IF(D354*X354&gt;0,AA353,Q354)</f>
        <v>1</v>
      </c>
      <c r="AB354" s="0" t="n">
        <f aca="false">(X354*D354)</f>
        <v>0</v>
      </c>
      <c r="AC354" s="0" t="n">
        <f aca="false">SUM(AB$10:AB353)/K354</f>
        <v>0</v>
      </c>
      <c r="AD354" s="0" t="n">
        <f aca="false">R354*E354+D354*(X354*S354+(1-X354)*T354)</f>
        <v>-0.056079307741801</v>
      </c>
      <c r="AE354" s="0" t="n">
        <f aca="false">Z354</f>
        <v>13.5520851506385</v>
      </c>
      <c r="AF354" s="0" t="n">
        <f aca="false">E354*O354</f>
        <v>13.5520851506385</v>
      </c>
      <c r="AG354" s="0" t="n">
        <f aca="false">((1-X354)*O354+X354*P354)*D354</f>
        <v>0</v>
      </c>
      <c r="AH354" s="0" t="n">
        <f aca="false">D354*(LN(EXP(S354)+EXP(T354)))</f>
        <v>-0</v>
      </c>
      <c r="AJ354" s="0" t="n">
        <f aca="false">$J$5</f>
        <v>10</v>
      </c>
      <c r="AK354" s="4" t="n">
        <f aca="false">AJ354+MAX(K354,AK$10:AK353)</f>
        <v>3668.82985076217</v>
      </c>
      <c r="AL354" s="5" t="n">
        <f aca="false">AK354-K354</f>
        <v>13.5520851506385</v>
      </c>
      <c r="AM354" s="0" t="n">
        <f aca="false">-G354*AL354/3600</f>
        <v>-0.056079307741801</v>
      </c>
      <c r="AN354" s="0" t="n">
        <f aca="false">-H354*AL354/3600</f>
        <v>-0.100646398212976</v>
      </c>
      <c r="AO354" s="0" t="n">
        <f aca="false">AM354*E354+AN354*D354</f>
        <v>-0.056079307741801</v>
      </c>
      <c r="AP354" s="0" t="n">
        <f aca="false">AL354*D354</f>
        <v>0</v>
      </c>
      <c r="AR354" s="0" t="n">
        <f aca="false">AN354*D354</f>
        <v>-0</v>
      </c>
      <c r="AS354" s="0" t="n">
        <f aca="false">AH354-AR354</f>
        <v>0</v>
      </c>
    </row>
    <row r="355" customFormat="false" ht="12" hidden="false" customHeight="false" outlineLevel="0" collapsed="false">
      <c r="A355" s="3" t="n">
        <f aca="false">A354+1</f>
        <v>346</v>
      </c>
      <c r="B355" s="3" t="n">
        <f aca="false">IF(A355&lt;$N$4/3,0.1,(IF(A355&gt;2*$N$4/3,0.05,0.12)))</f>
        <v>0.12</v>
      </c>
      <c r="C355" s="4" t="n">
        <f aca="true">RAND()</f>
        <v>0.578432762411041</v>
      </c>
      <c r="D355" s="0" t="n">
        <f aca="false">IF((C355&gt;$M$2),1,0)</f>
        <v>0</v>
      </c>
      <c r="E355" s="0" t="n">
        <f aca="false">1-D355</f>
        <v>1</v>
      </c>
      <c r="F355" s="0" t="n">
        <f aca="true">RAND()</f>
        <v>0.564724364819999</v>
      </c>
      <c r="G355" s="0" t="n">
        <f aca="false">7.75+F355*10</f>
        <v>13.3972436482</v>
      </c>
      <c r="H355" s="0" t="n">
        <f aca="false">LOGINV(F355,2.64,1.139)</f>
        <v>16.8712248569742</v>
      </c>
      <c r="I355" s="0" t="n">
        <v>19.5</v>
      </c>
      <c r="J355" s="4" t="n">
        <f aca="true">-LN(RAND())/B355</f>
        <v>1.00737301664493</v>
      </c>
      <c r="K355" s="4" t="n">
        <f aca="false">K354+J355</f>
        <v>3656.28513862818</v>
      </c>
      <c r="L355" s="4" t="n">
        <f aca="false">(1/$J$4)*(1+AB354)</f>
        <v>10</v>
      </c>
      <c r="M355" s="4" t="n">
        <f aca="false">L355+MAX(K355,Y$10:Y354)</f>
        <v>3678.82985076217</v>
      </c>
      <c r="N355" s="4" t="n">
        <f aca="false">K355</f>
        <v>3656.28513862818</v>
      </c>
      <c r="O355" s="4" t="n">
        <f aca="false">M355-K355</f>
        <v>22.5447121339935</v>
      </c>
      <c r="P355" s="4" t="n">
        <f aca="false">N355-K355</f>
        <v>0</v>
      </c>
      <c r="Q355" s="4" t="n">
        <f aca="false">A355-MATCH(K355,$M$9:M354,1)</f>
        <v>2</v>
      </c>
      <c r="R355" s="0" t="n">
        <f aca="false">-G355*(O355/3600)</f>
        <v>-0.0838991670660115</v>
      </c>
      <c r="S355" s="0" t="n">
        <f aca="false">-1*I355-(H355*(P355/3600))</f>
        <v>-19.5</v>
      </c>
      <c r="T355" s="0" t="n">
        <f aca="false">-H355*(O355/3600)</f>
        <v>-0.105654696596766</v>
      </c>
      <c r="U355" s="0" t="n">
        <f aca="false">T355-S355</f>
        <v>19.3943453034032</v>
      </c>
      <c r="V355" s="0" t="n">
        <f aca="false">1/(1+EXP(U355))</f>
        <v>3.77696406592851E-009</v>
      </c>
      <c r="W355" s="0" t="n">
        <f aca="true">RAND()</f>
        <v>0.45228311758972</v>
      </c>
      <c r="X355" s="0" t="n">
        <f aca="false">IF(W355&lt;V355,1,0)</f>
        <v>0</v>
      </c>
      <c r="Y355" s="0" t="n">
        <f aca="false">(M355*(1-X355)+N355*X355)*D355+M355*E355</f>
        <v>3678.82985076217</v>
      </c>
      <c r="Z355" s="0" t="n">
        <f aca="false">((1-X355)*O355+X355*P355)*D355+E355*O355</f>
        <v>22.5447121339935</v>
      </c>
      <c r="AA355" s="0" t="n">
        <f aca="false">IF(D355*X355&gt;0,AA354,Q355)</f>
        <v>2</v>
      </c>
      <c r="AB355" s="0" t="n">
        <f aca="false">(X355*D355)</f>
        <v>0</v>
      </c>
      <c r="AC355" s="0" t="n">
        <f aca="false">SUM(AB$10:AB354)/K355</f>
        <v>0</v>
      </c>
      <c r="AD355" s="0" t="n">
        <f aca="false">R355*E355+D355*(X355*S355+(1-X355)*T355)</f>
        <v>-0.0838991670660115</v>
      </c>
      <c r="AE355" s="0" t="n">
        <f aca="false">Z355</f>
        <v>22.5447121339935</v>
      </c>
      <c r="AF355" s="0" t="n">
        <f aca="false">E355*O355</f>
        <v>22.5447121339935</v>
      </c>
      <c r="AG355" s="0" t="n">
        <f aca="false">((1-X355)*O355+X355*P355)*D355</f>
        <v>0</v>
      </c>
      <c r="AH355" s="0" t="n">
        <f aca="false">D355*(LN(EXP(S355)+EXP(T355)))</f>
        <v>-0</v>
      </c>
      <c r="AJ355" s="0" t="n">
        <f aca="false">$J$5</f>
        <v>10</v>
      </c>
      <c r="AK355" s="4" t="n">
        <f aca="false">AJ355+MAX(K355,AK$10:AK354)</f>
        <v>3678.82985076217</v>
      </c>
      <c r="AL355" s="5" t="n">
        <f aca="false">AK355-K355</f>
        <v>22.5447121339935</v>
      </c>
      <c r="AM355" s="0" t="n">
        <f aca="false">-G355*AL355/3600</f>
        <v>-0.0838991670660115</v>
      </c>
      <c r="AN355" s="0" t="n">
        <f aca="false">-H355*AL355/3600</f>
        <v>-0.105654696596766</v>
      </c>
      <c r="AO355" s="0" t="n">
        <f aca="false">AM355*E355+AN355*D355</f>
        <v>-0.0838991670660115</v>
      </c>
      <c r="AP355" s="0" t="n">
        <f aca="false">AL355*D355</f>
        <v>0</v>
      </c>
      <c r="AR355" s="0" t="n">
        <f aca="false">AN355*D355</f>
        <v>-0</v>
      </c>
      <c r="AS355" s="0" t="n">
        <f aca="false">AH355-AR355</f>
        <v>0</v>
      </c>
    </row>
    <row r="356" customFormat="false" ht="12" hidden="false" customHeight="false" outlineLevel="0" collapsed="false">
      <c r="A356" s="3" t="n">
        <f aca="false">A355+1</f>
        <v>347</v>
      </c>
      <c r="B356" s="3" t="n">
        <f aca="false">IF(A356&lt;$N$4/3,0.1,(IF(A356&gt;2*$N$4/3,0.05,0.12)))</f>
        <v>0.12</v>
      </c>
      <c r="C356" s="4" t="n">
        <f aca="true">RAND()</f>
        <v>0.044306999556276</v>
      </c>
      <c r="D356" s="0" t="n">
        <f aca="false">IF((C356&gt;$M$2),1,0)</f>
        <v>0</v>
      </c>
      <c r="E356" s="0" t="n">
        <f aca="false">1-D356</f>
        <v>1</v>
      </c>
      <c r="F356" s="0" t="n">
        <f aca="true">RAND()</f>
        <v>0.371838789403931</v>
      </c>
      <c r="G356" s="0" t="n">
        <f aca="false">7.75+F356*10</f>
        <v>11.4683878940393</v>
      </c>
      <c r="H356" s="0" t="n">
        <f aca="false">LOGINV(F356,2.64,1.139)</f>
        <v>9.65582729421924</v>
      </c>
      <c r="I356" s="0" t="n">
        <v>19.5</v>
      </c>
      <c r="J356" s="4" t="n">
        <f aca="true">-LN(RAND())/B356</f>
        <v>4.7568056722511</v>
      </c>
      <c r="K356" s="4" t="n">
        <f aca="false">K355+J356</f>
        <v>3661.04194430043</v>
      </c>
      <c r="L356" s="4" t="n">
        <f aca="false">(1/$J$4)*(1+AB355)</f>
        <v>10</v>
      </c>
      <c r="M356" s="4" t="n">
        <f aca="false">L356+MAX(K356,Y$10:Y355)</f>
        <v>3688.82985076217</v>
      </c>
      <c r="N356" s="4" t="n">
        <f aca="false">K356</f>
        <v>3661.04194430043</v>
      </c>
      <c r="O356" s="4" t="n">
        <f aca="false">M356-K356</f>
        <v>27.7879064617423</v>
      </c>
      <c r="P356" s="4" t="n">
        <f aca="false">N356-K356</f>
        <v>0</v>
      </c>
      <c r="Q356" s="4" t="n">
        <f aca="false">A356-MATCH(K356,$M$9:M355,1)</f>
        <v>2</v>
      </c>
      <c r="R356" s="0" t="n">
        <f aca="false">-G356*(O356/3600)</f>
        <v>-0.0885229139073728</v>
      </c>
      <c r="S356" s="0" t="n">
        <f aca="false">-1*I356-(H356*(P356/3600))</f>
        <v>-19.5</v>
      </c>
      <c r="T356" s="0" t="n">
        <f aca="false">-H356*(O356/3600)</f>
        <v>-0.0745320071284729</v>
      </c>
      <c r="U356" s="0" t="n">
        <f aca="false">T356-S356</f>
        <v>19.4254679928715</v>
      </c>
      <c r="V356" s="0" t="n">
        <f aca="false">1/(1+EXP(U356))</f>
        <v>3.66122518139978E-009</v>
      </c>
      <c r="W356" s="0" t="n">
        <f aca="true">RAND()</f>
        <v>0.240952920589459</v>
      </c>
      <c r="X356" s="0" t="n">
        <f aca="false">IF(W356&lt;V356,1,0)</f>
        <v>0</v>
      </c>
      <c r="Y356" s="0" t="n">
        <f aca="false">(M356*(1-X356)+N356*X356)*D356+M356*E356</f>
        <v>3688.82985076217</v>
      </c>
      <c r="Z356" s="0" t="n">
        <f aca="false">((1-X356)*O356+X356*P356)*D356+E356*O356</f>
        <v>27.7879064617423</v>
      </c>
      <c r="AA356" s="0" t="n">
        <f aca="false">IF(D356*X356&gt;0,AA355,Q356)</f>
        <v>2</v>
      </c>
      <c r="AB356" s="0" t="n">
        <f aca="false">(X356*D356)</f>
        <v>0</v>
      </c>
      <c r="AC356" s="0" t="n">
        <f aca="false">SUM(AB$10:AB355)/K356</f>
        <v>0</v>
      </c>
      <c r="AD356" s="0" t="n">
        <f aca="false">R356*E356+D356*(X356*S356+(1-X356)*T356)</f>
        <v>-0.0885229139073728</v>
      </c>
      <c r="AE356" s="0" t="n">
        <f aca="false">Z356</f>
        <v>27.7879064617423</v>
      </c>
      <c r="AF356" s="0" t="n">
        <f aca="false">E356*O356</f>
        <v>27.7879064617423</v>
      </c>
      <c r="AG356" s="0" t="n">
        <f aca="false">((1-X356)*O356+X356*P356)*D356</f>
        <v>0</v>
      </c>
      <c r="AH356" s="0" t="n">
        <f aca="false">D356*(LN(EXP(S356)+EXP(T356)))</f>
        <v>-0</v>
      </c>
      <c r="AJ356" s="0" t="n">
        <f aca="false">$J$5</f>
        <v>10</v>
      </c>
      <c r="AK356" s="4" t="n">
        <f aca="false">AJ356+MAX(K356,AK$10:AK355)</f>
        <v>3688.82985076217</v>
      </c>
      <c r="AL356" s="5" t="n">
        <f aca="false">AK356-K356</f>
        <v>27.7879064617423</v>
      </c>
      <c r="AM356" s="0" t="n">
        <f aca="false">-G356*AL356/3600</f>
        <v>-0.0885229139073728</v>
      </c>
      <c r="AN356" s="0" t="n">
        <f aca="false">-H356*AL356/3600</f>
        <v>-0.0745320071284729</v>
      </c>
      <c r="AO356" s="0" t="n">
        <f aca="false">AM356*E356+AN356*D356</f>
        <v>-0.0885229139073728</v>
      </c>
      <c r="AP356" s="0" t="n">
        <f aca="false">AL356*D356</f>
        <v>0</v>
      </c>
      <c r="AR356" s="0" t="n">
        <f aca="false">AN356*D356</f>
        <v>-0</v>
      </c>
      <c r="AS356" s="0" t="n">
        <f aca="false">AH356-AR356</f>
        <v>0</v>
      </c>
    </row>
    <row r="357" customFormat="false" ht="12" hidden="false" customHeight="false" outlineLevel="0" collapsed="false">
      <c r="A357" s="3" t="n">
        <f aca="false">A356+1</f>
        <v>348</v>
      </c>
      <c r="B357" s="3" t="n">
        <f aca="false">IF(A357&lt;$N$4/3,0.1,(IF(A357&gt;2*$N$4/3,0.05,0.12)))</f>
        <v>0.12</v>
      </c>
      <c r="C357" s="4" t="n">
        <f aca="true">RAND()</f>
        <v>0.567440689692432</v>
      </c>
      <c r="D357" s="0" t="n">
        <f aca="false">IF((C357&gt;$M$2),1,0)</f>
        <v>0</v>
      </c>
      <c r="E357" s="0" t="n">
        <f aca="false">1-D357</f>
        <v>1</v>
      </c>
      <c r="F357" s="0" t="n">
        <f aca="true">RAND()</f>
        <v>0.462365561674809</v>
      </c>
      <c r="G357" s="0" t="n">
        <f aca="false">7.75+F357*10</f>
        <v>12.3736556167481</v>
      </c>
      <c r="H357" s="0" t="n">
        <f aca="false">LOGINV(F357,2.64,1.139)</f>
        <v>12.583569390502</v>
      </c>
      <c r="I357" s="0" t="n">
        <v>19.5</v>
      </c>
      <c r="J357" s="4" t="n">
        <f aca="true">-LN(RAND())/B357</f>
        <v>13.2218082579571</v>
      </c>
      <c r="K357" s="4" t="n">
        <f aca="false">K356+J357</f>
        <v>3674.26375255839</v>
      </c>
      <c r="L357" s="4" t="n">
        <f aca="false">(1/$J$4)*(1+AB356)</f>
        <v>10</v>
      </c>
      <c r="M357" s="4" t="n">
        <f aca="false">L357+MAX(K357,Y$10:Y356)</f>
        <v>3698.82985076217</v>
      </c>
      <c r="N357" s="4" t="n">
        <f aca="false">K357</f>
        <v>3674.26375255839</v>
      </c>
      <c r="O357" s="4" t="n">
        <f aca="false">M357-K357</f>
        <v>24.5660982037853</v>
      </c>
      <c r="P357" s="4" t="n">
        <f aca="false">N357-K357</f>
        <v>0</v>
      </c>
      <c r="Q357" s="4" t="n">
        <f aca="false">A357-MATCH(K357,$M$9:M356,1)</f>
        <v>2</v>
      </c>
      <c r="R357" s="0" t="n">
        <f aca="false">-G357*(O357/3600)</f>
        <v>-0.0844367886169036</v>
      </c>
      <c r="S357" s="0" t="n">
        <f aca="false">-1*I357-(H357*(P357/3600))</f>
        <v>-19.5</v>
      </c>
      <c r="T357" s="0" t="n">
        <f aca="false">-H357*(O357/3600)</f>
        <v>-0.0858692226114494</v>
      </c>
      <c r="U357" s="0" t="n">
        <f aca="false">T357-S357</f>
        <v>19.4141307773886</v>
      </c>
      <c r="V357" s="0" t="n">
        <f aca="false">1/(1+EXP(U357))</f>
        <v>3.70296946490431E-009</v>
      </c>
      <c r="W357" s="0" t="n">
        <f aca="true">RAND()</f>
        <v>0.434384799825189</v>
      </c>
      <c r="X357" s="0" t="n">
        <f aca="false">IF(W357&lt;V357,1,0)</f>
        <v>0</v>
      </c>
      <c r="Y357" s="0" t="n">
        <f aca="false">(M357*(1-X357)+N357*X357)*D357+M357*E357</f>
        <v>3698.82985076217</v>
      </c>
      <c r="Z357" s="0" t="n">
        <f aca="false">((1-X357)*O357+X357*P357)*D357+E357*O357</f>
        <v>24.5660982037853</v>
      </c>
      <c r="AA357" s="0" t="n">
        <f aca="false">IF(D357*X357&gt;0,AA356,Q357)</f>
        <v>2</v>
      </c>
      <c r="AB357" s="0" t="n">
        <f aca="false">(X357*D357)</f>
        <v>0</v>
      </c>
      <c r="AC357" s="0" t="n">
        <f aca="false">SUM(AB$10:AB356)/K357</f>
        <v>0</v>
      </c>
      <c r="AD357" s="0" t="n">
        <f aca="false">R357*E357+D357*(X357*S357+(1-X357)*T357)</f>
        <v>-0.0844367886169036</v>
      </c>
      <c r="AE357" s="0" t="n">
        <f aca="false">Z357</f>
        <v>24.5660982037853</v>
      </c>
      <c r="AF357" s="0" t="n">
        <f aca="false">E357*O357</f>
        <v>24.5660982037853</v>
      </c>
      <c r="AG357" s="0" t="n">
        <f aca="false">((1-X357)*O357+X357*P357)*D357</f>
        <v>0</v>
      </c>
      <c r="AH357" s="0" t="n">
        <f aca="false">D357*(LN(EXP(S357)+EXP(T357)))</f>
        <v>-0</v>
      </c>
      <c r="AJ357" s="0" t="n">
        <f aca="false">$J$5</f>
        <v>10</v>
      </c>
      <c r="AK357" s="4" t="n">
        <f aca="false">AJ357+MAX(K357,AK$10:AK356)</f>
        <v>3698.82985076217</v>
      </c>
      <c r="AL357" s="5" t="n">
        <f aca="false">AK357-K357</f>
        <v>24.5660982037853</v>
      </c>
      <c r="AM357" s="0" t="n">
        <f aca="false">-G357*AL357/3600</f>
        <v>-0.0844367886169036</v>
      </c>
      <c r="AN357" s="0" t="n">
        <f aca="false">-H357*AL357/3600</f>
        <v>-0.0858692226114494</v>
      </c>
      <c r="AO357" s="0" t="n">
        <f aca="false">AM357*E357+AN357*D357</f>
        <v>-0.0844367886169036</v>
      </c>
      <c r="AP357" s="0" t="n">
        <f aca="false">AL357*D357</f>
        <v>0</v>
      </c>
      <c r="AR357" s="0" t="n">
        <f aca="false">AN357*D357</f>
        <v>-0</v>
      </c>
      <c r="AS357" s="0" t="n">
        <f aca="false">AH357-AR357</f>
        <v>0</v>
      </c>
    </row>
    <row r="358" customFormat="false" ht="12" hidden="false" customHeight="false" outlineLevel="0" collapsed="false">
      <c r="A358" s="3" t="n">
        <f aca="false">A357+1</f>
        <v>349</v>
      </c>
      <c r="B358" s="3" t="n">
        <f aca="false">IF(A358&lt;$N$4/3,0.1,(IF(A358&gt;2*$N$4/3,0.05,0.12)))</f>
        <v>0.12</v>
      </c>
      <c r="C358" s="4" t="n">
        <f aca="true">RAND()</f>
        <v>0.935727794921653</v>
      </c>
      <c r="D358" s="0" t="n">
        <f aca="false">IF((C358&gt;$M$2),1,0)</f>
        <v>1</v>
      </c>
      <c r="E358" s="0" t="n">
        <f aca="false">1-D358</f>
        <v>0</v>
      </c>
      <c r="F358" s="0" t="n">
        <f aca="true">RAND()</f>
        <v>0.194403292557773</v>
      </c>
      <c r="G358" s="0" t="n">
        <f aca="false">7.75+F358*10</f>
        <v>9.69403292557773</v>
      </c>
      <c r="H358" s="0" t="n">
        <f aca="false">LOGINV(F358,2.64,1.139)</f>
        <v>5.25105193684272</v>
      </c>
      <c r="I358" s="0" t="n">
        <v>19.5</v>
      </c>
      <c r="J358" s="4" t="n">
        <f aca="true">-LN(RAND())/B358</f>
        <v>4.31515001505653</v>
      </c>
      <c r="K358" s="4" t="n">
        <f aca="false">K357+J358</f>
        <v>3678.57890257344</v>
      </c>
      <c r="L358" s="4" t="n">
        <f aca="false">(1/$J$4)*(1+AB357)</f>
        <v>10</v>
      </c>
      <c r="M358" s="4" t="n">
        <f aca="false">L358+MAX(K358,Y$10:Y357)</f>
        <v>3708.82985076217</v>
      </c>
      <c r="N358" s="4" t="n">
        <f aca="false">K358</f>
        <v>3678.57890257344</v>
      </c>
      <c r="O358" s="4" t="n">
        <f aca="false">M358-K358</f>
        <v>30.2509481887287</v>
      </c>
      <c r="P358" s="4" t="n">
        <f aca="false">N358-K358</f>
        <v>0</v>
      </c>
      <c r="Q358" s="4" t="n">
        <f aca="false">A358-MATCH(K358,$M$9:M357,1)</f>
        <v>3</v>
      </c>
      <c r="R358" s="0" t="n">
        <f aca="false">-G358*(O358/3600)</f>
        <v>-0.0814593577143005</v>
      </c>
      <c r="S358" s="0" t="n">
        <f aca="false">-1*I358-(H358*(P358/3600))</f>
        <v>-19.5</v>
      </c>
      <c r="T358" s="0" t="n">
        <f aca="false">-H358*(O358/3600)</f>
        <v>-0.0441248055771534</v>
      </c>
      <c r="U358" s="0" t="n">
        <f aca="false">T358-S358</f>
        <v>19.4558751944229</v>
      </c>
      <c r="V358" s="0" t="n">
        <f aca="false">1/(1+EXP(U358))</f>
        <v>3.5515731244198E-009</v>
      </c>
      <c r="W358" s="0" t="n">
        <f aca="true">RAND()</f>
        <v>0.265371599847927</v>
      </c>
      <c r="X358" s="0" t="n">
        <f aca="false">IF(W358&lt;V358,1,0)</f>
        <v>0</v>
      </c>
      <c r="Y358" s="0" t="n">
        <f aca="false">(M358*(1-X358)+N358*X358)*D358+M358*E358</f>
        <v>3708.82985076217</v>
      </c>
      <c r="Z358" s="0" t="n">
        <f aca="false">((1-X358)*O358+X358*P358)*D358+E358*O358</f>
        <v>30.2509481887287</v>
      </c>
      <c r="AA358" s="0" t="n">
        <f aca="false">IF(D358*X358&gt;0,AA357,Q358)</f>
        <v>3</v>
      </c>
      <c r="AB358" s="0" t="n">
        <f aca="false">(X358*D358)</f>
        <v>0</v>
      </c>
      <c r="AC358" s="0" t="n">
        <f aca="false">SUM(AB$10:AB357)/K358</f>
        <v>0</v>
      </c>
      <c r="AD358" s="0" t="n">
        <f aca="false">R358*E358+D358*(X358*S358+(1-X358)*T358)</f>
        <v>-0.0441248055771534</v>
      </c>
      <c r="AE358" s="0" t="n">
        <f aca="false">Z358</f>
        <v>30.2509481887287</v>
      </c>
      <c r="AF358" s="0" t="n">
        <f aca="false">E358*O358</f>
        <v>0</v>
      </c>
      <c r="AG358" s="0" t="n">
        <f aca="false">((1-X358)*O358+X358*P358)*D358</f>
        <v>30.2509481887287</v>
      </c>
      <c r="AH358" s="0" t="n">
        <f aca="false">D358*(LN(EXP(S358)+EXP(T358)))</f>
        <v>-0.0441248020255804</v>
      </c>
      <c r="AJ358" s="0" t="n">
        <f aca="false">$J$5</f>
        <v>10</v>
      </c>
      <c r="AK358" s="4" t="n">
        <f aca="false">AJ358+MAX(K358,AK$10:AK357)</f>
        <v>3708.82985076217</v>
      </c>
      <c r="AL358" s="5" t="n">
        <f aca="false">AK358-K358</f>
        <v>30.2509481887287</v>
      </c>
      <c r="AM358" s="0" t="n">
        <f aca="false">-G358*AL358/3600</f>
        <v>-0.0814593577143005</v>
      </c>
      <c r="AN358" s="0" t="n">
        <f aca="false">-H358*AL358/3600</f>
        <v>-0.0441248055771534</v>
      </c>
      <c r="AO358" s="0" t="n">
        <f aca="false">AM358*E358+AN358*D358</f>
        <v>-0.0441248055771534</v>
      </c>
      <c r="AP358" s="0" t="n">
        <f aca="false">AL358*D358</f>
        <v>30.2509481887287</v>
      </c>
      <c r="AR358" s="0" t="n">
        <f aca="false">AN358*D358</f>
        <v>-0.0441248055771534</v>
      </c>
      <c r="AS358" s="0" t="n">
        <f aca="false">AH358-AR358</f>
        <v>3.55157306342058E-009</v>
      </c>
    </row>
    <row r="359" customFormat="false" ht="12" hidden="false" customHeight="false" outlineLevel="0" collapsed="false">
      <c r="A359" s="3" t="n">
        <f aca="false">A358+1</f>
        <v>350</v>
      </c>
      <c r="B359" s="3" t="n">
        <f aca="false">IF(A359&lt;$N$4/3,0.1,(IF(A359&gt;2*$N$4/3,0.05,0.12)))</f>
        <v>0.12</v>
      </c>
      <c r="C359" s="4" t="n">
        <f aca="true">RAND()</f>
        <v>0.0821228313204813</v>
      </c>
      <c r="D359" s="0" t="n">
        <f aca="false">IF((C359&gt;$M$2),1,0)</f>
        <v>0</v>
      </c>
      <c r="E359" s="0" t="n">
        <f aca="false">1-D359</f>
        <v>1</v>
      </c>
      <c r="F359" s="0" t="n">
        <f aca="true">RAND()</f>
        <v>0.134928094336621</v>
      </c>
      <c r="G359" s="0" t="n">
        <f aca="false">7.75+F359*10</f>
        <v>9.09928094336621</v>
      </c>
      <c r="H359" s="0" t="n">
        <f aca="false">LOGINV(F359,2.64,1.139)</f>
        <v>3.98777911696681</v>
      </c>
      <c r="I359" s="0" t="n">
        <v>19.5</v>
      </c>
      <c r="J359" s="4" t="n">
        <f aca="true">-LN(RAND())/B359</f>
        <v>19.6068381555135</v>
      </c>
      <c r="K359" s="4" t="n">
        <f aca="false">K358+J359</f>
        <v>3698.18574072896</v>
      </c>
      <c r="L359" s="4" t="n">
        <f aca="false">(1/$J$4)*(1+AB358)</f>
        <v>10</v>
      </c>
      <c r="M359" s="4" t="n">
        <f aca="false">L359+MAX(K359,Y$10:Y358)</f>
        <v>3718.82985076217</v>
      </c>
      <c r="N359" s="4" t="n">
        <f aca="false">K359</f>
        <v>3698.18574072896</v>
      </c>
      <c r="O359" s="4" t="n">
        <f aca="false">M359-K359</f>
        <v>20.6441100332149</v>
      </c>
      <c r="P359" s="4" t="n">
        <f aca="false">N359-K359</f>
        <v>0</v>
      </c>
      <c r="Q359" s="4" t="n">
        <f aca="false">A359-MATCH(K359,$M$9:M358,1)</f>
        <v>2</v>
      </c>
      <c r="R359" s="0" t="n">
        <f aca="false">-G359*(O359/3600)</f>
        <v>-0.0521795991716633</v>
      </c>
      <c r="S359" s="0" t="n">
        <f aca="false">-1*I359-(H359*(P359/3600))</f>
        <v>-19.5</v>
      </c>
      <c r="T359" s="0" t="n">
        <f aca="false">-H359*(O359/3600)</f>
        <v>-0.022867819688561</v>
      </c>
      <c r="U359" s="0" t="n">
        <f aca="false">T359-S359</f>
        <v>19.4771321803114</v>
      </c>
      <c r="V359" s="0" t="n">
        <f aca="false">1/(1+EXP(U359))</f>
        <v>3.47687413533842E-009</v>
      </c>
      <c r="W359" s="0" t="n">
        <f aca="true">RAND()</f>
        <v>0.824428550032035</v>
      </c>
      <c r="X359" s="0" t="n">
        <f aca="false">IF(W359&lt;V359,1,0)</f>
        <v>0</v>
      </c>
      <c r="Y359" s="0" t="n">
        <f aca="false">(M359*(1-X359)+N359*X359)*D359+M359*E359</f>
        <v>3718.82985076217</v>
      </c>
      <c r="Z359" s="0" t="n">
        <f aca="false">((1-X359)*O359+X359*P359)*D359+E359*O359</f>
        <v>20.6441100332149</v>
      </c>
      <c r="AA359" s="0" t="n">
        <f aca="false">IF(D359*X359&gt;0,AA358,Q359)</f>
        <v>2</v>
      </c>
      <c r="AB359" s="0" t="n">
        <f aca="false">(X359*D359)</f>
        <v>0</v>
      </c>
      <c r="AC359" s="0" t="n">
        <f aca="false">SUM(AB$10:AB358)/K359</f>
        <v>0</v>
      </c>
      <c r="AD359" s="0" t="n">
        <f aca="false">R359*E359+D359*(X359*S359+(1-X359)*T359)</f>
        <v>-0.0521795991716633</v>
      </c>
      <c r="AE359" s="0" t="n">
        <f aca="false">Z359</f>
        <v>20.6441100332149</v>
      </c>
      <c r="AF359" s="0" t="n">
        <f aca="false">E359*O359</f>
        <v>20.6441100332149</v>
      </c>
      <c r="AG359" s="0" t="n">
        <f aca="false">((1-X359)*O359+X359*P359)*D359</f>
        <v>0</v>
      </c>
      <c r="AH359" s="0" t="n">
        <f aca="false">D359*(LN(EXP(S359)+EXP(T359)))</f>
        <v>-0</v>
      </c>
      <c r="AJ359" s="0" t="n">
        <f aca="false">$J$5</f>
        <v>10</v>
      </c>
      <c r="AK359" s="4" t="n">
        <f aca="false">AJ359+MAX(K359,AK$10:AK358)</f>
        <v>3718.82985076217</v>
      </c>
      <c r="AL359" s="5" t="n">
        <f aca="false">AK359-K359</f>
        <v>20.6441100332149</v>
      </c>
      <c r="AM359" s="0" t="n">
        <f aca="false">-G359*AL359/3600</f>
        <v>-0.0521795991716633</v>
      </c>
      <c r="AN359" s="0" t="n">
        <f aca="false">-H359*AL359/3600</f>
        <v>-0.022867819688561</v>
      </c>
      <c r="AO359" s="0" t="n">
        <f aca="false">AM359*E359+AN359*D359</f>
        <v>-0.0521795991716633</v>
      </c>
      <c r="AP359" s="0" t="n">
        <f aca="false">AL359*D359</f>
        <v>0</v>
      </c>
      <c r="AR359" s="0" t="n">
        <f aca="false">AN359*D359</f>
        <v>-0</v>
      </c>
      <c r="AS359" s="0" t="n">
        <f aca="false">AH359-AR359</f>
        <v>0</v>
      </c>
    </row>
    <row r="360" customFormat="false" ht="12" hidden="false" customHeight="false" outlineLevel="0" collapsed="false">
      <c r="A360" s="3" t="n">
        <f aca="false">A359+1</f>
        <v>351</v>
      </c>
      <c r="B360" s="3" t="n">
        <f aca="false">IF(A360&lt;$N$4/3,0.1,(IF(A360&gt;2*$N$4/3,0.05,0.12)))</f>
        <v>0.12</v>
      </c>
      <c r="C360" s="4" t="n">
        <f aca="true">RAND()</f>
        <v>0.45055658517189</v>
      </c>
      <c r="D360" s="0" t="n">
        <f aca="false">IF((C360&gt;$M$2),1,0)</f>
        <v>0</v>
      </c>
      <c r="E360" s="0" t="n">
        <f aca="false">1-D360</f>
        <v>1</v>
      </c>
      <c r="F360" s="0" t="n">
        <f aca="true">RAND()</f>
        <v>0.383614082577896</v>
      </c>
      <c r="G360" s="0" t="n">
        <f aca="false">7.75+F360*10</f>
        <v>11.586140825779</v>
      </c>
      <c r="H360" s="0" t="n">
        <f aca="false">LOGINV(F360,2.64,1.139)</f>
        <v>10.0026808495296</v>
      </c>
      <c r="I360" s="0" t="n">
        <v>19.5</v>
      </c>
      <c r="J360" s="4" t="n">
        <f aca="true">-LN(RAND())/B360</f>
        <v>2.51382725557614</v>
      </c>
      <c r="K360" s="4" t="n">
        <f aca="false">K359+J360</f>
        <v>3700.69956798453</v>
      </c>
      <c r="L360" s="4" t="n">
        <f aca="false">(1/$J$4)*(1+AB359)</f>
        <v>10</v>
      </c>
      <c r="M360" s="4" t="n">
        <f aca="false">L360+MAX(K360,Y$10:Y359)</f>
        <v>3728.82985076217</v>
      </c>
      <c r="N360" s="4" t="n">
        <f aca="false">K360</f>
        <v>3700.69956798453</v>
      </c>
      <c r="O360" s="4" t="n">
        <f aca="false">M360-K360</f>
        <v>28.130282777639</v>
      </c>
      <c r="P360" s="4" t="n">
        <f aca="false">N360-K360</f>
        <v>0</v>
      </c>
      <c r="Q360" s="4" t="n">
        <f aca="false">A360-MATCH(K360,$M$9:M359,1)</f>
        <v>2</v>
      </c>
      <c r="R360" s="0" t="n">
        <f aca="false">-G360*(O360/3600)</f>
        <v>-0.0905337271474193</v>
      </c>
      <c r="S360" s="0" t="n">
        <f aca="false">-1*I360-(H360*(P360/3600))</f>
        <v>-19.5</v>
      </c>
      <c r="T360" s="0" t="n">
        <f aca="false">-H360*(O360/3600)</f>
        <v>-0.0781606224532613</v>
      </c>
      <c r="U360" s="0" t="n">
        <f aca="false">T360-S360</f>
        <v>19.4218393775467</v>
      </c>
      <c r="V360" s="0" t="n">
        <f aca="false">1/(1+EXP(U360))</f>
        <v>3.67453449173194E-009</v>
      </c>
      <c r="W360" s="0" t="n">
        <f aca="true">RAND()</f>
        <v>0.533554764730289</v>
      </c>
      <c r="X360" s="0" t="n">
        <f aca="false">IF(W360&lt;V360,1,0)</f>
        <v>0</v>
      </c>
      <c r="Y360" s="0" t="n">
        <f aca="false">(M360*(1-X360)+N360*X360)*D360+M360*E360</f>
        <v>3728.82985076217</v>
      </c>
      <c r="Z360" s="0" t="n">
        <f aca="false">((1-X360)*O360+X360*P360)*D360+E360*O360</f>
        <v>28.130282777639</v>
      </c>
      <c r="AA360" s="0" t="n">
        <f aca="false">IF(D360*X360&gt;0,AA359,Q360)</f>
        <v>2</v>
      </c>
      <c r="AB360" s="0" t="n">
        <f aca="false">(X360*D360)</f>
        <v>0</v>
      </c>
      <c r="AC360" s="0" t="n">
        <f aca="false">SUM(AB$10:AB359)/K360</f>
        <v>0</v>
      </c>
      <c r="AD360" s="0" t="n">
        <f aca="false">R360*E360+D360*(X360*S360+(1-X360)*T360)</f>
        <v>-0.0905337271474193</v>
      </c>
      <c r="AE360" s="0" t="n">
        <f aca="false">Z360</f>
        <v>28.130282777639</v>
      </c>
      <c r="AF360" s="0" t="n">
        <f aca="false">E360*O360</f>
        <v>28.130282777639</v>
      </c>
      <c r="AG360" s="0" t="n">
        <f aca="false">((1-X360)*O360+X360*P360)*D360</f>
        <v>0</v>
      </c>
      <c r="AH360" s="0" t="n">
        <f aca="false">D360*(LN(EXP(S360)+EXP(T360)))</f>
        <v>-0</v>
      </c>
      <c r="AJ360" s="0" t="n">
        <f aca="false">$J$5</f>
        <v>10</v>
      </c>
      <c r="AK360" s="4" t="n">
        <f aca="false">AJ360+MAX(K360,AK$10:AK359)</f>
        <v>3728.82985076217</v>
      </c>
      <c r="AL360" s="5" t="n">
        <f aca="false">AK360-K360</f>
        <v>28.130282777639</v>
      </c>
      <c r="AM360" s="0" t="n">
        <f aca="false">-G360*AL360/3600</f>
        <v>-0.0905337271474193</v>
      </c>
      <c r="AN360" s="0" t="n">
        <f aca="false">-H360*AL360/3600</f>
        <v>-0.0781606224532613</v>
      </c>
      <c r="AO360" s="0" t="n">
        <f aca="false">AM360*E360+AN360*D360</f>
        <v>-0.0905337271474193</v>
      </c>
      <c r="AP360" s="0" t="n">
        <f aca="false">AL360*D360</f>
        <v>0</v>
      </c>
      <c r="AR360" s="0" t="n">
        <f aca="false">AN360*D360</f>
        <v>-0</v>
      </c>
      <c r="AS360" s="0" t="n">
        <f aca="false">AH360-AR360</f>
        <v>0</v>
      </c>
    </row>
    <row r="361" customFormat="false" ht="12" hidden="false" customHeight="false" outlineLevel="0" collapsed="false">
      <c r="A361" s="3" t="n">
        <f aca="false">A360+1</f>
        <v>352</v>
      </c>
      <c r="B361" s="3" t="n">
        <f aca="false">IF(A361&lt;$N$4/3,0.1,(IF(A361&gt;2*$N$4/3,0.05,0.12)))</f>
        <v>0.12</v>
      </c>
      <c r="C361" s="4" t="n">
        <f aca="true">RAND()</f>
        <v>0.335962304539422</v>
      </c>
      <c r="D361" s="0" t="n">
        <f aca="false">IF((C361&gt;$M$2),1,0)</f>
        <v>0</v>
      </c>
      <c r="E361" s="0" t="n">
        <f aca="false">1-D361</f>
        <v>1</v>
      </c>
      <c r="F361" s="0" t="n">
        <f aca="true">RAND()</f>
        <v>0.926291323138171</v>
      </c>
      <c r="G361" s="0" t="n">
        <f aca="false">7.75+F361*10</f>
        <v>17.0129132313817</v>
      </c>
      <c r="H361" s="0" t="n">
        <f aca="false">LOGINV(F361,2.64,1.139)</f>
        <v>72.9727231888491</v>
      </c>
      <c r="I361" s="0" t="n">
        <v>19.5</v>
      </c>
      <c r="J361" s="4" t="n">
        <f aca="true">-LN(RAND())/B361</f>
        <v>1.864021537797</v>
      </c>
      <c r="K361" s="4" t="n">
        <f aca="false">K360+J361</f>
        <v>3702.56358952233</v>
      </c>
      <c r="L361" s="4" t="n">
        <f aca="false">(1/$J$4)*(1+AB360)</f>
        <v>10</v>
      </c>
      <c r="M361" s="4" t="n">
        <f aca="false">L361+MAX(K361,Y$10:Y360)</f>
        <v>3738.82985076217</v>
      </c>
      <c r="N361" s="4" t="n">
        <f aca="false">K361</f>
        <v>3702.56358952233</v>
      </c>
      <c r="O361" s="4" t="n">
        <f aca="false">M361-K361</f>
        <v>36.2662612398422</v>
      </c>
      <c r="P361" s="4" t="n">
        <f aca="false">N361-K361</f>
        <v>0</v>
      </c>
      <c r="Q361" s="4" t="n">
        <f aca="false">A361-MATCH(K361,$M$9:M360,1)</f>
        <v>3</v>
      </c>
      <c r="R361" s="0" t="n">
        <f aca="false">-G361*(O361/3600)</f>
        <v>-0.171387432138904</v>
      </c>
      <c r="S361" s="0" t="n">
        <f aca="false">-1*I361-(H361*(P361/3600))</f>
        <v>-19.5</v>
      </c>
      <c r="T361" s="0" t="n">
        <f aca="false">-H361*(O361/3600)</f>
        <v>-0.735124400708191</v>
      </c>
      <c r="U361" s="0" t="n">
        <f aca="false">T361-S361</f>
        <v>18.7648755992918</v>
      </c>
      <c r="V361" s="0" t="n">
        <f aca="false">1/(1+EXP(U361))</f>
        <v>7.08790797896397E-009</v>
      </c>
      <c r="W361" s="0" t="n">
        <f aca="true">RAND()</f>
        <v>0.250849799699684</v>
      </c>
      <c r="X361" s="0" t="n">
        <f aca="false">IF(W361&lt;V361,1,0)</f>
        <v>0</v>
      </c>
      <c r="Y361" s="0" t="n">
        <f aca="false">(M361*(1-X361)+N361*X361)*D361+M361*E361</f>
        <v>3738.82985076217</v>
      </c>
      <c r="Z361" s="0" t="n">
        <f aca="false">((1-X361)*O361+X361*P361)*D361+E361*O361</f>
        <v>36.2662612398422</v>
      </c>
      <c r="AA361" s="0" t="n">
        <f aca="false">IF(D361*X361&gt;0,AA360,Q361)</f>
        <v>3</v>
      </c>
      <c r="AB361" s="0" t="n">
        <f aca="false">(X361*D361)</f>
        <v>0</v>
      </c>
      <c r="AC361" s="0" t="n">
        <f aca="false">SUM(AB$10:AB360)/K361</f>
        <v>0</v>
      </c>
      <c r="AD361" s="0" t="n">
        <f aca="false">R361*E361+D361*(X361*S361+(1-X361)*T361)</f>
        <v>-0.171387432138904</v>
      </c>
      <c r="AE361" s="0" t="n">
        <f aca="false">Z361</f>
        <v>36.2662612398422</v>
      </c>
      <c r="AF361" s="0" t="n">
        <f aca="false">E361*O361</f>
        <v>36.2662612398422</v>
      </c>
      <c r="AG361" s="0" t="n">
        <f aca="false">((1-X361)*O361+X361*P361)*D361</f>
        <v>0</v>
      </c>
      <c r="AH361" s="0" t="n">
        <f aca="false">D361*(LN(EXP(S361)+EXP(T361)))</f>
        <v>-0</v>
      </c>
      <c r="AJ361" s="0" t="n">
        <f aca="false">$J$5</f>
        <v>10</v>
      </c>
      <c r="AK361" s="4" t="n">
        <f aca="false">AJ361+MAX(K361,AK$10:AK360)</f>
        <v>3738.82985076217</v>
      </c>
      <c r="AL361" s="5" t="n">
        <f aca="false">AK361-K361</f>
        <v>36.2662612398422</v>
      </c>
      <c r="AM361" s="0" t="n">
        <f aca="false">-G361*AL361/3600</f>
        <v>-0.171387432138904</v>
      </c>
      <c r="AN361" s="0" t="n">
        <f aca="false">-H361*AL361/3600</f>
        <v>-0.735124400708191</v>
      </c>
      <c r="AO361" s="0" t="n">
        <f aca="false">AM361*E361+AN361*D361</f>
        <v>-0.171387432138904</v>
      </c>
      <c r="AP361" s="0" t="n">
        <f aca="false">AL361*D361</f>
        <v>0</v>
      </c>
      <c r="AR361" s="0" t="n">
        <f aca="false">AN361*D361</f>
        <v>-0</v>
      </c>
      <c r="AS361" s="0" t="n">
        <f aca="false">AH361-AR361</f>
        <v>0</v>
      </c>
    </row>
    <row r="362" customFormat="false" ht="12" hidden="false" customHeight="false" outlineLevel="0" collapsed="false">
      <c r="A362" s="3" t="n">
        <f aca="false">A361+1</f>
        <v>353</v>
      </c>
      <c r="B362" s="3" t="n">
        <f aca="false">IF(A362&lt;$N$4/3,0.1,(IF(A362&gt;2*$N$4/3,0.05,0.12)))</f>
        <v>0.12</v>
      </c>
      <c r="C362" s="4" t="n">
        <f aca="true">RAND()</f>
        <v>0.347791230768915</v>
      </c>
      <c r="D362" s="0" t="n">
        <f aca="false">IF((C362&gt;$M$2),1,0)</f>
        <v>0</v>
      </c>
      <c r="E362" s="0" t="n">
        <f aca="false">1-D362</f>
        <v>1</v>
      </c>
      <c r="F362" s="0" t="n">
        <f aca="true">RAND()</f>
        <v>0.699343109648985</v>
      </c>
      <c r="G362" s="0" t="n">
        <f aca="false">7.75+F362*10</f>
        <v>14.7434310964899</v>
      </c>
      <c r="H362" s="0" t="n">
        <f aca="false">LOGINV(F362,2.64,1.139)</f>
        <v>25.4099632908559</v>
      </c>
      <c r="I362" s="0" t="n">
        <v>19.5</v>
      </c>
      <c r="J362" s="4" t="n">
        <f aca="true">-LN(RAND())/B362</f>
        <v>2.55534236355446</v>
      </c>
      <c r="K362" s="4" t="n">
        <f aca="false">K361+J362</f>
        <v>3705.11893188588</v>
      </c>
      <c r="L362" s="4" t="n">
        <f aca="false">(1/$J$4)*(1+AB361)</f>
        <v>10</v>
      </c>
      <c r="M362" s="4" t="n">
        <f aca="false">L362+MAX(K362,Y$10:Y361)</f>
        <v>3748.82985076217</v>
      </c>
      <c r="N362" s="4" t="n">
        <f aca="false">K362</f>
        <v>3705.11893188588</v>
      </c>
      <c r="O362" s="4" t="n">
        <f aca="false">M362-K362</f>
        <v>43.7109188762879</v>
      </c>
      <c r="P362" s="4" t="n">
        <f aca="false">N362-K362</f>
        <v>0</v>
      </c>
      <c r="Q362" s="4" t="n">
        <f aca="false">A362-MATCH(K362,$M$9:M361,1)</f>
        <v>4</v>
      </c>
      <c r="R362" s="0" t="n">
        <f aca="false">-G362*(O362/3600)</f>
        <v>-0.179013589060225</v>
      </c>
      <c r="S362" s="0" t="n">
        <f aca="false">-1*I362-(H362*(P362/3600))</f>
        <v>-19.5</v>
      </c>
      <c r="T362" s="0" t="n">
        <f aca="false">-H362*(O362/3600)</f>
        <v>-0.308525790015572</v>
      </c>
      <c r="U362" s="0" t="n">
        <f aca="false">T362-S362</f>
        <v>19.1914742099844</v>
      </c>
      <c r="V362" s="0" t="n">
        <f aca="false">1/(1+EXP(U362))</f>
        <v>4.62645826743984E-009</v>
      </c>
      <c r="W362" s="0" t="n">
        <f aca="true">RAND()</f>
        <v>0.605564481077674</v>
      </c>
      <c r="X362" s="0" t="n">
        <f aca="false">IF(W362&lt;V362,1,0)</f>
        <v>0</v>
      </c>
      <c r="Y362" s="0" t="n">
        <f aca="false">(M362*(1-X362)+N362*X362)*D362+M362*E362</f>
        <v>3748.82985076217</v>
      </c>
      <c r="Z362" s="0" t="n">
        <f aca="false">((1-X362)*O362+X362*P362)*D362+E362*O362</f>
        <v>43.7109188762879</v>
      </c>
      <c r="AA362" s="0" t="n">
        <f aca="false">IF(D362*X362&gt;0,AA361,Q362)</f>
        <v>4</v>
      </c>
      <c r="AB362" s="0" t="n">
        <f aca="false">(X362*D362)</f>
        <v>0</v>
      </c>
      <c r="AC362" s="0" t="n">
        <f aca="false">SUM(AB$10:AB361)/K362</f>
        <v>0</v>
      </c>
      <c r="AD362" s="0" t="n">
        <f aca="false">R362*E362+D362*(X362*S362+(1-X362)*T362)</f>
        <v>-0.179013589060225</v>
      </c>
      <c r="AE362" s="0" t="n">
        <f aca="false">Z362</f>
        <v>43.7109188762879</v>
      </c>
      <c r="AF362" s="0" t="n">
        <f aca="false">E362*O362</f>
        <v>43.7109188762879</v>
      </c>
      <c r="AG362" s="0" t="n">
        <f aca="false">((1-X362)*O362+X362*P362)*D362</f>
        <v>0</v>
      </c>
      <c r="AH362" s="0" t="n">
        <f aca="false">D362*(LN(EXP(S362)+EXP(T362)))</f>
        <v>-0</v>
      </c>
      <c r="AJ362" s="0" t="n">
        <f aca="false">$J$5</f>
        <v>10</v>
      </c>
      <c r="AK362" s="4" t="n">
        <f aca="false">AJ362+MAX(K362,AK$10:AK361)</f>
        <v>3748.82985076217</v>
      </c>
      <c r="AL362" s="5" t="n">
        <f aca="false">AK362-K362</f>
        <v>43.7109188762879</v>
      </c>
      <c r="AM362" s="0" t="n">
        <f aca="false">-G362*AL362/3600</f>
        <v>-0.179013589060225</v>
      </c>
      <c r="AN362" s="0" t="n">
        <f aca="false">-H362*AL362/3600</f>
        <v>-0.308525790015572</v>
      </c>
      <c r="AO362" s="0" t="n">
        <f aca="false">AM362*E362+AN362*D362</f>
        <v>-0.179013589060225</v>
      </c>
      <c r="AP362" s="0" t="n">
        <f aca="false">AL362*D362</f>
        <v>0</v>
      </c>
      <c r="AR362" s="0" t="n">
        <f aca="false">AN362*D362</f>
        <v>-0</v>
      </c>
      <c r="AS362" s="0" t="n">
        <f aca="false">AH362-AR362</f>
        <v>0</v>
      </c>
    </row>
    <row r="363" customFormat="false" ht="12" hidden="false" customHeight="false" outlineLevel="0" collapsed="false">
      <c r="A363" s="3" t="n">
        <f aca="false">A362+1</f>
        <v>354</v>
      </c>
      <c r="B363" s="3" t="n">
        <f aca="false">IF(A363&lt;$N$4/3,0.1,(IF(A363&gt;2*$N$4/3,0.05,0.12)))</f>
        <v>0.12</v>
      </c>
      <c r="C363" s="4" t="n">
        <f aca="true">RAND()</f>
        <v>0.233033438563888</v>
      </c>
      <c r="D363" s="0" t="n">
        <f aca="false">IF((C363&gt;$M$2),1,0)</f>
        <v>0</v>
      </c>
      <c r="E363" s="0" t="n">
        <f aca="false">1-D363</f>
        <v>1</v>
      </c>
      <c r="F363" s="0" t="n">
        <f aca="true">RAND()</f>
        <v>0.50008195012515</v>
      </c>
      <c r="G363" s="0" t="n">
        <f aca="false">7.75+F363*10</f>
        <v>12.7508195012515</v>
      </c>
      <c r="H363" s="0" t="n">
        <f aca="false">LOGINV(F363,2.64,1.139)</f>
        <v>14.0164826840313</v>
      </c>
      <c r="I363" s="0" t="n">
        <v>19.5</v>
      </c>
      <c r="J363" s="4" t="n">
        <f aca="true">-LN(RAND())/B363</f>
        <v>7.60482728748651</v>
      </c>
      <c r="K363" s="4" t="n">
        <f aca="false">K362+J363</f>
        <v>3712.72375917337</v>
      </c>
      <c r="L363" s="4" t="n">
        <f aca="false">(1/$J$4)*(1+AB362)</f>
        <v>10</v>
      </c>
      <c r="M363" s="4" t="n">
        <f aca="false">L363+MAX(K363,Y$10:Y362)</f>
        <v>3758.82985076217</v>
      </c>
      <c r="N363" s="4" t="n">
        <f aca="false">K363</f>
        <v>3712.72375917337</v>
      </c>
      <c r="O363" s="4" t="n">
        <f aca="false">M363-K363</f>
        <v>46.1060915888015</v>
      </c>
      <c r="P363" s="4" t="n">
        <f aca="false">N363-K363</f>
        <v>0</v>
      </c>
      <c r="Q363" s="4" t="n">
        <f aca="false">A363-MATCH(K363,$M$9:M362,1)</f>
        <v>4</v>
      </c>
      <c r="R363" s="0" t="n">
        <f aca="false">-G363*(O363/3600)</f>
        <v>-0.163302903265827</v>
      </c>
      <c r="S363" s="0" t="n">
        <f aca="false">-1*I363-(H363*(P363/3600))</f>
        <v>-19.5</v>
      </c>
      <c r="T363" s="0" t="n">
        <f aca="false">-H363*(O363/3600)</f>
        <v>-0.179512565106333</v>
      </c>
      <c r="U363" s="0" t="n">
        <f aca="false">T363-S363</f>
        <v>19.3204874348937</v>
      </c>
      <c r="V363" s="0" t="n">
        <f aca="false">1/(1+EXP(U363))</f>
        <v>4.06648259282107E-009</v>
      </c>
      <c r="W363" s="0" t="n">
        <f aca="true">RAND()</f>
        <v>0.861824310693972</v>
      </c>
      <c r="X363" s="0" t="n">
        <f aca="false">IF(W363&lt;V363,1,0)</f>
        <v>0</v>
      </c>
      <c r="Y363" s="0" t="n">
        <f aca="false">(M363*(1-X363)+N363*X363)*D363+M363*E363</f>
        <v>3758.82985076217</v>
      </c>
      <c r="Z363" s="0" t="n">
        <f aca="false">((1-X363)*O363+X363*P363)*D363+E363*O363</f>
        <v>46.1060915888015</v>
      </c>
      <c r="AA363" s="0" t="n">
        <f aca="false">IF(D363*X363&gt;0,AA362,Q363)</f>
        <v>4</v>
      </c>
      <c r="AB363" s="0" t="n">
        <f aca="false">(X363*D363)</f>
        <v>0</v>
      </c>
      <c r="AC363" s="0" t="n">
        <f aca="false">SUM(AB$10:AB362)/K363</f>
        <v>0</v>
      </c>
      <c r="AD363" s="0" t="n">
        <f aca="false">R363*E363+D363*(X363*S363+(1-X363)*T363)</f>
        <v>-0.163302903265827</v>
      </c>
      <c r="AE363" s="0" t="n">
        <f aca="false">Z363</f>
        <v>46.1060915888015</v>
      </c>
      <c r="AF363" s="0" t="n">
        <f aca="false">E363*O363</f>
        <v>46.1060915888015</v>
      </c>
      <c r="AG363" s="0" t="n">
        <f aca="false">((1-X363)*O363+X363*P363)*D363</f>
        <v>0</v>
      </c>
      <c r="AH363" s="0" t="n">
        <f aca="false">D363*(LN(EXP(S363)+EXP(T363)))</f>
        <v>-0</v>
      </c>
      <c r="AJ363" s="0" t="n">
        <f aca="false">$J$5</f>
        <v>10</v>
      </c>
      <c r="AK363" s="4" t="n">
        <f aca="false">AJ363+MAX(K363,AK$10:AK362)</f>
        <v>3758.82985076217</v>
      </c>
      <c r="AL363" s="5" t="n">
        <f aca="false">AK363-K363</f>
        <v>46.1060915888015</v>
      </c>
      <c r="AM363" s="0" t="n">
        <f aca="false">-G363*AL363/3600</f>
        <v>-0.163302903265827</v>
      </c>
      <c r="AN363" s="0" t="n">
        <f aca="false">-H363*AL363/3600</f>
        <v>-0.179512565106333</v>
      </c>
      <c r="AO363" s="0" t="n">
        <f aca="false">AM363*E363+AN363*D363</f>
        <v>-0.163302903265827</v>
      </c>
      <c r="AP363" s="0" t="n">
        <f aca="false">AL363*D363</f>
        <v>0</v>
      </c>
      <c r="AR363" s="0" t="n">
        <f aca="false">AN363*D363</f>
        <v>-0</v>
      </c>
      <c r="AS363" s="0" t="n">
        <f aca="false">AH363-AR363</f>
        <v>0</v>
      </c>
    </row>
    <row r="364" customFormat="false" ht="12" hidden="false" customHeight="false" outlineLevel="0" collapsed="false">
      <c r="A364" s="3" t="n">
        <f aca="false">A363+1</f>
        <v>355</v>
      </c>
      <c r="B364" s="3" t="n">
        <f aca="false">IF(A364&lt;$N$4/3,0.1,(IF(A364&gt;2*$N$4/3,0.05,0.12)))</f>
        <v>0.12</v>
      </c>
      <c r="C364" s="4" t="n">
        <f aca="true">RAND()</f>
        <v>0.178392650536773</v>
      </c>
      <c r="D364" s="0" t="n">
        <f aca="false">IF((C364&gt;$M$2),1,0)</f>
        <v>0</v>
      </c>
      <c r="E364" s="0" t="n">
        <f aca="false">1-D364</f>
        <v>1</v>
      </c>
      <c r="F364" s="0" t="n">
        <f aca="true">RAND()</f>
        <v>0.0319573864632963</v>
      </c>
      <c r="G364" s="0" t="n">
        <f aca="false">7.75+F364*10</f>
        <v>8.06957386463296</v>
      </c>
      <c r="H364" s="0" t="n">
        <f aca="false">LOGINV(F364,2.64,1.139)</f>
        <v>1.69840662123367</v>
      </c>
      <c r="I364" s="0" t="n">
        <v>19.5</v>
      </c>
      <c r="J364" s="4" t="n">
        <f aca="true">-LN(RAND())/B364</f>
        <v>0.350264409873979</v>
      </c>
      <c r="K364" s="4" t="n">
        <f aca="false">K363+J364</f>
        <v>3713.07402358324</v>
      </c>
      <c r="L364" s="4" t="n">
        <f aca="false">(1/$J$4)*(1+AB363)</f>
        <v>10</v>
      </c>
      <c r="M364" s="4" t="n">
        <f aca="false">L364+MAX(K364,Y$10:Y363)</f>
        <v>3768.82985076217</v>
      </c>
      <c r="N364" s="4" t="n">
        <f aca="false">K364</f>
        <v>3713.07402358324</v>
      </c>
      <c r="O364" s="4" t="n">
        <f aca="false">M364-K364</f>
        <v>55.7558271789276</v>
      </c>
      <c r="P364" s="4" t="n">
        <f aca="false">N364-K364</f>
        <v>0</v>
      </c>
      <c r="Q364" s="4" t="n">
        <f aca="false">A364-MATCH(K364,$M$9:M363,1)</f>
        <v>5</v>
      </c>
      <c r="R364" s="0" t="n">
        <f aca="false">-G364*(O364/3600)</f>
        <v>-0.124979379390018</v>
      </c>
      <c r="S364" s="0" t="n">
        <f aca="false">-1*I364-(H364*(P364/3600))</f>
        <v>-19.5</v>
      </c>
      <c r="T364" s="0" t="n">
        <f aca="false">-H364*(O364/3600)</f>
        <v>-0.0263044627925141</v>
      </c>
      <c r="U364" s="0" t="n">
        <f aca="false">T364-S364</f>
        <v>19.4736955372075</v>
      </c>
      <c r="V364" s="0" t="n">
        <f aca="false">1/(1+EXP(U364))</f>
        <v>3.4888434661961E-009</v>
      </c>
      <c r="W364" s="0" t="n">
        <f aca="true">RAND()</f>
        <v>0.529958383414258</v>
      </c>
      <c r="X364" s="0" t="n">
        <f aca="false">IF(W364&lt;V364,1,0)</f>
        <v>0</v>
      </c>
      <c r="Y364" s="0" t="n">
        <f aca="false">(M364*(1-X364)+N364*X364)*D364+M364*E364</f>
        <v>3768.82985076217</v>
      </c>
      <c r="Z364" s="0" t="n">
        <f aca="false">((1-X364)*O364+X364*P364)*D364+E364*O364</f>
        <v>55.7558271789276</v>
      </c>
      <c r="AA364" s="0" t="n">
        <f aca="false">IF(D364*X364&gt;0,AA363,Q364)</f>
        <v>5</v>
      </c>
      <c r="AB364" s="0" t="n">
        <f aca="false">(X364*D364)</f>
        <v>0</v>
      </c>
      <c r="AC364" s="0" t="n">
        <f aca="false">SUM(AB$10:AB363)/K364</f>
        <v>0</v>
      </c>
      <c r="AD364" s="0" t="n">
        <f aca="false">R364*E364+D364*(X364*S364+(1-X364)*T364)</f>
        <v>-0.124979379390018</v>
      </c>
      <c r="AE364" s="0" t="n">
        <f aca="false">Z364</f>
        <v>55.7558271789276</v>
      </c>
      <c r="AF364" s="0" t="n">
        <f aca="false">E364*O364</f>
        <v>55.7558271789276</v>
      </c>
      <c r="AG364" s="0" t="n">
        <f aca="false">((1-X364)*O364+X364*P364)*D364</f>
        <v>0</v>
      </c>
      <c r="AH364" s="0" t="n">
        <f aca="false">D364*(LN(EXP(S364)+EXP(T364)))</f>
        <v>-0</v>
      </c>
      <c r="AJ364" s="0" t="n">
        <f aca="false">$J$5</f>
        <v>10</v>
      </c>
      <c r="AK364" s="4" t="n">
        <f aca="false">AJ364+MAX(K364,AK$10:AK363)</f>
        <v>3768.82985076217</v>
      </c>
      <c r="AL364" s="5" t="n">
        <f aca="false">AK364-K364</f>
        <v>55.7558271789276</v>
      </c>
      <c r="AM364" s="0" t="n">
        <f aca="false">-G364*AL364/3600</f>
        <v>-0.124979379390018</v>
      </c>
      <c r="AN364" s="0" t="n">
        <f aca="false">-H364*AL364/3600</f>
        <v>-0.0263044627925141</v>
      </c>
      <c r="AO364" s="0" t="n">
        <f aca="false">AM364*E364+AN364*D364</f>
        <v>-0.124979379390018</v>
      </c>
      <c r="AP364" s="0" t="n">
        <f aca="false">AL364*D364</f>
        <v>0</v>
      </c>
      <c r="AR364" s="0" t="n">
        <f aca="false">AN364*D364</f>
        <v>-0</v>
      </c>
      <c r="AS364" s="0" t="n">
        <f aca="false">AH364-AR364</f>
        <v>0</v>
      </c>
    </row>
    <row r="365" customFormat="false" ht="12" hidden="false" customHeight="false" outlineLevel="0" collapsed="false">
      <c r="A365" s="3" t="n">
        <f aca="false">A364+1</f>
        <v>356</v>
      </c>
      <c r="B365" s="3" t="n">
        <f aca="false">IF(A365&lt;$N$4/3,0.1,(IF(A365&gt;2*$N$4/3,0.05,0.12)))</f>
        <v>0.12</v>
      </c>
      <c r="C365" s="4" t="n">
        <f aca="true">RAND()</f>
        <v>0.331632331504411</v>
      </c>
      <c r="D365" s="0" t="n">
        <f aca="false">IF((C365&gt;$M$2),1,0)</f>
        <v>0</v>
      </c>
      <c r="E365" s="0" t="n">
        <f aca="false">1-D365</f>
        <v>1</v>
      </c>
      <c r="F365" s="0" t="n">
        <f aca="true">RAND()</f>
        <v>0.215422691891734</v>
      </c>
      <c r="G365" s="0" t="n">
        <f aca="false">7.75+F365*10</f>
        <v>9.90422691891734</v>
      </c>
      <c r="H365" s="0" t="n">
        <f aca="false">LOGINV(F365,2.64,1.139)</f>
        <v>5.71307542997114</v>
      </c>
      <c r="I365" s="0" t="n">
        <v>19.5</v>
      </c>
      <c r="J365" s="4" t="n">
        <f aca="true">-LN(RAND())/B365</f>
        <v>10.7241322878955</v>
      </c>
      <c r="K365" s="4" t="n">
        <f aca="false">K364+J365</f>
        <v>3723.79815587114</v>
      </c>
      <c r="L365" s="4" t="n">
        <f aca="false">(1/$J$4)*(1+AB364)</f>
        <v>10</v>
      </c>
      <c r="M365" s="4" t="n">
        <f aca="false">L365+MAX(K365,Y$10:Y364)</f>
        <v>3778.82985076217</v>
      </c>
      <c r="N365" s="4" t="n">
        <f aca="false">K365</f>
        <v>3723.79815587114</v>
      </c>
      <c r="O365" s="4" t="n">
        <f aca="false">M365-K365</f>
        <v>55.0316948910322</v>
      </c>
      <c r="P365" s="4" t="n">
        <f aca="false">N365-K365</f>
        <v>0</v>
      </c>
      <c r="Q365" s="4" t="n">
        <f aca="false">A365-MATCH(K365,$M$9:M364,1)</f>
        <v>5</v>
      </c>
      <c r="R365" s="0" t="n">
        <f aca="false">-G365*(O365/3600)</f>
        <v>-0.151401776092613</v>
      </c>
      <c r="S365" s="0" t="n">
        <f aca="false">-1*I365-(H365*(P365/3600))</f>
        <v>-19.5</v>
      </c>
      <c r="T365" s="0" t="n">
        <f aca="false">-H365*(O365/3600)</f>
        <v>-0.0873333955421178</v>
      </c>
      <c r="U365" s="0" t="n">
        <f aca="false">T365-S365</f>
        <v>19.4126666044579</v>
      </c>
      <c r="V365" s="0" t="n">
        <f aca="false">1/(1+EXP(U365))</f>
        <v>3.70839522369306E-009</v>
      </c>
      <c r="W365" s="0" t="n">
        <f aca="true">RAND()</f>
        <v>0.310645518251403</v>
      </c>
      <c r="X365" s="0" t="n">
        <f aca="false">IF(W365&lt;V365,1,0)</f>
        <v>0</v>
      </c>
      <c r="Y365" s="0" t="n">
        <f aca="false">(M365*(1-X365)+N365*X365)*D365+M365*E365</f>
        <v>3778.82985076217</v>
      </c>
      <c r="Z365" s="0" t="n">
        <f aca="false">((1-X365)*O365+X365*P365)*D365+E365*O365</f>
        <v>55.0316948910322</v>
      </c>
      <c r="AA365" s="0" t="n">
        <f aca="false">IF(D365*X365&gt;0,AA364,Q365)</f>
        <v>5</v>
      </c>
      <c r="AB365" s="0" t="n">
        <f aca="false">(X365*D365)</f>
        <v>0</v>
      </c>
      <c r="AC365" s="0" t="n">
        <f aca="false">SUM(AB$10:AB364)/K365</f>
        <v>0</v>
      </c>
      <c r="AD365" s="0" t="n">
        <f aca="false">R365*E365+D365*(X365*S365+(1-X365)*T365)</f>
        <v>-0.151401776092613</v>
      </c>
      <c r="AE365" s="0" t="n">
        <f aca="false">Z365</f>
        <v>55.0316948910322</v>
      </c>
      <c r="AF365" s="0" t="n">
        <f aca="false">E365*O365</f>
        <v>55.0316948910322</v>
      </c>
      <c r="AG365" s="0" t="n">
        <f aca="false">((1-X365)*O365+X365*P365)*D365</f>
        <v>0</v>
      </c>
      <c r="AH365" s="0" t="n">
        <f aca="false">D365*(LN(EXP(S365)+EXP(T365)))</f>
        <v>-0</v>
      </c>
      <c r="AJ365" s="0" t="n">
        <f aca="false">$J$5</f>
        <v>10</v>
      </c>
      <c r="AK365" s="4" t="n">
        <f aca="false">AJ365+MAX(K365,AK$10:AK364)</f>
        <v>3778.82985076217</v>
      </c>
      <c r="AL365" s="5" t="n">
        <f aca="false">AK365-K365</f>
        <v>55.0316948910322</v>
      </c>
      <c r="AM365" s="0" t="n">
        <f aca="false">-G365*AL365/3600</f>
        <v>-0.151401776092613</v>
      </c>
      <c r="AN365" s="0" t="n">
        <f aca="false">-H365*AL365/3600</f>
        <v>-0.0873333955421178</v>
      </c>
      <c r="AO365" s="0" t="n">
        <f aca="false">AM365*E365+AN365*D365</f>
        <v>-0.151401776092613</v>
      </c>
      <c r="AP365" s="0" t="n">
        <f aca="false">AL365*D365</f>
        <v>0</v>
      </c>
      <c r="AR365" s="0" t="n">
        <f aca="false">AN365*D365</f>
        <v>-0</v>
      </c>
      <c r="AS365" s="0" t="n">
        <f aca="false">AH365-AR365</f>
        <v>0</v>
      </c>
    </row>
    <row r="366" customFormat="false" ht="12" hidden="false" customHeight="false" outlineLevel="0" collapsed="false">
      <c r="A366" s="3" t="n">
        <f aca="false">A365+1</f>
        <v>357</v>
      </c>
      <c r="B366" s="3" t="n">
        <f aca="false">IF(A366&lt;$N$4/3,0.1,(IF(A366&gt;2*$N$4/3,0.05,0.12)))</f>
        <v>0.12</v>
      </c>
      <c r="C366" s="4" t="n">
        <f aca="true">RAND()</f>
        <v>0.624813574261108</v>
      </c>
      <c r="D366" s="0" t="n">
        <f aca="false">IF((C366&gt;$M$2),1,0)</f>
        <v>0</v>
      </c>
      <c r="E366" s="0" t="n">
        <f aca="false">1-D366</f>
        <v>1</v>
      </c>
      <c r="F366" s="0" t="n">
        <f aca="true">RAND()</f>
        <v>0.492201005176505</v>
      </c>
      <c r="G366" s="0" t="n">
        <f aca="false">7.75+F366*10</f>
        <v>12.672010051765</v>
      </c>
      <c r="H366" s="0" t="n">
        <f aca="false">LOGINV(F366,2.64,1.139)</f>
        <v>13.7046071476838</v>
      </c>
      <c r="I366" s="0" t="n">
        <v>19.5</v>
      </c>
      <c r="J366" s="4" t="n">
        <f aca="true">-LN(RAND())/B366</f>
        <v>15.8693153632192</v>
      </c>
      <c r="K366" s="4" t="n">
        <f aca="false">K365+J366</f>
        <v>3739.66747123436</v>
      </c>
      <c r="L366" s="4" t="n">
        <f aca="false">(1/$J$4)*(1+AB365)</f>
        <v>10</v>
      </c>
      <c r="M366" s="4" t="n">
        <f aca="false">L366+MAX(K366,Y$10:Y365)</f>
        <v>3788.82985076217</v>
      </c>
      <c r="N366" s="4" t="n">
        <f aca="false">K366</f>
        <v>3739.66747123436</v>
      </c>
      <c r="O366" s="4" t="n">
        <f aca="false">M366-K366</f>
        <v>49.1623795278128</v>
      </c>
      <c r="P366" s="4" t="n">
        <f aca="false">N366-K366</f>
        <v>0</v>
      </c>
      <c r="Q366" s="4" t="n">
        <f aca="false">A366-MATCH(K366,$M$9:M365,1)</f>
        <v>4</v>
      </c>
      <c r="R366" s="0" t="n">
        <f aca="false">-G366*(O366/3600)</f>
        <v>-0.173051713206981</v>
      </c>
      <c r="S366" s="0" t="n">
        <f aca="false">-1*I366-(H366*(P366/3600))</f>
        <v>-19.5</v>
      </c>
      <c r="T366" s="0" t="n">
        <f aca="false">-H366*(O366/3600)</f>
        <v>-0.18715308274278</v>
      </c>
      <c r="U366" s="0" t="n">
        <f aca="false">T366-S366</f>
        <v>19.3128469172572</v>
      </c>
      <c r="V366" s="0" t="n">
        <f aca="false">1/(1+EXP(U366))</f>
        <v>4.09767162310248E-009</v>
      </c>
      <c r="W366" s="0" t="n">
        <f aca="true">RAND()</f>
        <v>0.860137288359521</v>
      </c>
      <c r="X366" s="0" t="n">
        <f aca="false">IF(W366&lt;V366,1,0)</f>
        <v>0</v>
      </c>
      <c r="Y366" s="0" t="n">
        <f aca="false">(M366*(1-X366)+N366*X366)*D366+M366*E366</f>
        <v>3788.82985076217</v>
      </c>
      <c r="Z366" s="0" t="n">
        <f aca="false">((1-X366)*O366+X366*P366)*D366+E366*O366</f>
        <v>49.1623795278128</v>
      </c>
      <c r="AA366" s="0" t="n">
        <f aca="false">IF(D366*X366&gt;0,AA365,Q366)</f>
        <v>4</v>
      </c>
      <c r="AB366" s="0" t="n">
        <f aca="false">(X366*D366)</f>
        <v>0</v>
      </c>
      <c r="AC366" s="0" t="n">
        <f aca="false">SUM(AB$10:AB365)/K366</f>
        <v>0</v>
      </c>
      <c r="AD366" s="0" t="n">
        <f aca="false">R366*E366+D366*(X366*S366+(1-X366)*T366)</f>
        <v>-0.173051713206981</v>
      </c>
      <c r="AE366" s="0" t="n">
        <f aca="false">Z366</f>
        <v>49.1623795278128</v>
      </c>
      <c r="AF366" s="0" t="n">
        <f aca="false">E366*O366</f>
        <v>49.1623795278128</v>
      </c>
      <c r="AG366" s="0" t="n">
        <f aca="false">((1-X366)*O366+X366*P366)*D366</f>
        <v>0</v>
      </c>
      <c r="AH366" s="0" t="n">
        <f aca="false">D366*(LN(EXP(S366)+EXP(T366)))</f>
        <v>-0</v>
      </c>
      <c r="AJ366" s="0" t="n">
        <f aca="false">$J$5</f>
        <v>10</v>
      </c>
      <c r="AK366" s="4" t="n">
        <f aca="false">AJ366+MAX(K366,AK$10:AK365)</f>
        <v>3788.82985076217</v>
      </c>
      <c r="AL366" s="5" t="n">
        <f aca="false">AK366-K366</f>
        <v>49.1623795278128</v>
      </c>
      <c r="AM366" s="0" t="n">
        <f aca="false">-G366*AL366/3600</f>
        <v>-0.173051713206981</v>
      </c>
      <c r="AN366" s="0" t="n">
        <f aca="false">-H366*AL366/3600</f>
        <v>-0.18715308274278</v>
      </c>
      <c r="AO366" s="0" t="n">
        <f aca="false">AM366*E366+AN366*D366</f>
        <v>-0.173051713206981</v>
      </c>
      <c r="AP366" s="0" t="n">
        <f aca="false">AL366*D366</f>
        <v>0</v>
      </c>
      <c r="AR366" s="0" t="n">
        <f aca="false">AN366*D366</f>
        <v>-0</v>
      </c>
      <c r="AS366" s="0" t="n">
        <f aca="false">AH366-AR366</f>
        <v>0</v>
      </c>
    </row>
    <row r="367" customFormat="false" ht="12" hidden="false" customHeight="false" outlineLevel="0" collapsed="false">
      <c r="A367" s="3" t="n">
        <f aca="false">A366+1</f>
        <v>358</v>
      </c>
      <c r="B367" s="3" t="n">
        <f aca="false">IF(A367&lt;$N$4/3,0.1,(IF(A367&gt;2*$N$4/3,0.05,0.12)))</f>
        <v>0.12</v>
      </c>
      <c r="C367" s="4" t="n">
        <f aca="true">RAND()</f>
        <v>0.776474267719436</v>
      </c>
      <c r="D367" s="0" t="n">
        <f aca="false">IF((C367&gt;$M$2),1,0)</f>
        <v>0</v>
      </c>
      <c r="E367" s="0" t="n">
        <f aca="false">1-D367</f>
        <v>1</v>
      </c>
      <c r="F367" s="0" t="n">
        <f aca="true">RAND()</f>
        <v>0.682583740898136</v>
      </c>
      <c r="G367" s="0" t="n">
        <f aca="false">7.75+F367*10</f>
        <v>14.5758374089814</v>
      </c>
      <c r="H367" s="0" t="n">
        <f aca="false">LOGINV(F367,2.64,1.139)</f>
        <v>24.0696622618151</v>
      </c>
      <c r="I367" s="0" t="n">
        <v>19.5</v>
      </c>
      <c r="J367" s="4" t="n">
        <f aca="true">-LN(RAND())/B367</f>
        <v>21.0096216132064</v>
      </c>
      <c r="K367" s="4" t="n">
        <f aca="false">K366+J367</f>
        <v>3760.67709284757</v>
      </c>
      <c r="L367" s="4" t="n">
        <f aca="false">(1/$J$4)*(1+AB366)</f>
        <v>10</v>
      </c>
      <c r="M367" s="4" t="n">
        <f aca="false">L367+MAX(K367,Y$10:Y366)</f>
        <v>3798.82985076217</v>
      </c>
      <c r="N367" s="4" t="n">
        <f aca="false">K367</f>
        <v>3760.67709284757</v>
      </c>
      <c r="O367" s="4" t="n">
        <f aca="false">M367-K367</f>
        <v>38.1527579146064</v>
      </c>
      <c r="P367" s="4" t="n">
        <f aca="false">N367-K367</f>
        <v>0</v>
      </c>
      <c r="Q367" s="4" t="n">
        <f aca="false">A367-MATCH(K367,$M$9:M366,1)</f>
        <v>3</v>
      </c>
      <c r="R367" s="0" t="n">
        <f aca="false">-G367*(O367/3600)</f>
        <v>-0.154474554463202</v>
      </c>
      <c r="S367" s="0" t="n">
        <f aca="false">-1*I367-(H367*(P367/3600))</f>
        <v>-19.5</v>
      </c>
      <c r="T367" s="0" t="n">
        <f aca="false">-H367*(O367/3600)</f>
        <v>-0.255089999267047</v>
      </c>
      <c r="U367" s="0" t="n">
        <f aca="false">T367-S367</f>
        <v>19.244910000733</v>
      </c>
      <c r="V367" s="0" t="n">
        <f aca="false">1/(1+EXP(U367))</f>
        <v>4.38572887389564E-009</v>
      </c>
      <c r="W367" s="0" t="n">
        <f aca="true">RAND()</f>
        <v>0.438189841225278</v>
      </c>
      <c r="X367" s="0" t="n">
        <f aca="false">IF(W367&lt;V367,1,0)</f>
        <v>0</v>
      </c>
      <c r="Y367" s="0" t="n">
        <f aca="false">(M367*(1-X367)+N367*X367)*D367+M367*E367</f>
        <v>3798.82985076217</v>
      </c>
      <c r="Z367" s="0" t="n">
        <f aca="false">((1-X367)*O367+X367*P367)*D367+E367*O367</f>
        <v>38.1527579146064</v>
      </c>
      <c r="AA367" s="0" t="n">
        <f aca="false">IF(D367*X367&gt;0,AA366,Q367)</f>
        <v>3</v>
      </c>
      <c r="AB367" s="0" t="n">
        <f aca="false">(X367*D367)</f>
        <v>0</v>
      </c>
      <c r="AC367" s="0" t="n">
        <f aca="false">SUM(AB$10:AB366)/K367</f>
        <v>0</v>
      </c>
      <c r="AD367" s="0" t="n">
        <f aca="false">R367*E367+D367*(X367*S367+(1-X367)*T367)</f>
        <v>-0.154474554463202</v>
      </c>
      <c r="AE367" s="0" t="n">
        <f aca="false">Z367</f>
        <v>38.1527579146064</v>
      </c>
      <c r="AF367" s="0" t="n">
        <f aca="false">E367*O367</f>
        <v>38.1527579146064</v>
      </c>
      <c r="AG367" s="0" t="n">
        <f aca="false">((1-X367)*O367+X367*P367)*D367</f>
        <v>0</v>
      </c>
      <c r="AH367" s="0" t="n">
        <f aca="false">D367*(LN(EXP(S367)+EXP(T367)))</f>
        <v>-0</v>
      </c>
      <c r="AJ367" s="0" t="n">
        <f aca="false">$J$5</f>
        <v>10</v>
      </c>
      <c r="AK367" s="4" t="n">
        <f aca="false">AJ367+MAX(K367,AK$10:AK366)</f>
        <v>3798.82985076217</v>
      </c>
      <c r="AL367" s="5" t="n">
        <f aca="false">AK367-K367</f>
        <v>38.1527579146064</v>
      </c>
      <c r="AM367" s="0" t="n">
        <f aca="false">-G367*AL367/3600</f>
        <v>-0.154474554463202</v>
      </c>
      <c r="AN367" s="0" t="n">
        <f aca="false">-H367*AL367/3600</f>
        <v>-0.255089999267047</v>
      </c>
      <c r="AO367" s="0" t="n">
        <f aca="false">AM367*E367+AN367*D367</f>
        <v>-0.154474554463202</v>
      </c>
      <c r="AP367" s="0" t="n">
        <f aca="false">AL367*D367</f>
        <v>0</v>
      </c>
      <c r="AR367" s="0" t="n">
        <f aca="false">AN367*D367</f>
        <v>-0</v>
      </c>
      <c r="AS367" s="0" t="n">
        <f aca="false">AH367-AR367</f>
        <v>0</v>
      </c>
    </row>
    <row r="368" customFormat="false" ht="12" hidden="false" customHeight="false" outlineLevel="0" collapsed="false">
      <c r="A368" s="3" t="n">
        <f aca="false">A367+1</f>
        <v>359</v>
      </c>
      <c r="B368" s="3" t="n">
        <f aca="false">IF(A368&lt;$N$4/3,0.1,(IF(A368&gt;2*$N$4/3,0.05,0.12)))</f>
        <v>0.12</v>
      </c>
      <c r="C368" s="4" t="n">
        <f aca="true">RAND()</f>
        <v>0.902725749851495</v>
      </c>
      <c r="D368" s="0" t="n">
        <f aca="false">IF((C368&gt;$M$2),1,0)</f>
        <v>1</v>
      </c>
      <c r="E368" s="0" t="n">
        <f aca="false">1-D368</f>
        <v>0</v>
      </c>
      <c r="F368" s="0" t="n">
        <f aca="true">RAND()</f>
        <v>0.222884695081666</v>
      </c>
      <c r="G368" s="0" t="n">
        <f aca="false">7.75+F368*10</f>
        <v>9.97884695081666</v>
      </c>
      <c r="H368" s="0" t="n">
        <f aca="false">LOGINV(F368,2.64,1.139)</f>
        <v>5.8798267074455</v>
      </c>
      <c r="I368" s="0" t="n">
        <v>19.5</v>
      </c>
      <c r="J368" s="4" t="n">
        <f aca="true">-LN(RAND())/B368</f>
        <v>1.13330932662291</v>
      </c>
      <c r="K368" s="4" t="n">
        <f aca="false">K367+J368</f>
        <v>3761.81040217419</v>
      </c>
      <c r="L368" s="4" t="n">
        <f aca="false">(1/$J$4)*(1+AB367)</f>
        <v>10</v>
      </c>
      <c r="M368" s="4" t="n">
        <f aca="false">L368+MAX(K368,Y$10:Y367)</f>
        <v>3808.82985076217</v>
      </c>
      <c r="N368" s="4" t="n">
        <f aca="false">K368</f>
        <v>3761.81040217419</v>
      </c>
      <c r="O368" s="4" t="n">
        <f aca="false">M368-K368</f>
        <v>47.0194485879833</v>
      </c>
      <c r="P368" s="4" t="n">
        <f aca="false">N368-K368</f>
        <v>0</v>
      </c>
      <c r="Q368" s="4" t="n">
        <f aca="false">A368-MATCH(K368,$M$9:M367,1)</f>
        <v>4</v>
      </c>
      <c r="R368" s="0" t="n">
        <f aca="false">-G368*(O368/3600)</f>
        <v>-0.130333300325355</v>
      </c>
      <c r="S368" s="0" t="n">
        <f aca="false">-1*I368-(H368*(P368/3600))</f>
        <v>-19.5</v>
      </c>
      <c r="T368" s="0" t="n">
        <f aca="false">-H368*(O368/3600)</f>
        <v>-0.0767961693269403</v>
      </c>
      <c r="U368" s="0" t="n">
        <f aca="false">T368-S368</f>
        <v>19.4232038306731</v>
      </c>
      <c r="V368" s="0" t="n">
        <f aca="false">1/(1+EXP(U368))</f>
        <v>3.66952418061998E-009</v>
      </c>
      <c r="W368" s="0" t="n">
        <f aca="true">RAND()</f>
        <v>0.629751551349926</v>
      </c>
      <c r="X368" s="0" t="n">
        <f aca="false">IF(W368&lt;V368,1,0)</f>
        <v>0</v>
      </c>
      <c r="Y368" s="0" t="n">
        <f aca="false">(M368*(1-X368)+N368*X368)*D368+M368*E368</f>
        <v>3808.82985076217</v>
      </c>
      <c r="Z368" s="0" t="n">
        <f aca="false">((1-X368)*O368+X368*P368)*D368+E368*O368</f>
        <v>47.0194485879833</v>
      </c>
      <c r="AA368" s="0" t="n">
        <f aca="false">IF(D368*X368&gt;0,AA367,Q368)</f>
        <v>4</v>
      </c>
      <c r="AB368" s="0" t="n">
        <f aca="false">(X368*D368)</f>
        <v>0</v>
      </c>
      <c r="AC368" s="0" t="n">
        <f aca="false">SUM(AB$10:AB367)/K368</f>
        <v>0</v>
      </c>
      <c r="AD368" s="0" t="n">
        <f aca="false">R368*E368+D368*(X368*S368+(1-X368)*T368)</f>
        <v>-0.0767961693269403</v>
      </c>
      <c r="AE368" s="0" t="n">
        <f aca="false">Z368</f>
        <v>47.0194485879833</v>
      </c>
      <c r="AF368" s="0" t="n">
        <f aca="false">E368*O368</f>
        <v>0</v>
      </c>
      <c r="AG368" s="0" t="n">
        <f aca="false">((1-X368)*O368+X368*P368)*D368</f>
        <v>47.0194485879833</v>
      </c>
      <c r="AH368" s="0" t="n">
        <f aca="false">D368*(LN(EXP(S368)+EXP(T368)))</f>
        <v>-0.0767961656574162</v>
      </c>
      <c r="AJ368" s="0" t="n">
        <f aca="false">$J$5</f>
        <v>10</v>
      </c>
      <c r="AK368" s="4" t="n">
        <f aca="false">AJ368+MAX(K368,AK$10:AK367)</f>
        <v>3808.82985076217</v>
      </c>
      <c r="AL368" s="5" t="n">
        <f aca="false">AK368-K368</f>
        <v>47.0194485879833</v>
      </c>
      <c r="AM368" s="0" t="n">
        <f aca="false">-G368*AL368/3600</f>
        <v>-0.130333300325355</v>
      </c>
      <c r="AN368" s="0" t="n">
        <f aca="false">-H368*AL368/3600</f>
        <v>-0.0767961693269403</v>
      </c>
      <c r="AO368" s="0" t="n">
        <f aca="false">AM368*E368+AN368*D368</f>
        <v>-0.0767961693269403</v>
      </c>
      <c r="AP368" s="0" t="n">
        <f aca="false">AL368*D368</f>
        <v>47.0194485879833</v>
      </c>
      <c r="AR368" s="0" t="n">
        <f aca="false">AN368*D368</f>
        <v>-0.0767961693269403</v>
      </c>
      <c r="AS368" s="0" t="n">
        <f aca="false">AH368-AR368</f>
        <v>3.66952408736854E-009</v>
      </c>
    </row>
    <row r="369" customFormat="false" ht="12" hidden="false" customHeight="false" outlineLevel="0" collapsed="false">
      <c r="A369" s="3" t="n">
        <f aca="false">A368+1</f>
        <v>360</v>
      </c>
      <c r="B369" s="3" t="n">
        <f aca="false">IF(A369&lt;$N$4/3,0.1,(IF(A369&gt;2*$N$4/3,0.05,0.12)))</f>
        <v>0.12</v>
      </c>
      <c r="C369" s="4" t="n">
        <f aca="true">RAND()</f>
        <v>0.670623970627573</v>
      </c>
      <c r="D369" s="0" t="n">
        <f aca="false">IF((C369&gt;$M$2),1,0)</f>
        <v>0</v>
      </c>
      <c r="E369" s="0" t="n">
        <f aca="false">1-D369</f>
        <v>1</v>
      </c>
      <c r="F369" s="0" t="n">
        <f aca="true">RAND()</f>
        <v>0.0725056672714929</v>
      </c>
      <c r="G369" s="0" t="n">
        <f aca="false">7.75+F369*10</f>
        <v>8.47505667271493</v>
      </c>
      <c r="H369" s="0" t="n">
        <f aca="false">LOGINV(F369,2.64,1.139)</f>
        <v>2.66457197811101</v>
      </c>
      <c r="I369" s="0" t="n">
        <v>19.5</v>
      </c>
      <c r="J369" s="4" t="n">
        <f aca="true">-LN(RAND())/B369</f>
        <v>20.369632901138</v>
      </c>
      <c r="K369" s="4" t="n">
        <f aca="false">K368+J369</f>
        <v>3782.18003507533</v>
      </c>
      <c r="L369" s="4" t="n">
        <f aca="false">(1/$J$4)*(1+AB368)</f>
        <v>10</v>
      </c>
      <c r="M369" s="4" t="n">
        <f aca="false">L369+MAX(K369,Y$10:Y368)</f>
        <v>3818.82985076217</v>
      </c>
      <c r="N369" s="4" t="n">
        <f aca="false">K369</f>
        <v>3782.18003507533</v>
      </c>
      <c r="O369" s="4" t="n">
        <f aca="false">M369-K369</f>
        <v>36.6498156868452</v>
      </c>
      <c r="P369" s="4" t="n">
        <f aca="false">N369-K369</f>
        <v>0</v>
      </c>
      <c r="Q369" s="4" t="n">
        <f aca="false">A369-MATCH(K369,$M$9:M368,1)</f>
        <v>3</v>
      </c>
      <c r="R369" s="0" t="n">
        <f aca="false">-G369*(O369/3600)</f>
        <v>-0.0862803513862693</v>
      </c>
      <c r="S369" s="0" t="n">
        <f aca="false">-1*I369-(H369*(P369/3600))</f>
        <v>-19.5</v>
      </c>
      <c r="T369" s="0" t="n">
        <f aca="false">-H369*(O369/3600)</f>
        <v>-0.0271266866339169</v>
      </c>
      <c r="U369" s="0" t="n">
        <f aca="false">T369-S369</f>
        <v>19.4728733133661</v>
      </c>
      <c r="V369" s="0" t="n">
        <f aca="false">1/(1+EXP(U369))</f>
        <v>3.49171325610608E-009</v>
      </c>
      <c r="W369" s="0" t="n">
        <f aca="true">RAND()</f>
        <v>0.545526125178933</v>
      </c>
      <c r="X369" s="0" t="n">
        <f aca="false">IF(W369&lt;V369,1,0)</f>
        <v>0</v>
      </c>
      <c r="Y369" s="0" t="n">
        <f aca="false">(M369*(1-X369)+N369*X369)*D369+M369*E369</f>
        <v>3818.82985076217</v>
      </c>
      <c r="Z369" s="0" t="n">
        <f aca="false">((1-X369)*O369+X369*P369)*D369+E369*O369</f>
        <v>36.6498156868452</v>
      </c>
      <c r="AA369" s="0" t="n">
        <f aca="false">IF(D369*X369&gt;0,AA368,Q369)</f>
        <v>3</v>
      </c>
      <c r="AB369" s="0" t="n">
        <f aca="false">(X369*D369)</f>
        <v>0</v>
      </c>
      <c r="AC369" s="0" t="n">
        <f aca="false">SUM(AB$10:AB368)/K369</f>
        <v>0</v>
      </c>
      <c r="AD369" s="0" t="n">
        <f aca="false">R369*E369+D369*(X369*S369+(1-X369)*T369)</f>
        <v>-0.0862803513862693</v>
      </c>
      <c r="AE369" s="0" t="n">
        <f aca="false">Z369</f>
        <v>36.6498156868452</v>
      </c>
      <c r="AF369" s="0" t="n">
        <f aca="false">E369*O369</f>
        <v>36.6498156868452</v>
      </c>
      <c r="AG369" s="0" t="n">
        <f aca="false">((1-X369)*O369+X369*P369)*D369</f>
        <v>0</v>
      </c>
      <c r="AH369" s="0" t="n">
        <f aca="false">D369*(LN(EXP(S369)+EXP(T369)))</f>
        <v>-0</v>
      </c>
      <c r="AJ369" s="0" t="n">
        <f aca="false">$J$5</f>
        <v>10</v>
      </c>
      <c r="AK369" s="4" t="n">
        <f aca="false">AJ369+MAX(K369,AK$10:AK368)</f>
        <v>3818.82985076217</v>
      </c>
      <c r="AL369" s="5" t="n">
        <f aca="false">AK369-K369</f>
        <v>36.6498156868452</v>
      </c>
      <c r="AM369" s="0" t="n">
        <f aca="false">-G369*AL369/3600</f>
        <v>-0.0862803513862693</v>
      </c>
      <c r="AN369" s="0" t="n">
        <f aca="false">-H369*AL369/3600</f>
        <v>-0.0271266866339169</v>
      </c>
      <c r="AO369" s="0" t="n">
        <f aca="false">AM369*E369+AN369*D369</f>
        <v>-0.0862803513862693</v>
      </c>
      <c r="AP369" s="0" t="n">
        <f aca="false">AL369*D369</f>
        <v>0</v>
      </c>
      <c r="AR369" s="0" t="n">
        <f aca="false">AN369*D369</f>
        <v>-0</v>
      </c>
      <c r="AS369" s="0" t="n">
        <f aca="false">AH369-AR369</f>
        <v>0</v>
      </c>
    </row>
    <row r="370" customFormat="false" ht="12" hidden="false" customHeight="false" outlineLevel="0" collapsed="false">
      <c r="A370" s="3" t="n">
        <f aca="false">A369+1</f>
        <v>361</v>
      </c>
      <c r="B370" s="3" t="n">
        <f aca="false">IF(A370&lt;$N$4/3,0.1,(IF(A370&gt;2*$N$4/3,0.05,0.12)))</f>
        <v>0.12</v>
      </c>
      <c r="C370" s="4" t="n">
        <f aca="true">RAND()</f>
        <v>0.389261894141457</v>
      </c>
      <c r="D370" s="0" t="n">
        <f aca="false">IF((C370&gt;$M$2),1,0)</f>
        <v>0</v>
      </c>
      <c r="E370" s="0" t="n">
        <f aca="false">1-D370</f>
        <v>1</v>
      </c>
      <c r="F370" s="0" t="n">
        <f aca="true">RAND()</f>
        <v>0.560824736631852</v>
      </c>
      <c r="G370" s="0" t="n">
        <f aca="false">7.75+F370*10</f>
        <v>13.3582473663185</v>
      </c>
      <c r="H370" s="0" t="n">
        <f aca="false">LOGINV(F370,2.64,1.139)</f>
        <v>16.6820946078532</v>
      </c>
      <c r="I370" s="0" t="n">
        <v>19.5</v>
      </c>
      <c r="J370" s="4" t="n">
        <f aca="true">-LN(RAND())/B370</f>
        <v>3.37748218195991</v>
      </c>
      <c r="K370" s="4" t="n">
        <f aca="false">K369+J370</f>
        <v>3785.55751725729</v>
      </c>
      <c r="L370" s="4" t="n">
        <f aca="false">(1/$J$4)*(1+AB369)</f>
        <v>10</v>
      </c>
      <c r="M370" s="4" t="n">
        <f aca="false">L370+MAX(K370,Y$10:Y369)</f>
        <v>3828.82985076217</v>
      </c>
      <c r="N370" s="4" t="n">
        <f aca="false">K370</f>
        <v>3785.55751725729</v>
      </c>
      <c r="O370" s="4" t="n">
        <f aca="false">M370-K370</f>
        <v>43.2723335048854</v>
      </c>
      <c r="P370" s="4" t="n">
        <f aca="false">N370-K370</f>
        <v>0</v>
      </c>
      <c r="Q370" s="4" t="n">
        <f aca="false">A370-MATCH(K370,$M$9:M369,1)</f>
        <v>4</v>
      </c>
      <c r="R370" s="0" t="n">
        <f aca="false">-G370*(O370/3600)</f>
        <v>-0.16056737085447</v>
      </c>
      <c r="S370" s="0" t="n">
        <f aca="false">-1*I370-(H370*(P370/3600))</f>
        <v>-19.5</v>
      </c>
      <c r="T370" s="0" t="n">
        <f aca="false">-H370*(O370/3600)</f>
        <v>-0.200520322619742</v>
      </c>
      <c r="U370" s="0" t="n">
        <f aca="false">T370-S370</f>
        <v>19.2994796773803</v>
      </c>
      <c r="V370" s="0" t="n">
        <f aca="false">1/(1+EXP(U370))</f>
        <v>4.15281391141517E-009</v>
      </c>
      <c r="W370" s="0" t="n">
        <f aca="true">RAND()</f>
        <v>0.604557609496475</v>
      </c>
      <c r="X370" s="0" t="n">
        <f aca="false">IF(W370&lt;V370,1,0)</f>
        <v>0</v>
      </c>
      <c r="Y370" s="0" t="n">
        <f aca="false">(M370*(1-X370)+N370*X370)*D370+M370*E370</f>
        <v>3828.82985076217</v>
      </c>
      <c r="Z370" s="0" t="n">
        <f aca="false">((1-X370)*O370+X370*P370)*D370+E370*O370</f>
        <v>43.2723335048854</v>
      </c>
      <c r="AA370" s="0" t="n">
        <f aca="false">IF(D370*X370&gt;0,AA369,Q370)</f>
        <v>4</v>
      </c>
      <c r="AB370" s="0" t="n">
        <f aca="false">(X370*D370)</f>
        <v>0</v>
      </c>
      <c r="AC370" s="0" t="n">
        <f aca="false">SUM(AB$10:AB369)/K370</f>
        <v>0</v>
      </c>
      <c r="AD370" s="0" t="n">
        <f aca="false">R370*E370+D370*(X370*S370+(1-X370)*T370)</f>
        <v>-0.16056737085447</v>
      </c>
      <c r="AE370" s="0" t="n">
        <f aca="false">Z370</f>
        <v>43.2723335048854</v>
      </c>
      <c r="AF370" s="0" t="n">
        <f aca="false">E370*O370</f>
        <v>43.2723335048854</v>
      </c>
      <c r="AG370" s="0" t="n">
        <f aca="false">((1-X370)*O370+X370*P370)*D370</f>
        <v>0</v>
      </c>
      <c r="AH370" s="0" t="n">
        <f aca="false">D370*(LN(EXP(S370)+EXP(T370)))</f>
        <v>-0</v>
      </c>
      <c r="AJ370" s="0" t="n">
        <f aca="false">$J$5</f>
        <v>10</v>
      </c>
      <c r="AK370" s="4" t="n">
        <f aca="false">AJ370+MAX(K370,AK$10:AK369)</f>
        <v>3828.82985076217</v>
      </c>
      <c r="AL370" s="5" t="n">
        <f aca="false">AK370-K370</f>
        <v>43.2723335048854</v>
      </c>
      <c r="AM370" s="0" t="n">
        <f aca="false">-G370*AL370/3600</f>
        <v>-0.16056737085447</v>
      </c>
      <c r="AN370" s="0" t="n">
        <f aca="false">-H370*AL370/3600</f>
        <v>-0.200520322619742</v>
      </c>
      <c r="AO370" s="0" t="n">
        <f aca="false">AM370*E370+AN370*D370</f>
        <v>-0.16056737085447</v>
      </c>
      <c r="AP370" s="0" t="n">
        <f aca="false">AL370*D370</f>
        <v>0</v>
      </c>
      <c r="AR370" s="0" t="n">
        <f aca="false">AN370*D370</f>
        <v>-0</v>
      </c>
      <c r="AS370" s="0" t="n">
        <f aca="false">AH370-AR370</f>
        <v>0</v>
      </c>
    </row>
    <row r="371" customFormat="false" ht="12" hidden="false" customHeight="false" outlineLevel="0" collapsed="false">
      <c r="A371" s="3" t="n">
        <f aca="false">A370+1</f>
        <v>362</v>
      </c>
      <c r="B371" s="3" t="n">
        <f aca="false">IF(A371&lt;$N$4/3,0.1,(IF(A371&gt;2*$N$4/3,0.05,0.12)))</f>
        <v>0.12</v>
      </c>
      <c r="C371" s="4" t="n">
        <f aca="true">RAND()</f>
        <v>0.874566024538515</v>
      </c>
      <c r="D371" s="0" t="n">
        <f aca="false">IF((C371&gt;$M$2),1,0)</f>
        <v>0</v>
      </c>
      <c r="E371" s="0" t="n">
        <f aca="false">1-D371</f>
        <v>1</v>
      </c>
      <c r="F371" s="0" t="n">
        <f aca="true">RAND()</f>
        <v>0.00259589626279076</v>
      </c>
      <c r="G371" s="0" t="n">
        <f aca="false">7.75+F371*10</f>
        <v>7.77595896262791</v>
      </c>
      <c r="H371" s="0" t="n">
        <f aca="false">LOGINV(F371,2.64,1.139)</f>
        <v>0.580784314349017</v>
      </c>
      <c r="I371" s="0" t="n">
        <v>19.5</v>
      </c>
      <c r="J371" s="4" t="n">
        <f aca="true">-LN(RAND())/B371</f>
        <v>1.9310636368531</v>
      </c>
      <c r="K371" s="4" t="n">
        <f aca="false">K370+J371</f>
        <v>3787.48858089414</v>
      </c>
      <c r="L371" s="4" t="n">
        <f aca="false">(1/$J$4)*(1+AB370)</f>
        <v>10</v>
      </c>
      <c r="M371" s="4" t="n">
        <f aca="false">L371+MAX(K371,Y$10:Y370)</f>
        <v>3838.82985076217</v>
      </c>
      <c r="N371" s="4" t="n">
        <f aca="false">K371</f>
        <v>3787.48858089414</v>
      </c>
      <c r="O371" s="4" t="n">
        <f aca="false">M371-K371</f>
        <v>51.3412698680322</v>
      </c>
      <c r="P371" s="4" t="n">
        <f aca="false">N371-K371</f>
        <v>0</v>
      </c>
      <c r="Q371" s="4" t="n">
        <f aca="false">A371-MATCH(K371,$M$9:M370,1)</f>
        <v>5</v>
      </c>
      <c r="R371" s="0" t="n">
        <f aca="false">-G371*(O371/3600)</f>
        <v>-0.110896557661951</v>
      </c>
      <c r="S371" s="0" t="n">
        <f aca="false">-1*I371-(H371*(P371/3600))</f>
        <v>-19.5</v>
      </c>
      <c r="T371" s="0" t="n">
        <f aca="false">-H371*(O371/3600)</f>
        <v>-0.00828283450503138</v>
      </c>
      <c r="U371" s="0" t="n">
        <f aca="false">T371-S371</f>
        <v>19.491717165495</v>
      </c>
      <c r="V371" s="0" t="n">
        <f aca="false">1/(1+EXP(U371))</f>
        <v>3.42653198988881E-009</v>
      </c>
      <c r="W371" s="0" t="n">
        <f aca="true">RAND()</f>
        <v>0.36667414870691</v>
      </c>
      <c r="X371" s="0" t="n">
        <f aca="false">IF(W371&lt;V371,1,0)</f>
        <v>0</v>
      </c>
      <c r="Y371" s="0" t="n">
        <f aca="false">(M371*(1-X371)+N371*X371)*D371+M371*E371</f>
        <v>3838.82985076217</v>
      </c>
      <c r="Z371" s="0" t="n">
        <f aca="false">((1-X371)*O371+X371*P371)*D371+E371*O371</f>
        <v>51.3412698680322</v>
      </c>
      <c r="AA371" s="0" t="n">
        <f aca="false">IF(D371*X371&gt;0,AA370,Q371)</f>
        <v>5</v>
      </c>
      <c r="AB371" s="0" t="n">
        <f aca="false">(X371*D371)</f>
        <v>0</v>
      </c>
      <c r="AC371" s="0" t="n">
        <f aca="false">SUM(AB$10:AB370)/K371</f>
        <v>0</v>
      </c>
      <c r="AD371" s="0" t="n">
        <f aca="false">R371*E371+D371*(X371*S371+(1-X371)*T371)</f>
        <v>-0.110896557661951</v>
      </c>
      <c r="AE371" s="0" t="n">
        <f aca="false">Z371</f>
        <v>51.3412698680322</v>
      </c>
      <c r="AF371" s="0" t="n">
        <f aca="false">E371*O371</f>
        <v>51.3412698680322</v>
      </c>
      <c r="AG371" s="0" t="n">
        <f aca="false">((1-X371)*O371+X371*P371)*D371</f>
        <v>0</v>
      </c>
      <c r="AH371" s="0" t="n">
        <f aca="false">D371*(LN(EXP(S371)+EXP(T371)))</f>
        <v>-0</v>
      </c>
      <c r="AJ371" s="0" t="n">
        <f aca="false">$J$5</f>
        <v>10</v>
      </c>
      <c r="AK371" s="4" t="n">
        <f aca="false">AJ371+MAX(K371,AK$10:AK370)</f>
        <v>3838.82985076217</v>
      </c>
      <c r="AL371" s="5" t="n">
        <f aca="false">AK371-K371</f>
        <v>51.3412698680322</v>
      </c>
      <c r="AM371" s="0" t="n">
        <f aca="false">-G371*AL371/3600</f>
        <v>-0.110896557661951</v>
      </c>
      <c r="AN371" s="0" t="n">
        <f aca="false">-H371*AL371/3600</f>
        <v>-0.00828283450503138</v>
      </c>
      <c r="AO371" s="0" t="n">
        <f aca="false">AM371*E371+AN371*D371</f>
        <v>-0.110896557661951</v>
      </c>
      <c r="AP371" s="0" t="n">
        <f aca="false">AL371*D371</f>
        <v>0</v>
      </c>
      <c r="AR371" s="0" t="n">
        <f aca="false">AN371*D371</f>
        <v>-0</v>
      </c>
      <c r="AS371" s="0" t="n">
        <f aca="false">AH371-AR371</f>
        <v>0</v>
      </c>
    </row>
    <row r="372" customFormat="false" ht="12" hidden="false" customHeight="false" outlineLevel="0" collapsed="false">
      <c r="A372" s="3" t="n">
        <f aca="false">A371+1</f>
        <v>363</v>
      </c>
      <c r="B372" s="3" t="n">
        <f aca="false">IF(A372&lt;$N$4/3,0.1,(IF(A372&gt;2*$N$4/3,0.05,0.12)))</f>
        <v>0.12</v>
      </c>
      <c r="C372" s="4" t="n">
        <f aca="true">RAND()</f>
        <v>0.295238690115266</v>
      </c>
      <c r="D372" s="0" t="n">
        <f aca="false">IF((C372&gt;$M$2),1,0)</f>
        <v>0</v>
      </c>
      <c r="E372" s="0" t="n">
        <f aca="false">1-D372</f>
        <v>1</v>
      </c>
      <c r="F372" s="0" t="n">
        <f aca="true">RAND()</f>
        <v>0.499545659062677</v>
      </c>
      <c r="G372" s="0" t="n">
        <f aca="false">7.75+F372*10</f>
        <v>12.7454565906268</v>
      </c>
      <c r="H372" s="0" t="n">
        <f aca="false">LOGINV(F372,2.64,1.139)</f>
        <v>13.995037938238</v>
      </c>
      <c r="I372" s="0" t="n">
        <v>19.5</v>
      </c>
      <c r="J372" s="4" t="n">
        <f aca="true">-LN(RAND())/B372</f>
        <v>4.38679887415961</v>
      </c>
      <c r="K372" s="4" t="n">
        <f aca="false">K371+J372</f>
        <v>3791.8753797683</v>
      </c>
      <c r="L372" s="4" t="n">
        <f aca="false">(1/$J$4)*(1+AB371)</f>
        <v>10</v>
      </c>
      <c r="M372" s="4" t="n">
        <f aca="false">L372+MAX(K372,Y$10:Y371)</f>
        <v>3848.82985076217</v>
      </c>
      <c r="N372" s="4" t="n">
        <f aca="false">K372</f>
        <v>3791.8753797683</v>
      </c>
      <c r="O372" s="4" t="n">
        <f aca="false">M372-K372</f>
        <v>56.9544709938728</v>
      </c>
      <c r="P372" s="4" t="n">
        <f aca="false">N372-K372</f>
        <v>0</v>
      </c>
      <c r="Q372" s="4" t="n">
        <f aca="false">A372-MATCH(K372,$M$9:M371,1)</f>
        <v>5</v>
      </c>
      <c r="R372" s="0" t="n">
        <f aca="false">-G372*(O372/3600)</f>
        <v>-0.20164187158181</v>
      </c>
      <c r="S372" s="0" t="n">
        <f aca="false">-1*I372-(H372*(P372/3600))</f>
        <v>-19.5</v>
      </c>
      <c r="T372" s="0" t="n">
        <f aca="false">-H372*(O372/3600)</f>
        <v>-0.221411106197646</v>
      </c>
      <c r="U372" s="0" t="n">
        <f aca="false">T372-S372</f>
        <v>19.2785888938024</v>
      </c>
      <c r="V372" s="0" t="n">
        <f aca="false">1/(1+EXP(U372))</f>
        <v>4.24048198675028E-009</v>
      </c>
      <c r="W372" s="0" t="n">
        <f aca="true">RAND()</f>
        <v>0.988624948749907</v>
      </c>
      <c r="X372" s="0" t="n">
        <f aca="false">IF(W372&lt;V372,1,0)</f>
        <v>0</v>
      </c>
      <c r="Y372" s="0" t="n">
        <f aca="false">(M372*(1-X372)+N372*X372)*D372+M372*E372</f>
        <v>3848.82985076217</v>
      </c>
      <c r="Z372" s="0" t="n">
        <f aca="false">((1-X372)*O372+X372*P372)*D372+E372*O372</f>
        <v>56.9544709938728</v>
      </c>
      <c r="AA372" s="0" t="n">
        <f aca="false">IF(D372*X372&gt;0,AA371,Q372)</f>
        <v>5</v>
      </c>
      <c r="AB372" s="0" t="n">
        <f aca="false">(X372*D372)</f>
        <v>0</v>
      </c>
      <c r="AC372" s="0" t="n">
        <f aca="false">SUM(AB$10:AB371)/K372</f>
        <v>0</v>
      </c>
      <c r="AD372" s="0" t="n">
        <f aca="false">R372*E372+D372*(X372*S372+(1-X372)*T372)</f>
        <v>-0.20164187158181</v>
      </c>
      <c r="AE372" s="0" t="n">
        <f aca="false">Z372</f>
        <v>56.9544709938728</v>
      </c>
      <c r="AF372" s="0" t="n">
        <f aca="false">E372*O372</f>
        <v>56.9544709938728</v>
      </c>
      <c r="AG372" s="0" t="n">
        <f aca="false">((1-X372)*O372+X372*P372)*D372</f>
        <v>0</v>
      </c>
      <c r="AH372" s="0" t="n">
        <f aca="false">D372*(LN(EXP(S372)+EXP(T372)))</f>
        <v>-0</v>
      </c>
      <c r="AJ372" s="0" t="n">
        <f aca="false">$J$5</f>
        <v>10</v>
      </c>
      <c r="AK372" s="4" t="n">
        <f aca="false">AJ372+MAX(K372,AK$10:AK371)</f>
        <v>3848.82985076217</v>
      </c>
      <c r="AL372" s="5" t="n">
        <f aca="false">AK372-K372</f>
        <v>56.9544709938728</v>
      </c>
      <c r="AM372" s="0" t="n">
        <f aca="false">-G372*AL372/3600</f>
        <v>-0.20164187158181</v>
      </c>
      <c r="AN372" s="0" t="n">
        <f aca="false">-H372*AL372/3600</f>
        <v>-0.221411106197646</v>
      </c>
      <c r="AO372" s="0" t="n">
        <f aca="false">AM372*E372+AN372*D372</f>
        <v>-0.20164187158181</v>
      </c>
      <c r="AP372" s="0" t="n">
        <f aca="false">AL372*D372</f>
        <v>0</v>
      </c>
      <c r="AR372" s="0" t="n">
        <f aca="false">AN372*D372</f>
        <v>-0</v>
      </c>
      <c r="AS372" s="0" t="n">
        <f aca="false">AH372-AR372</f>
        <v>0</v>
      </c>
    </row>
    <row r="373" customFormat="false" ht="12" hidden="false" customHeight="false" outlineLevel="0" collapsed="false">
      <c r="A373" s="3" t="n">
        <f aca="false">A372+1</f>
        <v>364</v>
      </c>
      <c r="B373" s="3" t="n">
        <f aca="false">IF(A373&lt;$N$4/3,0.1,(IF(A373&gt;2*$N$4/3,0.05,0.12)))</f>
        <v>0.12</v>
      </c>
      <c r="C373" s="4" t="n">
        <f aca="true">RAND()</f>
        <v>0.205582115709036</v>
      </c>
      <c r="D373" s="0" t="n">
        <f aca="false">IF((C373&gt;$M$2),1,0)</f>
        <v>0</v>
      </c>
      <c r="E373" s="0" t="n">
        <f aca="false">1-D373</f>
        <v>1</v>
      </c>
      <c r="F373" s="0" t="n">
        <f aca="true">RAND()</f>
        <v>0.45298002381215</v>
      </c>
      <c r="G373" s="0" t="n">
        <f aca="false">7.75+F373*10</f>
        <v>12.2798002381215</v>
      </c>
      <c r="H373" s="0" t="n">
        <f aca="false">LOGINV(F373,2.64,1.139)</f>
        <v>12.2489878518451</v>
      </c>
      <c r="I373" s="0" t="n">
        <v>19.5</v>
      </c>
      <c r="J373" s="4" t="n">
        <f aca="true">-LN(RAND())/B373</f>
        <v>15.1183173382556</v>
      </c>
      <c r="K373" s="4" t="n">
        <f aca="false">K372+J373</f>
        <v>3806.99369710655</v>
      </c>
      <c r="L373" s="4" t="n">
        <f aca="false">(1/$J$4)*(1+AB372)</f>
        <v>10</v>
      </c>
      <c r="M373" s="4" t="n">
        <f aca="false">L373+MAX(K373,Y$10:Y372)</f>
        <v>3858.82985076217</v>
      </c>
      <c r="N373" s="4" t="n">
        <f aca="false">K373</f>
        <v>3806.99369710655</v>
      </c>
      <c r="O373" s="4" t="n">
        <f aca="false">M373-K373</f>
        <v>51.8361536556172</v>
      </c>
      <c r="P373" s="4" t="n">
        <f aca="false">N373-K373</f>
        <v>0</v>
      </c>
      <c r="Q373" s="4" t="n">
        <f aca="false">A373-MATCH(K373,$M$9:M372,1)</f>
        <v>5</v>
      </c>
      <c r="R373" s="0" t="n">
        <f aca="false">-G373*(O373/3600)</f>
        <v>-0.17681600333432</v>
      </c>
      <c r="S373" s="0" t="n">
        <f aca="false">-1*I373-(H373*(P373/3600))</f>
        <v>-19.5</v>
      </c>
      <c r="T373" s="0" t="n">
        <f aca="false">-H373*(O373/3600)</f>
        <v>-0.176372337892787</v>
      </c>
      <c r="U373" s="0" t="n">
        <f aca="false">T373-S373</f>
        <v>19.3236276621072</v>
      </c>
      <c r="V373" s="0" t="n">
        <f aca="false">1/(1+EXP(U373))</f>
        <v>4.05373294244804E-009</v>
      </c>
      <c r="W373" s="0" t="n">
        <f aca="true">RAND()</f>
        <v>0.306097425544554</v>
      </c>
      <c r="X373" s="0" t="n">
        <f aca="false">IF(W373&lt;V373,1,0)</f>
        <v>0</v>
      </c>
      <c r="Y373" s="0" t="n">
        <f aca="false">(M373*(1-X373)+N373*X373)*D373+M373*E373</f>
        <v>3858.82985076217</v>
      </c>
      <c r="Z373" s="0" t="n">
        <f aca="false">((1-X373)*O373+X373*P373)*D373+E373*O373</f>
        <v>51.8361536556172</v>
      </c>
      <c r="AA373" s="0" t="n">
        <f aca="false">IF(D373*X373&gt;0,AA372,Q373)</f>
        <v>5</v>
      </c>
      <c r="AB373" s="0" t="n">
        <f aca="false">(X373*D373)</f>
        <v>0</v>
      </c>
      <c r="AC373" s="0" t="n">
        <f aca="false">SUM(AB$10:AB372)/K373</f>
        <v>0</v>
      </c>
      <c r="AD373" s="0" t="n">
        <f aca="false">R373*E373+D373*(X373*S373+(1-X373)*T373)</f>
        <v>-0.17681600333432</v>
      </c>
      <c r="AE373" s="0" t="n">
        <f aca="false">Z373</f>
        <v>51.8361536556172</v>
      </c>
      <c r="AF373" s="0" t="n">
        <f aca="false">E373*O373</f>
        <v>51.8361536556172</v>
      </c>
      <c r="AG373" s="0" t="n">
        <f aca="false">((1-X373)*O373+X373*P373)*D373</f>
        <v>0</v>
      </c>
      <c r="AH373" s="0" t="n">
        <f aca="false">D373*(LN(EXP(S373)+EXP(T373)))</f>
        <v>-0</v>
      </c>
      <c r="AJ373" s="0" t="n">
        <f aca="false">$J$5</f>
        <v>10</v>
      </c>
      <c r="AK373" s="4" t="n">
        <f aca="false">AJ373+MAX(K373,AK$10:AK372)</f>
        <v>3858.82985076217</v>
      </c>
      <c r="AL373" s="5" t="n">
        <f aca="false">AK373-K373</f>
        <v>51.8361536556172</v>
      </c>
      <c r="AM373" s="0" t="n">
        <f aca="false">-G373*AL373/3600</f>
        <v>-0.17681600333432</v>
      </c>
      <c r="AN373" s="0" t="n">
        <f aca="false">-H373*AL373/3600</f>
        <v>-0.176372337892787</v>
      </c>
      <c r="AO373" s="0" t="n">
        <f aca="false">AM373*E373+AN373*D373</f>
        <v>-0.17681600333432</v>
      </c>
      <c r="AP373" s="0" t="n">
        <f aca="false">AL373*D373</f>
        <v>0</v>
      </c>
      <c r="AR373" s="0" t="n">
        <f aca="false">AN373*D373</f>
        <v>-0</v>
      </c>
      <c r="AS373" s="0" t="n">
        <f aca="false">AH373-AR373</f>
        <v>0</v>
      </c>
    </row>
    <row r="374" customFormat="false" ht="12" hidden="false" customHeight="false" outlineLevel="0" collapsed="false">
      <c r="A374" s="3" t="n">
        <f aca="false">A373+1</f>
        <v>365</v>
      </c>
      <c r="B374" s="3" t="n">
        <f aca="false">IF(A374&lt;$N$4/3,0.1,(IF(A374&gt;2*$N$4/3,0.05,0.12)))</f>
        <v>0.12</v>
      </c>
      <c r="C374" s="4" t="n">
        <f aca="true">RAND()</f>
        <v>0.341435035941527</v>
      </c>
      <c r="D374" s="0" t="n">
        <f aca="false">IF((C374&gt;$M$2),1,0)</f>
        <v>0</v>
      </c>
      <c r="E374" s="0" t="n">
        <f aca="false">1-D374</f>
        <v>1</v>
      </c>
      <c r="F374" s="0" t="n">
        <f aca="true">RAND()</f>
        <v>0.869532831643576</v>
      </c>
      <c r="G374" s="0" t="n">
        <f aca="false">7.75+F374*10</f>
        <v>16.4453283164358</v>
      </c>
      <c r="H374" s="0" t="n">
        <f aca="false">LOGINV(F374,2.64,1.139)</f>
        <v>50.4229935316742</v>
      </c>
      <c r="I374" s="0" t="n">
        <v>19.5</v>
      </c>
      <c r="J374" s="4" t="n">
        <f aca="true">-LN(RAND())/B374</f>
        <v>5.64708111789795</v>
      </c>
      <c r="K374" s="4" t="n">
        <f aca="false">K373+J374</f>
        <v>3812.64077822445</v>
      </c>
      <c r="L374" s="4" t="n">
        <f aca="false">(1/$J$4)*(1+AB373)</f>
        <v>10</v>
      </c>
      <c r="M374" s="4" t="n">
        <f aca="false">L374+MAX(K374,Y$10:Y373)</f>
        <v>3868.82985076217</v>
      </c>
      <c r="N374" s="4" t="n">
        <f aca="false">K374</f>
        <v>3812.64077822445</v>
      </c>
      <c r="O374" s="4" t="n">
        <f aca="false">M374-K374</f>
        <v>56.1890725377193</v>
      </c>
      <c r="P374" s="4" t="n">
        <f aca="false">N374-K374</f>
        <v>0</v>
      </c>
      <c r="Q374" s="4" t="n">
        <f aca="false">A374-MATCH(K374,$M$9:M373,1)</f>
        <v>5</v>
      </c>
      <c r="R374" s="0" t="n">
        <f aca="false">-G374*(O374/3600)</f>
        <v>-0.256679929355227</v>
      </c>
      <c r="S374" s="0" t="n">
        <f aca="false">-1*I374-(H374*(P374/3600))</f>
        <v>-19.5</v>
      </c>
      <c r="T374" s="0" t="n">
        <f aca="false">-H374*(O374/3600)</f>
        <v>-0.787005900311164</v>
      </c>
      <c r="U374" s="0" t="n">
        <f aca="false">T374-S374</f>
        <v>18.7129940996888</v>
      </c>
      <c r="V374" s="0" t="n">
        <f aca="false">1/(1+EXP(U374))</f>
        <v>7.46534562855107E-009</v>
      </c>
      <c r="W374" s="0" t="n">
        <f aca="true">RAND()</f>
        <v>0.150783737806415</v>
      </c>
      <c r="X374" s="0" t="n">
        <f aca="false">IF(W374&lt;V374,1,0)</f>
        <v>0</v>
      </c>
      <c r="Y374" s="0" t="n">
        <f aca="false">(M374*(1-X374)+N374*X374)*D374+M374*E374</f>
        <v>3868.82985076217</v>
      </c>
      <c r="Z374" s="0" t="n">
        <f aca="false">((1-X374)*O374+X374*P374)*D374+E374*O374</f>
        <v>56.1890725377193</v>
      </c>
      <c r="AA374" s="0" t="n">
        <f aca="false">IF(D374*X374&gt;0,AA373,Q374)</f>
        <v>5</v>
      </c>
      <c r="AB374" s="0" t="n">
        <f aca="false">(X374*D374)</f>
        <v>0</v>
      </c>
      <c r="AC374" s="0" t="n">
        <f aca="false">SUM(AB$10:AB373)/K374</f>
        <v>0</v>
      </c>
      <c r="AD374" s="0" t="n">
        <f aca="false">R374*E374+D374*(X374*S374+(1-X374)*T374)</f>
        <v>-0.256679929355227</v>
      </c>
      <c r="AE374" s="0" t="n">
        <f aca="false">Z374</f>
        <v>56.1890725377193</v>
      </c>
      <c r="AF374" s="0" t="n">
        <f aca="false">E374*O374</f>
        <v>56.1890725377193</v>
      </c>
      <c r="AG374" s="0" t="n">
        <f aca="false">((1-X374)*O374+X374*P374)*D374</f>
        <v>0</v>
      </c>
      <c r="AH374" s="0" t="n">
        <f aca="false">D374*(LN(EXP(S374)+EXP(T374)))</f>
        <v>-0</v>
      </c>
      <c r="AJ374" s="0" t="n">
        <f aca="false">$J$5</f>
        <v>10</v>
      </c>
      <c r="AK374" s="4" t="n">
        <f aca="false">AJ374+MAX(K374,AK$10:AK373)</f>
        <v>3868.82985076217</v>
      </c>
      <c r="AL374" s="5" t="n">
        <f aca="false">AK374-K374</f>
        <v>56.1890725377193</v>
      </c>
      <c r="AM374" s="0" t="n">
        <f aca="false">-G374*AL374/3600</f>
        <v>-0.256679929355227</v>
      </c>
      <c r="AN374" s="0" t="n">
        <f aca="false">-H374*AL374/3600</f>
        <v>-0.787005900311164</v>
      </c>
      <c r="AO374" s="0" t="n">
        <f aca="false">AM374*E374+AN374*D374</f>
        <v>-0.256679929355227</v>
      </c>
      <c r="AP374" s="0" t="n">
        <f aca="false">AL374*D374</f>
        <v>0</v>
      </c>
      <c r="AR374" s="0" t="n">
        <f aca="false">AN374*D374</f>
        <v>-0</v>
      </c>
      <c r="AS374" s="0" t="n">
        <f aca="false">AH374-AR374</f>
        <v>0</v>
      </c>
    </row>
    <row r="375" customFormat="false" ht="12" hidden="false" customHeight="false" outlineLevel="0" collapsed="false">
      <c r="A375" s="3" t="n">
        <f aca="false">A374+1</f>
        <v>366</v>
      </c>
      <c r="B375" s="3" t="n">
        <f aca="false">IF(A375&lt;$N$4/3,0.1,(IF(A375&gt;2*$N$4/3,0.05,0.12)))</f>
        <v>0.12</v>
      </c>
      <c r="C375" s="4" t="n">
        <f aca="true">RAND()</f>
        <v>0.761785249116487</v>
      </c>
      <c r="D375" s="0" t="n">
        <f aca="false">IF((C375&gt;$M$2),1,0)</f>
        <v>0</v>
      </c>
      <c r="E375" s="0" t="n">
        <f aca="false">1-D375</f>
        <v>1</v>
      </c>
      <c r="F375" s="0" t="n">
        <f aca="true">RAND()</f>
        <v>0.927461683334449</v>
      </c>
      <c r="G375" s="0" t="n">
        <f aca="false">7.75+F375*10</f>
        <v>17.0246168333445</v>
      </c>
      <c r="H375" s="0" t="n">
        <f aca="false">LOGINV(F375,2.64,1.139)</f>
        <v>73.6767309242066</v>
      </c>
      <c r="I375" s="0" t="n">
        <v>19.5</v>
      </c>
      <c r="J375" s="4" t="n">
        <f aca="true">-LN(RAND())/B375</f>
        <v>10.9735987551499</v>
      </c>
      <c r="K375" s="4" t="n">
        <f aca="false">K374+J375</f>
        <v>3823.6143769796</v>
      </c>
      <c r="L375" s="4" t="n">
        <f aca="false">(1/$J$4)*(1+AB374)</f>
        <v>10</v>
      </c>
      <c r="M375" s="4" t="n">
        <f aca="false">L375+MAX(K375,Y$10:Y374)</f>
        <v>3878.82985076217</v>
      </c>
      <c r="N375" s="4" t="n">
        <f aca="false">K375</f>
        <v>3823.6143769796</v>
      </c>
      <c r="O375" s="4" t="n">
        <f aca="false">M375-K375</f>
        <v>55.2154737825695</v>
      </c>
      <c r="P375" s="4" t="n">
        <f aca="false">N375-K375</f>
        <v>0</v>
      </c>
      <c r="Q375" s="4" t="n">
        <f aca="false">A375-MATCH(K375,$M$9:M374,1)</f>
        <v>5</v>
      </c>
      <c r="R375" s="0" t="n">
        <f aca="false">-G375*(O375/3600)</f>
        <v>-0.261117301227729</v>
      </c>
      <c r="S375" s="0" t="n">
        <f aca="false">-1*I375-(H375*(P375/3600))</f>
        <v>-19.5</v>
      </c>
      <c r="T375" s="0" t="n">
        <f aca="false">-H375*(O375/3600)</f>
        <v>-1.13002655686971</v>
      </c>
      <c r="U375" s="0" t="n">
        <f aca="false">T375-S375</f>
        <v>18.3699734431303</v>
      </c>
      <c r="V375" s="0" t="n">
        <f aca="false">1/(1+EXP(U375))</f>
        <v>1.0520149132434E-008</v>
      </c>
      <c r="W375" s="0" t="n">
        <f aca="true">RAND()</f>
        <v>0.657896514692978</v>
      </c>
      <c r="X375" s="0" t="n">
        <f aca="false">IF(W375&lt;V375,1,0)</f>
        <v>0</v>
      </c>
      <c r="Y375" s="0" t="n">
        <f aca="false">(M375*(1-X375)+N375*X375)*D375+M375*E375</f>
        <v>3878.82985076217</v>
      </c>
      <c r="Z375" s="0" t="n">
        <f aca="false">((1-X375)*O375+X375*P375)*D375+E375*O375</f>
        <v>55.2154737825695</v>
      </c>
      <c r="AA375" s="0" t="n">
        <f aca="false">IF(D375*X375&gt;0,AA374,Q375)</f>
        <v>5</v>
      </c>
      <c r="AB375" s="0" t="n">
        <f aca="false">(X375*D375)</f>
        <v>0</v>
      </c>
      <c r="AC375" s="0" t="n">
        <f aca="false">SUM(AB$10:AB374)/K375</f>
        <v>0</v>
      </c>
      <c r="AD375" s="0" t="n">
        <f aca="false">R375*E375+D375*(X375*S375+(1-X375)*T375)</f>
        <v>-0.261117301227729</v>
      </c>
      <c r="AE375" s="0" t="n">
        <f aca="false">Z375</f>
        <v>55.2154737825695</v>
      </c>
      <c r="AF375" s="0" t="n">
        <f aca="false">E375*O375</f>
        <v>55.2154737825695</v>
      </c>
      <c r="AG375" s="0" t="n">
        <f aca="false">((1-X375)*O375+X375*P375)*D375</f>
        <v>0</v>
      </c>
      <c r="AH375" s="0" t="n">
        <f aca="false">D375*(LN(EXP(S375)+EXP(T375)))</f>
        <v>-0</v>
      </c>
      <c r="AJ375" s="0" t="n">
        <f aca="false">$J$5</f>
        <v>10</v>
      </c>
      <c r="AK375" s="4" t="n">
        <f aca="false">AJ375+MAX(K375,AK$10:AK374)</f>
        <v>3878.82985076217</v>
      </c>
      <c r="AL375" s="5" t="n">
        <f aca="false">AK375-K375</f>
        <v>55.2154737825695</v>
      </c>
      <c r="AM375" s="0" t="n">
        <f aca="false">-G375*AL375/3600</f>
        <v>-0.261117301227729</v>
      </c>
      <c r="AN375" s="0" t="n">
        <f aca="false">-H375*AL375/3600</f>
        <v>-1.13002655686971</v>
      </c>
      <c r="AO375" s="0" t="n">
        <f aca="false">AM375*E375+AN375*D375</f>
        <v>-0.261117301227729</v>
      </c>
      <c r="AP375" s="0" t="n">
        <f aca="false">AL375*D375</f>
        <v>0</v>
      </c>
      <c r="AR375" s="0" t="n">
        <f aca="false">AN375*D375</f>
        <v>-0</v>
      </c>
      <c r="AS375" s="0" t="n">
        <f aca="false">AH375-AR375</f>
        <v>0</v>
      </c>
    </row>
    <row r="376" customFormat="false" ht="12" hidden="false" customHeight="false" outlineLevel="0" collapsed="false">
      <c r="A376" s="3" t="n">
        <f aca="false">A375+1</f>
        <v>367</v>
      </c>
      <c r="B376" s="3" t="n">
        <f aca="false">IF(A376&lt;$N$4/3,0.1,(IF(A376&gt;2*$N$4/3,0.05,0.12)))</f>
        <v>0.12</v>
      </c>
      <c r="C376" s="4" t="n">
        <f aca="true">RAND()</f>
        <v>0.699895762543419</v>
      </c>
      <c r="D376" s="0" t="n">
        <f aca="false">IF((C376&gt;$M$2),1,0)</f>
        <v>0</v>
      </c>
      <c r="E376" s="0" t="n">
        <f aca="false">1-D376</f>
        <v>1</v>
      </c>
      <c r="F376" s="0" t="n">
        <f aca="true">RAND()</f>
        <v>0.290582991448505</v>
      </c>
      <c r="G376" s="0" t="n">
        <f aca="false">7.75+F376*10</f>
        <v>10.6558299144851</v>
      </c>
      <c r="H376" s="0" t="n">
        <f aca="false">LOGINV(F376,2.64,1.139)</f>
        <v>7.47552063672686</v>
      </c>
      <c r="I376" s="0" t="n">
        <v>19.5</v>
      </c>
      <c r="J376" s="4" t="n">
        <f aca="true">-LN(RAND())/B376</f>
        <v>1.14510080878006</v>
      </c>
      <c r="K376" s="4" t="n">
        <f aca="false">K375+J376</f>
        <v>3824.75947778838</v>
      </c>
      <c r="L376" s="4" t="n">
        <f aca="false">(1/$J$4)*(1+AB375)</f>
        <v>10</v>
      </c>
      <c r="M376" s="4" t="n">
        <f aca="false">L376+MAX(K376,Y$10:Y375)</f>
        <v>3888.82985076217</v>
      </c>
      <c r="N376" s="4" t="n">
        <f aca="false">K376</f>
        <v>3824.75947778838</v>
      </c>
      <c r="O376" s="4" t="n">
        <f aca="false">M376-K376</f>
        <v>64.0703729737893</v>
      </c>
      <c r="P376" s="4" t="n">
        <f aca="false">N376-K376</f>
        <v>0</v>
      </c>
      <c r="Q376" s="4" t="n">
        <f aca="false">A376-MATCH(K376,$M$9:M375,1)</f>
        <v>6</v>
      </c>
      <c r="R376" s="0" t="n">
        <f aca="false">-G376*(O376/3600)</f>
        <v>-0.189645276935089</v>
      </c>
      <c r="S376" s="0" t="n">
        <f aca="false">-1*I376-(H376*(P376/3600))</f>
        <v>-19.5</v>
      </c>
      <c r="T376" s="0" t="n">
        <f aca="false">-H376*(O376/3600)</f>
        <v>-0.133044276491208</v>
      </c>
      <c r="U376" s="0" t="n">
        <f aca="false">T376-S376</f>
        <v>19.3669557235088</v>
      </c>
      <c r="V376" s="0" t="n">
        <f aca="false">1/(1+EXP(U376))</f>
        <v>3.88184326667247E-009</v>
      </c>
      <c r="W376" s="0" t="n">
        <f aca="true">RAND()</f>
        <v>0.324201830404705</v>
      </c>
      <c r="X376" s="0" t="n">
        <f aca="false">IF(W376&lt;V376,1,0)</f>
        <v>0</v>
      </c>
      <c r="Y376" s="0" t="n">
        <f aca="false">(M376*(1-X376)+N376*X376)*D376+M376*E376</f>
        <v>3888.82985076217</v>
      </c>
      <c r="Z376" s="0" t="n">
        <f aca="false">((1-X376)*O376+X376*P376)*D376+E376*O376</f>
        <v>64.0703729737893</v>
      </c>
      <c r="AA376" s="0" t="n">
        <f aca="false">IF(D376*X376&gt;0,AA375,Q376)</f>
        <v>6</v>
      </c>
      <c r="AB376" s="0" t="n">
        <f aca="false">(X376*D376)</f>
        <v>0</v>
      </c>
      <c r="AC376" s="0" t="n">
        <f aca="false">SUM(AB$10:AB375)/K376</f>
        <v>0</v>
      </c>
      <c r="AD376" s="0" t="n">
        <f aca="false">R376*E376+D376*(X376*S376+(1-X376)*T376)</f>
        <v>-0.189645276935089</v>
      </c>
      <c r="AE376" s="0" t="n">
        <f aca="false">Z376</f>
        <v>64.0703729737893</v>
      </c>
      <c r="AF376" s="0" t="n">
        <f aca="false">E376*O376</f>
        <v>64.0703729737893</v>
      </c>
      <c r="AG376" s="0" t="n">
        <f aca="false">((1-X376)*O376+X376*P376)*D376</f>
        <v>0</v>
      </c>
      <c r="AH376" s="0" t="n">
        <f aca="false">D376*(LN(EXP(S376)+EXP(T376)))</f>
        <v>-0</v>
      </c>
      <c r="AJ376" s="0" t="n">
        <f aca="false">$J$5</f>
        <v>10</v>
      </c>
      <c r="AK376" s="4" t="n">
        <f aca="false">AJ376+MAX(K376,AK$10:AK375)</f>
        <v>3888.82985076217</v>
      </c>
      <c r="AL376" s="5" t="n">
        <f aca="false">AK376-K376</f>
        <v>64.0703729737893</v>
      </c>
      <c r="AM376" s="0" t="n">
        <f aca="false">-G376*AL376/3600</f>
        <v>-0.189645276935089</v>
      </c>
      <c r="AN376" s="0" t="n">
        <f aca="false">-H376*AL376/3600</f>
        <v>-0.133044276491208</v>
      </c>
      <c r="AO376" s="0" t="n">
        <f aca="false">AM376*E376+AN376*D376</f>
        <v>-0.189645276935089</v>
      </c>
      <c r="AP376" s="0" t="n">
        <f aca="false">AL376*D376</f>
        <v>0</v>
      </c>
      <c r="AR376" s="0" t="n">
        <f aca="false">AN376*D376</f>
        <v>-0</v>
      </c>
      <c r="AS376" s="0" t="n">
        <f aca="false">AH376-AR376</f>
        <v>0</v>
      </c>
    </row>
    <row r="377" customFormat="false" ht="12" hidden="false" customHeight="false" outlineLevel="0" collapsed="false">
      <c r="A377" s="3" t="n">
        <f aca="false">A376+1</f>
        <v>368</v>
      </c>
      <c r="B377" s="3" t="n">
        <f aca="false">IF(A377&lt;$N$4/3,0.1,(IF(A377&gt;2*$N$4/3,0.05,0.12)))</f>
        <v>0.12</v>
      </c>
      <c r="C377" s="4" t="n">
        <f aca="true">RAND()</f>
        <v>0.94005646176043</v>
      </c>
      <c r="D377" s="0" t="n">
        <f aca="false">IF((C377&gt;$M$2),1,0)</f>
        <v>1</v>
      </c>
      <c r="E377" s="0" t="n">
        <f aca="false">1-D377</f>
        <v>0</v>
      </c>
      <c r="F377" s="0" t="n">
        <f aca="true">RAND()</f>
        <v>0.344245448784274</v>
      </c>
      <c r="G377" s="0" t="n">
        <f aca="false">7.75+F377*10</f>
        <v>11.1924544878427</v>
      </c>
      <c r="H377" s="0" t="n">
        <f aca="false">LOGINV(F377,2.64,1.139)</f>
        <v>8.87617292749355</v>
      </c>
      <c r="I377" s="0" t="n">
        <v>19.5</v>
      </c>
      <c r="J377" s="4" t="n">
        <f aca="true">-LN(RAND())/B377</f>
        <v>11.0113642817143</v>
      </c>
      <c r="K377" s="4" t="n">
        <f aca="false">K376+J377</f>
        <v>3835.7708420701</v>
      </c>
      <c r="L377" s="4" t="n">
        <f aca="false">(1/$J$4)*(1+AB376)</f>
        <v>10</v>
      </c>
      <c r="M377" s="4" t="n">
        <f aca="false">L377+MAX(K377,Y$10:Y376)</f>
        <v>3898.82985076217</v>
      </c>
      <c r="N377" s="4" t="n">
        <f aca="false">K377</f>
        <v>3835.7708420701</v>
      </c>
      <c r="O377" s="4" t="n">
        <f aca="false">M377-K377</f>
        <v>63.0590086920752</v>
      </c>
      <c r="P377" s="4" t="n">
        <f aca="false">N377-K377</f>
        <v>0</v>
      </c>
      <c r="Q377" s="4" t="n">
        <f aca="false">A377-MATCH(K377,$M$9:M376,1)</f>
        <v>6</v>
      </c>
      <c r="R377" s="0" t="n">
        <f aca="false">-G377*(O377/3600)</f>
        <v>-0.196051412454036</v>
      </c>
      <c r="S377" s="0" t="n">
        <f aca="false">-1*I377-(H377*(P377/3600))</f>
        <v>-19.5</v>
      </c>
      <c r="T377" s="0" t="n">
        <f aca="false">-H377*(O377/3600)</f>
        <v>-0.155478518274216</v>
      </c>
      <c r="U377" s="0" t="n">
        <f aca="false">T377-S377</f>
        <v>19.3445214817258</v>
      </c>
      <c r="V377" s="0" t="n">
        <f aca="false">1/(1+EXP(U377))</f>
        <v>3.96991367944836E-009</v>
      </c>
      <c r="W377" s="0" t="n">
        <f aca="true">RAND()</f>
        <v>0.122390819374902</v>
      </c>
      <c r="X377" s="0" t="n">
        <f aca="false">IF(W377&lt;V377,1,0)</f>
        <v>0</v>
      </c>
      <c r="Y377" s="0" t="n">
        <f aca="false">(M377*(1-X377)+N377*X377)*D377+M377*E377</f>
        <v>3898.82985076217</v>
      </c>
      <c r="Z377" s="0" t="n">
        <f aca="false">((1-X377)*O377+X377*P377)*D377+E377*O377</f>
        <v>63.0590086920752</v>
      </c>
      <c r="AA377" s="0" t="n">
        <f aca="false">IF(D377*X377&gt;0,AA376,Q377)</f>
        <v>6</v>
      </c>
      <c r="AB377" s="0" t="n">
        <f aca="false">(X377*D377)</f>
        <v>0</v>
      </c>
      <c r="AC377" s="0" t="n">
        <f aca="false">SUM(AB$10:AB376)/K377</f>
        <v>0</v>
      </c>
      <c r="AD377" s="0" t="n">
        <f aca="false">R377*E377+D377*(X377*S377+(1-X377)*T377)</f>
        <v>-0.155478518274216</v>
      </c>
      <c r="AE377" s="0" t="n">
        <f aca="false">Z377</f>
        <v>63.0590086920752</v>
      </c>
      <c r="AF377" s="0" t="n">
        <f aca="false">E377*O377</f>
        <v>0</v>
      </c>
      <c r="AG377" s="0" t="n">
        <f aca="false">((1-X377)*O377+X377*P377)*D377</f>
        <v>63.0590086920752</v>
      </c>
      <c r="AH377" s="0" t="n">
        <f aca="false">D377*(LN(EXP(S377)+EXP(T377)))</f>
        <v>-0.155478514304302</v>
      </c>
      <c r="AJ377" s="0" t="n">
        <f aca="false">$J$5</f>
        <v>10</v>
      </c>
      <c r="AK377" s="4" t="n">
        <f aca="false">AJ377+MAX(K377,AK$10:AK376)</f>
        <v>3898.82985076217</v>
      </c>
      <c r="AL377" s="5" t="n">
        <f aca="false">AK377-K377</f>
        <v>63.0590086920752</v>
      </c>
      <c r="AM377" s="0" t="n">
        <f aca="false">-G377*AL377/3600</f>
        <v>-0.196051412454036</v>
      </c>
      <c r="AN377" s="0" t="n">
        <f aca="false">-H377*AL377/3600</f>
        <v>-0.155478518274216</v>
      </c>
      <c r="AO377" s="0" t="n">
        <f aca="false">AM377*E377+AN377*D377</f>
        <v>-0.155478518274216</v>
      </c>
      <c r="AP377" s="0" t="n">
        <f aca="false">AL377*D377</f>
        <v>63.0590086920752</v>
      </c>
      <c r="AR377" s="0" t="n">
        <f aca="false">AN377*D377</f>
        <v>-0.155478518274216</v>
      </c>
      <c r="AS377" s="0" t="n">
        <f aca="false">AH377-AR377</f>
        <v>3.96991370332778E-009</v>
      </c>
    </row>
    <row r="378" customFormat="false" ht="12" hidden="false" customHeight="false" outlineLevel="0" collapsed="false">
      <c r="A378" s="3" t="n">
        <f aca="false">A377+1</f>
        <v>369</v>
      </c>
      <c r="B378" s="3" t="n">
        <f aca="false">IF(A378&lt;$N$4/3,0.1,(IF(A378&gt;2*$N$4/3,0.05,0.12)))</f>
        <v>0.12</v>
      </c>
      <c r="C378" s="4" t="n">
        <f aca="true">RAND()</f>
        <v>0.48423981028183</v>
      </c>
      <c r="D378" s="0" t="n">
        <f aca="false">IF((C378&gt;$M$2),1,0)</f>
        <v>0</v>
      </c>
      <c r="E378" s="0" t="n">
        <f aca="false">1-D378</f>
        <v>1</v>
      </c>
      <c r="F378" s="0" t="n">
        <f aca="true">RAND()</f>
        <v>0.159583462117305</v>
      </c>
      <c r="G378" s="0" t="n">
        <f aca="false">7.75+F378*10</f>
        <v>9.34583462117305</v>
      </c>
      <c r="H378" s="0" t="n">
        <f aca="false">LOGINV(F378,2.64,1.139)</f>
        <v>4.50577945321402</v>
      </c>
      <c r="I378" s="0" t="n">
        <v>19.5</v>
      </c>
      <c r="J378" s="4" t="n">
        <f aca="true">-LN(RAND())/B378</f>
        <v>6.00976390213689</v>
      </c>
      <c r="K378" s="4" t="n">
        <f aca="false">K377+J378</f>
        <v>3841.78060597223</v>
      </c>
      <c r="L378" s="4" t="n">
        <f aca="false">(1/$J$4)*(1+AB377)</f>
        <v>10</v>
      </c>
      <c r="M378" s="4" t="n">
        <f aca="false">L378+MAX(K378,Y$10:Y377)</f>
        <v>3908.82985076217</v>
      </c>
      <c r="N378" s="4" t="n">
        <f aca="false">K378</f>
        <v>3841.78060597223</v>
      </c>
      <c r="O378" s="4" t="n">
        <f aca="false">M378-K378</f>
        <v>67.0492447899383</v>
      </c>
      <c r="P378" s="4" t="n">
        <f aca="false">N378-K378</f>
        <v>0</v>
      </c>
      <c r="Q378" s="4" t="n">
        <f aca="false">A378-MATCH(K378,$M$9:M377,1)</f>
        <v>6</v>
      </c>
      <c r="R378" s="0" t="n">
        <f aca="false">-G378*(O378/3600)</f>
        <v>-0.174064209244809</v>
      </c>
      <c r="S378" s="0" t="n">
        <f aca="false">-1*I378-(H378*(P378/3600))</f>
        <v>-19.5</v>
      </c>
      <c r="T378" s="0" t="n">
        <f aca="false">-H378*(O378/3600)</f>
        <v>-0.083919197091117</v>
      </c>
      <c r="U378" s="0" t="n">
        <f aca="false">T378-S378</f>
        <v>19.4160808029089</v>
      </c>
      <c r="V378" s="0" t="n">
        <f aca="false">1/(1+EXP(U378))</f>
        <v>3.69575561585424E-009</v>
      </c>
      <c r="W378" s="0" t="n">
        <f aca="true">RAND()</f>
        <v>0.51753161922717</v>
      </c>
      <c r="X378" s="0" t="n">
        <f aca="false">IF(W378&lt;V378,1,0)</f>
        <v>0</v>
      </c>
      <c r="Y378" s="0" t="n">
        <f aca="false">(M378*(1-X378)+N378*X378)*D378+M378*E378</f>
        <v>3908.82985076217</v>
      </c>
      <c r="Z378" s="0" t="n">
        <f aca="false">((1-X378)*O378+X378*P378)*D378+E378*O378</f>
        <v>67.0492447899383</v>
      </c>
      <c r="AA378" s="0" t="n">
        <f aca="false">IF(D378*X378&gt;0,AA377,Q378)</f>
        <v>6</v>
      </c>
      <c r="AB378" s="0" t="n">
        <f aca="false">(X378*D378)</f>
        <v>0</v>
      </c>
      <c r="AC378" s="0" t="n">
        <f aca="false">SUM(AB$10:AB377)/K378</f>
        <v>0</v>
      </c>
      <c r="AD378" s="0" t="n">
        <f aca="false">R378*E378+D378*(X378*S378+(1-X378)*T378)</f>
        <v>-0.174064209244809</v>
      </c>
      <c r="AE378" s="0" t="n">
        <f aca="false">Z378</f>
        <v>67.0492447899383</v>
      </c>
      <c r="AF378" s="0" t="n">
        <f aca="false">E378*O378</f>
        <v>67.0492447899383</v>
      </c>
      <c r="AG378" s="0" t="n">
        <f aca="false">((1-X378)*O378+X378*P378)*D378</f>
        <v>0</v>
      </c>
      <c r="AH378" s="0" t="n">
        <f aca="false">D378*(LN(EXP(S378)+EXP(T378)))</f>
        <v>-0</v>
      </c>
      <c r="AJ378" s="0" t="n">
        <f aca="false">$J$5</f>
        <v>10</v>
      </c>
      <c r="AK378" s="4" t="n">
        <f aca="false">AJ378+MAX(K378,AK$10:AK377)</f>
        <v>3908.82985076217</v>
      </c>
      <c r="AL378" s="5" t="n">
        <f aca="false">AK378-K378</f>
        <v>67.0492447899383</v>
      </c>
      <c r="AM378" s="0" t="n">
        <f aca="false">-G378*AL378/3600</f>
        <v>-0.174064209244809</v>
      </c>
      <c r="AN378" s="0" t="n">
        <f aca="false">-H378*AL378/3600</f>
        <v>-0.083919197091117</v>
      </c>
      <c r="AO378" s="0" t="n">
        <f aca="false">AM378*E378+AN378*D378</f>
        <v>-0.174064209244809</v>
      </c>
      <c r="AP378" s="0" t="n">
        <f aca="false">AL378*D378</f>
        <v>0</v>
      </c>
      <c r="AR378" s="0" t="n">
        <f aca="false">AN378*D378</f>
        <v>-0</v>
      </c>
      <c r="AS378" s="0" t="n">
        <f aca="false">AH378-AR378</f>
        <v>0</v>
      </c>
    </row>
    <row r="379" customFormat="false" ht="12" hidden="false" customHeight="false" outlineLevel="0" collapsed="false">
      <c r="A379" s="3" t="n">
        <f aca="false">A378+1</f>
        <v>370</v>
      </c>
      <c r="B379" s="3" t="n">
        <f aca="false">IF(A379&lt;$N$4/3,0.1,(IF(A379&gt;2*$N$4/3,0.05,0.12)))</f>
        <v>0.12</v>
      </c>
      <c r="C379" s="4" t="n">
        <f aca="true">RAND()</f>
        <v>0.960286163580028</v>
      </c>
      <c r="D379" s="0" t="n">
        <f aca="false">IF((C379&gt;$M$2),1,0)</f>
        <v>1</v>
      </c>
      <c r="E379" s="0" t="n">
        <f aca="false">1-D379</f>
        <v>0</v>
      </c>
      <c r="F379" s="0" t="n">
        <f aca="true">RAND()</f>
        <v>0.466705324406604</v>
      </c>
      <c r="G379" s="0" t="n">
        <f aca="false">7.75+F379*10</f>
        <v>12.417053244066</v>
      </c>
      <c r="H379" s="0" t="n">
        <f aca="false">LOGINV(F379,2.64,1.139)</f>
        <v>12.7410801568664</v>
      </c>
      <c r="I379" s="0" t="n">
        <v>19.5</v>
      </c>
      <c r="J379" s="4" t="n">
        <f aca="true">-LN(RAND())/B379</f>
        <v>3.60780381526667</v>
      </c>
      <c r="K379" s="4" t="n">
        <f aca="false">K378+J379</f>
        <v>3845.3884097875</v>
      </c>
      <c r="L379" s="4" t="n">
        <f aca="false">(1/$J$4)*(1+AB378)</f>
        <v>10</v>
      </c>
      <c r="M379" s="4" t="n">
        <f aca="false">L379+MAX(K379,Y$10:Y378)</f>
        <v>3918.82985076217</v>
      </c>
      <c r="N379" s="4" t="n">
        <f aca="false">K379</f>
        <v>3845.3884097875</v>
      </c>
      <c r="O379" s="4" t="n">
        <f aca="false">M379-K379</f>
        <v>73.4414409746714</v>
      </c>
      <c r="P379" s="4" t="n">
        <f aca="false">N379-K379</f>
        <v>0</v>
      </c>
      <c r="Q379" s="4" t="n">
        <f aca="false">A379-MATCH(K379,$M$9:M378,1)</f>
        <v>7</v>
      </c>
      <c r="R379" s="0" t="n">
        <f aca="false">-G379*(O379/3600)</f>
        <v>-0.253312856362063</v>
      </c>
      <c r="S379" s="0" t="n">
        <f aca="false">-1*I379-(H379*(P379/3600))</f>
        <v>-19.5</v>
      </c>
      <c r="T379" s="0" t="n">
        <f aca="false">-H379*(O379/3600)</f>
        <v>-0.259923135081685</v>
      </c>
      <c r="U379" s="0" t="n">
        <f aca="false">T379-S379</f>
        <v>19.2400768649183</v>
      </c>
      <c r="V379" s="0" t="n">
        <f aca="false">1/(1+EXP(U379))</f>
        <v>4.40697700328192E-009</v>
      </c>
      <c r="W379" s="0" t="n">
        <f aca="true">RAND()</f>
        <v>0.00666069793847592</v>
      </c>
      <c r="X379" s="0" t="n">
        <f aca="false">IF(W379&lt;V379,1,0)</f>
        <v>0</v>
      </c>
      <c r="Y379" s="0" t="n">
        <f aca="false">(M379*(1-X379)+N379*X379)*D379+M379*E379</f>
        <v>3918.82985076217</v>
      </c>
      <c r="Z379" s="0" t="n">
        <f aca="false">((1-X379)*O379+X379*P379)*D379+E379*O379</f>
        <v>73.4414409746714</v>
      </c>
      <c r="AA379" s="0" t="n">
        <f aca="false">IF(D379*X379&gt;0,AA378,Q379)</f>
        <v>7</v>
      </c>
      <c r="AB379" s="0" t="n">
        <f aca="false">(X379*D379)</f>
        <v>0</v>
      </c>
      <c r="AC379" s="0" t="n">
        <f aca="false">SUM(AB$10:AB378)/K379</f>
        <v>0</v>
      </c>
      <c r="AD379" s="0" t="n">
        <f aca="false">R379*E379+D379*(X379*S379+(1-X379)*T379)</f>
        <v>-0.259923135081685</v>
      </c>
      <c r="AE379" s="0" t="n">
        <f aca="false">Z379</f>
        <v>73.4414409746714</v>
      </c>
      <c r="AF379" s="0" t="n">
        <f aca="false">E379*O379</f>
        <v>0</v>
      </c>
      <c r="AG379" s="0" t="n">
        <f aca="false">((1-X379)*O379+X379*P379)*D379</f>
        <v>73.4414409746714</v>
      </c>
      <c r="AH379" s="0" t="n">
        <f aca="false">D379*(LN(EXP(S379)+EXP(T379)))</f>
        <v>-0.259923130674708</v>
      </c>
      <c r="AJ379" s="0" t="n">
        <f aca="false">$J$5</f>
        <v>10</v>
      </c>
      <c r="AK379" s="4" t="n">
        <f aca="false">AJ379+MAX(K379,AK$10:AK378)</f>
        <v>3918.82985076217</v>
      </c>
      <c r="AL379" s="5" t="n">
        <f aca="false">AK379-K379</f>
        <v>73.4414409746714</v>
      </c>
      <c r="AM379" s="0" t="n">
        <f aca="false">-G379*AL379/3600</f>
        <v>-0.253312856362063</v>
      </c>
      <c r="AN379" s="0" t="n">
        <f aca="false">-H379*AL379/3600</f>
        <v>-0.259923135081685</v>
      </c>
      <c r="AO379" s="0" t="n">
        <f aca="false">AM379*E379+AN379*D379</f>
        <v>-0.259923135081685</v>
      </c>
      <c r="AP379" s="0" t="n">
        <f aca="false">AL379*D379</f>
        <v>73.4414409746714</v>
      </c>
      <c r="AR379" s="0" t="n">
        <f aca="false">AN379*D379</f>
        <v>-0.259923135081685</v>
      </c>
      <c r="AS379" s="0" t="n">
        <f aca="false">AH379-AR379</f>
        <v>4.40697689452207E-009</v>
      </c>
    </row>
    <row r="380" customFormat="false" ht="12" hidden="false" customHeight="false" outlineLevel="0" collapsed="false">
      <c r="A380" s="3" t="n">
        <f aca="false">A379+1</f>
        <v>371</v>
      </c>
      <c r="B380" s="3" t="n">
        <f aca="false">IF(A380&lt;$N$4/3,0.1,(IF(A380&gt;2*$N$4/3,0.05,0.12)))</f>
        <v>0.12</v>
      </c>
      <c r="C380" s="4" t="n">
        <f aca="true">RAND()</f>
        <v>0.823069496810802</v>
      </c>
      <c r="D380" s="0" t="n">
        <f aca="false">IF((C380&gt;$M$2),1,0)</f>
        <v>0</v>
      </c>
      <c r="E380" s="0" t="n">
        <f aca="false">1-D380</f>
        <v>1</v>
      </c>
      <c r="F380" s="0" t="n">
        <f aca="true">RAND()</f>
        <v>0.369675741041755</v>
      </c>
      <c r="G380" s="0" t="n">
        <f aca="false">7.75+F380*10</f>
        <v>11.4467574104176</v>
      </c>
      <c r="H380" s="0" t="n">
        <f aca="false">LOGINV(F380,2.64,1.139)</f>
        <v>9.59306764792996</v>
      </c>
      <c r="I380" s="0" t="n">
        <v>19.5</v>
      </c>
      <c r="J380" s="4" t="n">
        <f aca="true">-LN(RAND())/B380</f>
        <v>1.1438759637537</v>
      </c>
      <c r="K380" s="4" t="n">
        <f aca="false">K379+J380</f>
        <v>3846.53228575125</v>
      </c>
      <c r="L380" s="4" t="n">
        <f aca="false">(1/$J$4)*(1+AB379)</f>
        <v>10</v>
      </c>
      <c r="M380" s="4" t="n">
        <f aca="false">L380+MAX(K380,Y$10:Y379)</f>
        <v>3928.82985076217</v>
      </c>
      <c r="N380" s="4" t="n">
        <f aca="false">K380</f>
        <v>3846.53228575125</v>
      </c>
      <c r="O380" s="4" t="n">
        <f aca="false">M380-K380</f>
        <v>82.2975650109179</v>
      </c>
      <c r="P380" s="4" t="n">
        <f aca="false">N380-K380</f>
        <v>0</v>
      </c>
      <c r="Q380" s="4" t="n">
        <f aca="false">A380-MATCH(K380,$M$9:M379,1)</f>
        <v>8</v>
      </c>
      <c r="R380" s="0" t="n">
        <f aca="false">-G380*(O380/3600)</f>
        <v>-0.261677850596679</v>
      </c>
      <c r="S380" s="0" t="n">
        <f aca="false">-1*I380-(H380*(P380/3600))</f>
        <v>-19.5</v>
      </c>
      <c r="T380" s="0" t="n">
        <f aca="false">-H380*(O380/3600)</f>
        <v>-0.219301696780458</v>
      </c>
      <c r="U380" s="0" t="n">
        <f aca="false">T380-S380</f>
        <v>19.2806983032195</v>
      </c>
      <c r="V380" s="0" t="n">
        <f aca="false">1/(1+EXP(U380))</f>
        <v>4.23154650176324E-009</v>
      </c>
      <c r="W380" s="0" t="n">
        <f aca="true">RAND()</f>
        <v>0.586370937041814</v>
      </c>
      <c r="X380" s="0" t="n">
        <f aca="false">IF(W380&lt;V380,1,0)</f>
        <v>0</v>
      </c>
      <c r="Y380" s="0" t="n">
        <f aca="false">(M380*(1-X380)+N380*X380)*D380+M380*E380</f>
        <v>3928.82985076217</v>
      </c>
      <c r="Z380" s="0" t="n">
        <f aca="false">((1-X380)*O380+X380*P380)*D380+E380*O380</f>
        <v>82.2975650109179</v>
      </c>
      <c r="AA380" s="0" t="n">
        <f aca="false">IF(D380*X380&gt;0,AA379,Q380)</f>
        <v>8</v>
      </c>
      <c r="AB380" s="0" t="n">
        <f aca="false">(X380*D380)</f>
        <v>0</v>
      </c>
      <c r="AC380" s="0" t="n">
        <f aca="false">SUM(AB$10:AB379)/K380</f>
        <v>0</v>
      </c>
      <c r="AD380" s="0" t="n">
        <f aca="false">R380*E380+D380*(X380*S380+(1-X380)*T380)</f>
        <v>-0.261677850596679</v>
      </c>
      <c r="AE380" s="0" t="n">
        <f aca="false">Z380</f>
        <v>82.2975650109179</v>
      </c>
      <c r="AF380" s="0" t="n">
        <f aca="false">E380*O380</f>
        <v>82.2975650109179</v>
      </c>
      <c r="AG380" s="0" t="n">
        <f aca="false">((1-X380)*O380+X380*P380)*D380</f>
        <v>0</v>
      </c>
      <c r="AH380" s="0" t="n">
        <f aca="false">D380*(LN(EXP(S380)+EXP(T380)))</f>
        <v>-0</v>
      </c>
      <c r="AJ380" s="0" t="n">
        <f aca="false">$J$5</f>
        <v>10</v>
      </c>
      <c r="AK380" s="4" t="n">
        <f aca="false">AJ380+MAX(K380,AK$10:AK379)</f>
        <v>3928.82985076217</v>
      </c>
      <c r="AL380" s="5" t="n">
        <f aca="false">AK380-K380</f>
        <v>82.2975650109179</v>
      </c>
      <c r="AM380" s="0" t="n">
        <f aca="false">-G380*AL380/3600</f>
        <v>-0.261677850596679</v>
      </c>
      <c r="AN380" s="0" t="n">
        <f aca="false">-H380*AL380/3600</f>
        <v>-0.219301696780458</v>
      </c>
      <c r="AO380" s="0" t="n">
        <f aca="false">AM380*E380+AN380*D380</f>
        <v>-0.261677850596679</v>
      </c>
      <c r="AP380" s="0" t="n">
        <f aca="false">AL380*D380</f>
        <v>0</v>
      </c>
      <c r="AR380" s="0" t="n">
        <f aca="false">AN380*D380</f>
        <v>-0</v>
      </c>
      <c r="AS380" s="0" t="n">
        <f aca="false">AH380-AR380</f>
        <v>0</v>
      </c>
    </row>
    <row r="381" customFormat="false" ht="12" hidden="false" customHeight="false" outlineLevel="0" collapsed="false">
      <c r="A381" s="3" t="n">
        <f aca="false">A380+1</f>
        <v>372</v>
      </c>
      <c r="B381" s="3" t="n">
        <f aca="false">IF(A381&lt;$N$4/3,0.1,(IF(A381&gt;2*$N$4/3,0.05,0.12)))</f>
        <v>0.12</v>
      </c>
      <c r="C381" s="4" t="n">
        <f aca="true">RAND()</f>
        <v>0.123982811480762</v>
      </c>
      <c r="D381" s="0" t="n">
        <f aca="false">IF((C381&gt;$M$2),1,0)</f>
        <v>0</v>
      </c>
      <c r="E381" s="0" t="n">
        <f aca="false">1-D381</f>
        <v>1</v>
      </c>
      <c r="F381" s="0" t="n">
        <f aca="true">RAND()</f>
        <v>0.649897416188465</v>
      </c>
      <c r="G381" s="0" t="n">
        <f aca="false">7.75+F381*10</f>
        <v>14.2489741618846</v>
      </c>
      <c r="H381" s="0" t="n">
        <f aca="false">LOGINV(F381,2.64,1.139)</f>
        <v>21.7271922783773</v>
      </c>
      <c r="I381" s="0" t="n">
        <v>19.5</v>
      </c>
      <c r="J381" s="4" t="n">
        <f aca="true">-LN(RAND())/B381</f>
        <v>6.63040569801716</v>
      </c>
      <c r="K381" s="4" t="n">
        <f aca="false">K380+J381</f>
        <v>3853.16269144927</v>
      </c>
      <c r="L381" s="4" t="n">
        <f aca="false">(1/$J$4)*(1+AB380)</f>
        <v>10</v>
      </c>
      <c r="M381" s="4" t="n">
        <f aca="false">L381+MAX(K381,Y$10:Y380)</f>
        <v>3938.82985076217</v>
      </c>
      <c r="N381" s="4" t="n">
        <f aca="false">K381</f>
        <v>3853.16269144927</v>
      </c>
      <c r="O381" s="4" t="n">
        <f aca="false">M381-K381</f>
        <v>85.6671593129008</v>
      </c>
      <c r="P381" s="4" t="n">
        <f aca="false">N381-K381</f>
        <v>0</v>
      </c>
      <c r="Q381" s="4" t="n">
        <f aca="false">A381-MATCH(K381,$M$9:M380,1)</f>
        <v>8</v>
      </c>
      <c r="R381" s="0" t="n">
        <f aca="false">-G381*(O381/3600)</f>
        <v>-0.339074760992105</v>
      </c>
      <c r="S381" s="0" t="n">
        <f aca="false">-1*I381-(H381*(P381/3600))</f>
        <v>-19.5</v>
      </c>
      <c r="T381" s="0" t="n">
        <f aca="false">-H381*(O381/3600)</f>
        <v>-0.51702967842605</v>
      </c>
      <c r="U381" s="0" t="n">
        <f aca="false">T381-S381</f>
        <v>18.982970321574</v>
      </c>
      <c r="V381" s="0" t="n">
        <f aca="false">1/(1+EXP(U381))</f>
        <v>5.69902729155378E-009</v>
      </c>
      <c r="W381" s="0" t="n">
        <f aca="true">RAND()</f>
        <v>0.504072261782994</v>
      </c>
      <c r="X381" s="0" t="n">
        <f aca="false">IF(W381&lt;V381,1,0)</f>
        <v>0</v>
      </c>
      <c r="Y381" s="0" t="n">
        <f aca="false">(M381*(1-X381)+N381*X381)*D381+M381*E381</f>
        <v>3938.82985076217</v>
      </c>
      <c r="Z381" s="0" t="n">
        <f aca="false">((1-X381)*O381+X381*P381)*D381+E381*O381</f>
        <v>85.6671593129008</v>
      </c>
      <c r="AA381" s="0" t="n">
        <f aca="false">IF(D381*X381&gt;0,AA380,Q381)</f>
        <v>8</v>
      </c>
      <c r="AB381" s="0" t="n">
        <f aca="false">(X381*D381)</f>
        <v>0</v>
      </c>
      <c r="AC381" s="0" t="n">
        <f aca="false">SUM(AB$10:AB380)/K381</f>
        <v>0</v>
      </c>
      <c r="AD381" s="0" t="n">
        <f aca="false">R381*E381+D381*(X381*S381+(1-X381)*T381)</f>
        <v>-0.339074760992105</v>
      </c>
      <c r="AE381" s="0" t="n">
        <f aca="false">Z381</f>
        <v>85.6671593129008</v>
      </c>
      <c r="AF381" s="0" t="n">
        <f aca="false">E381*O381</f>
        <v>85.6671593129008</v>
      </c>
      <c r="AG381" s="0" t="n">
        <f aca="false">((1-X381)*O381+X381*P381)*D381</f>
        <v>0</v>
      </c>
      <c r="AH381" s="0" t="n">
        <f aca="false">D381*(LN(EXP(S381)+EXP(T381)))</f>
        <v>-0</v>
      </c>
      <c r="AJ381" s="0" t="n">
        <f aca="false">$J$5</f>
        <v>10</v>
      </c>
      <c r="AK381" s="4" t="n">
        <f aca="false">AJ381+MAX(K381,AK$10:AK380)</f>
        <v>3938.82985076217</v>
      </c>
      <c r="AL381" s="5" t="n">
        <f aca="false">AK381-K381</f>
        <v>85.6671593129008</v>
      </c>
      <c r="AM381" s="0" t="n">
        <f aca="false">-G381*AL381/3600</f>
        <v>-0.339074760992105</v>
      </c>
      <c r="AN381" s="0" t="n">
        <f aca="false">-H381*AL381/3600</f>
        <v>-0.51702967842605</v>
      </c>
      <c r="AO381" s="0" t="n">
        <f aca="false">AM381*E381+AN381*D381</f>
        <v>-0.339074760992105</v>
      </c>
      <c r="AP381" s="0" t="n">
        <f aca="false">AL381*D381</f>
        <v>0</v>
      </c>
      <c r="AR381" s="0" t="n">
        <f aca="false">AN381*D381</f>
        <v>-0</v>
      </c>
      <c r="AS381" s="0" t="n">
        <f aca="false">AH381-AR381</f>
        <v>0</v>
      </c>
    </row>
    <row r="382" customFormat="false" ht="12" hidden="false" customHeight="false" outlineLevel="0" collapsed="false">
      <c r="A382" s="3" t="n">
        <f aca="false">A381+1</f>
        <v>373</v>
      </c>
      <c r="B382" s="3" t="n">
        <f aca="false">IF(A382&lt;$N$4/3,0.1,(IF(A382&gt;2*$N$4/3,0.05,0.12)))</f>
        <v>0.12</v>
      </c>
      <c r="C382" s="4" t="n">
        <f aca="true">RAND()</f>
        <v>0.221329178521462</v>
      </c>
      <c r="D382" s="0" t="n">
        <f aca="false">IF((C382&gt;$M$2),1,0)</f>
        <v>0</v>
      </c>
      <c r="E382" s="0" t="n">
        <f aca="false">1-D382</f>
        <v>1</v>
      </c>
      <c r="F382" s="0" t="n">
        <f aca="true">RAND()</f>
        <v>0.746536943589275</v>
      </c>
      <c r="G382" s="0" t="n">
        <f aca="false">7.75+F382*10</f>
        <v>15.2153694358928</v>
      </c>
      <c r="H382" s="0" t="n">
        <f aca="false">LOGINV(F382,2.64,1.139)</f>
        <v>29.8407950261205</v>
      </c>
      <c r="I382" s="0" t="n">
        <v>19.5</v>
      </c>
      <c r="J382" s="4" t="n">
        <f aca="true">-LN(RAND())/B382</f>
        <v>25.5758163859101</v>
      </c>
      <c r="K382" s="4" t="n">
        <f aca="false">K381+J382</f>
        <v>3878.73850783518</v>
      </c>
      <c r="L382" s="4" t="n">
        <f aca="false">(1/$J$4)*(1+AB381)</f>
        <v>10</v>
      </c>
      <c r="M382" s="4" t="n">
        <f aca="false">L382+MAX(K382,Y$10:Y381)</f>
        <v>3948.82985076217</v>
      </c>
      <c r="N382" s="4" t="n">
        <f aca="false">K382</f>
        <v>3878.73850783518</v>
      </c>
      <c r="O382" s="4" t="n">
        <f aca="false">M382-K382</f>
        <v>70.0913429269908</v>
      </c>
      <c r="P382" s="4" t="n">
        <f aca="false">N382-K382</f>
        <v>0</v>
      </c>
      <c r="Q382" s="4" t="n">
        <f aca="false">A382-MATCH(K382,$M$9:M381,1)</f>
        <v>7</v>
      </c>
      <c r="R382" s="0" t="n">
        <f aca="false">-G382*(O382/3600)</f>
        <v>-0.296240465803337</v>
      </c>
      <c r="S382" s="0" t="n">
        <f aca="false">-1*I382-(H382*(P382/3600))</f>
        <v>-19.5</v>
      </c>
      <c r="T382" s="0" t="n">
        <f aca="false">-H382*(O382/3600)</f>
        <v>-0.580994832608293</v>
      </c>
      <c r="U382" s="0" t="n">
        <f aca="false">T382-S382</f>
        <v>18.9190051673917</v>
      </c>
      <c r="V382" s="0" t="n">
        <f aca="false">1/(1+EXP(U382))</f>
        <v>6.07547796488615E-009</v>
      </c>
      <c r="W382" s="0" t="n">
        <f aca="true">RAND()</f>
        <v>0.795644472611936</v>
      </c>
      <c r="X382" s="0" t="n">
        <f aca="false">IF(W382&lt;V382,1,0)</f>
        <v>0</v>
      </c>
      <c r="Y382" s="0" t="n">
        <f aca="false">(M382*(1-X382)+N382*X382)*D382+M382*E382</f>
        <v>3948.82985076217</v>
      </c>
      <c r="Z382" s="0" t="n">
        <f aca="false">((1-X382)*O382+X382*P382)*D382+E382*O382</f>
        <v>70.0913429269908</v>
      </c>
      <c r="AA382" s="0" t="n">
        <f aca="false">IF(D382*X382&gt;0,AA381,Q382)</f>
        <v>7</v>
      </c>
      <c r="AB382" s="0" t="n">
        <f aca="false">(X382*D382)</f>
        <v>0</v>
      </c>
      <c r="AC382" s="0" t="n">
        <f aca="false">SUM(AB$10:AB381)/K382</f>
        <v>0</v>
      </c>
      <c r="AD382" s="0" t="n">
        <f aca="false">R382*E382+D382*(X382*S382+(1-X382)*T382)</f>
        <v>-0.296240465803337</v>
      </c>
      <c r="AE382" s="0" t="n">
        <f aca="false">Z382</f>
        <v>70.0913429269908</v>
      </c>
      <c r="AF382" s="0" t="n">
        <f aca="false">E382*O382</f>
        <v>70.0913429269908</v>
      </c>
      <c r="AG382" s="0" t="n">
        <f aca="false">((1-X382)*O382+X382*P382)*D382</f>
        <v>0</v>
      </c>
      <c r="AH382" s="0" t="n">
        <f aca="false">D382*(LN(EXP(S382)+EXP(T382)))</f>
        <v>-0</v>
      </c>
      <c r="AJ382" s="0" t="n">
        <f aca="false">$J$5</f>
        <v>10</v>
      </c>
      <c r="AK382" s="4" t="n">
        <f aca="false">AJ382+MAX(K382,AK$10:AK381)</f>
        <v>3948.82985076217</v>
      </c>
      <c r="AL382" s="5" t="n">
        <f aca="false">AK382-K382</f>
        <v>70.0913429269908</v>
      </c>
      <c r="AM382" s="0" t="n">
        <f aca="false">-G382*AL382/3600</f>
        <v>-0.296240465803337</v>
      </c>
      <c r="AN382" s="0" t="n">
        <f aca="false">-H382*AL382/3600</f>
        <v>-0.580994832608293</v>
      </c>
      <c r="AO382" s="0" t="n">
        <f aca="false">AM382*E382+AN382*D382</f>
        <v>-0.296240465803337</v>
      </c>
      <c r="AP382" s="0" t="n">
        <f aca="false">AL382*D382</f>
        <v>0</v>
      </c>
      <c r="AR382" s="0" t="n">
        <f aca="false">AN382*D382</f>
        <v>-0</v>
      </c>
      <c r="AS382" s="0" t="n">
        <f aca="false">AH382-AR382</f>
        <v>0</v>
      </c>
    </row>
    <row r="383" customFormat="false" ht="12" hidden="false" customHeight="false" outlineLevel="0" collapsed="false">
      <c r="A383" s="3" t="n">
        <f aca="false">A382+1</f>
        <v>374</v>
      </c>
      <c r="B383" s="3" t="n">
        <f aca="false">IF(A383&lt;$N$4/3,0.1,(IF(A383&gt;2*$N$4/3,0.05,0.12)))</f>
        <v>0.12</v>
      </c>
      <c r="C383" s="4" t="n">
        <f aca="true">RAND()</f>
        <v>0.193831824809943</v>
      </c>
      <c r="D383" s="0" t="n">
        <f aca="false">IF((C383&gt;$M$2),1,0)</f>
        <v>0</v>
      </c>
      <c r="E383" s="0" t="n">
        <f aca="false">1-D383</f>
        <v>1</v>
      </c>
      <c r="F383" s="0" t="n">
        <f aca="true">RAND()</f>
        <v>0.536309287598379</v>
      </c>
      <c r="G383" s="0" t="n">
        <f aca="false">7.75+F383*10</f>
        <v>13.1130928759838</v>
      </c>
      <c r="H383" s="0" t="n">
        <f aca="false">LOGINV(F383,2.64,1.139)</f>
        <v>15.546077438253</v>
      </c>
      <c r="I383" s="0" t="n">
        <v>19.5</v>
      </c>
      <c r="J383" s="4" t="n">
        <f aca="true">-LN(RAND())/B383</f>
        <v>3.77459046542325</v>
      </c>
      <c r="K383" s="4" t="n">
        <f aca="false">K382+J383</f>
        <v>3882.5130983006</v>
      </c>
      <c r="L383" s="4" t="n">
        <f aca="false">(1/$J$4)*(1+AB382)</f>
        <v>10</v>
      </c>
      <c r="M383" s="4" t="n">
        <f aca="false">L383+MAX(K383,Y$10:Y382)</f>
        <v>3958.82985076217</v>
      </c>
      <c r="N383" s="4" t="n">
        <f aca="false">K383</f>
        <v>3882.5130983006</v>
      </c>
      <c r="O383" s="4" t="n">
        <f aca="false">M383-K383</f>
        <v>76.3167524615674</v>
      </c>
      <c r="P383" s="4" t="n">
        <f aca="false">N383-K383</f>
        <v>0</v>
      </c>
      <c r="Q383" s="4" t="n">
        <f aca="false">A383-MATCH(K383,$M$9:M382,1)</f>
        <v>7</v>
      </c>
      <c r="R383" s="0" t="n">
        <f aca="false">-G383*(O383/3600)</f>
        <v>-0.277985739728333</v>
      </c>
      <c r="S383" s="0" t="n">
        <f aca="false">-1*I383-(H383*(P383/3600))</f>
        <v>-19.5</v>
      </c>
      <c r="T383" s="0" t="n">
        <f aca="false">-H383*(O383/3600)</f>
        <v>-0.329562817667642</v>
      </c>
      <c r="U383" s="0" t="n">
        <f aca="false">T383-S383</f>
        <v>19.1704371823324</v>
      </c>
      <c r="V383" s="0" t="n">
        <f aca="false">1/(1+EXP(U383))</f>
        <v>4.72481614883513E-009</v>
      </c>
      <c r="W383" s="0" t="n">
        <f aca="true">RAND()</f>
        <v>0.117890669923478</v>
      </c>
      <c r="X383" s="0" t="n">
        <f aca="false">IF(W383&lt;V383,1,0)</f>
        <v>0</v>
      </c>
      <c r="Y383" s="0" t="n">
        <f aca="false">(M383*(1-X383)+N383*X383)*D383+M383*E383</f>
        <v>3958.82985076217</v>
      </c>
      <c r="Z383" s="0" t="n">
        <f aca="false">((1-X383)*O383+X383*P383)*D383+E383*O383</f>
        <v>76.3167524615674</v>
      </c>
      <c r="AA383" s="0" t="n">
        <f aca="false">IF(D383*X383&gt;0,AA382,Q383)</f>
        <v>7</v>
      </c>
      <c r="AB383" s="0" t="n">
        <f aca="false">(X383*D383)</f>
        <v>0</v>
      </c>
      <c r="AC383" s="0" t="n">
        <f aca="false">SUM(AB$10:AB382)/K383</f>
        <v>0</v>
      </c>
      <c r="AD383" s="0" t="n">
        <f aca="false">R383*E383+D383*(X383*S383+(1-X383)*T383)</f>
        <v>-0.277985739728333</v>
      </c>
      <c r="AE383" s="0" t="n">
        <f aca="false">Z383</f>
        <v>76.3167524615674</v>
      </c>
      <c r="AF383" s="0" t="n">
        <f aca="false">E383*O383</f>
        <v>76.3167524615674</v>
      </c>
      <c r="AG383" s="0" t="n">
        <f aca="false">((1-X383)*O383+X383*P383)*D383</f>
        <v>0</v>
      </c>
      <c r="AH383" s="0" t="n">
        <f aca="false">D383*(LN(EXP(S383)+EXP(T383)))</f>
        <v>-0</v>
      </c>
      <c r="AJ383" s="0" t="n">
        <f aca="false">$J$5</f>
        <v>10</v>
      </c>
      <c r="AK383" s="4" t="n">
        <f aca="false">AJ383+MAX(K383,AK$10:AK382)</f>
        <v>3958.82985076217</v>
      </c>
      <c r="AL383" s="5" t="n">
        <f aca="false">AK383-K383</f>
        <v>76.3167524615674</v>
      </c>
      <c r="AM383" s="0" t="n">
        <f aca="false">-G383*AL383/3600</f>
        <v>-0.277985739728333</v>
      </c>
      <c r="AN383" s="0" t="n">
        <f aca="false">-H383*AL383/3600</f>
        <v>-0.329562817667642</v>
      </c>
      <c r="AO383" s="0" t="n">
        <f aca="false">AM383*E383+AN383*D383</f>
        <v>-0.277985739728333</v>
      </c>
      <c r="AP383" s="0" t="n">
        <f aca="false">AL383*D383</f>
        <v>0</v>
      </c>
      <c r="AR383" s="0" t="n">
        <f aca="false">AN383*D383</f>
        <v>-0</v>
      </c>
      <c r="AS383" s="0" t="n">
        <f aca="false">AH383-AR383</f>
        <v>0</v>
      </c>
    </row>
    <row r="384" customFormat="false" ht="12" hidden="false" customHeight="false" outlineLevel="0" collapsed="false">
      <c r="A384" s="3" t="n">
        <f aca="false">A383+1</f>
        <v>375</v>
      </c>
      <c r="B384" s="3" t="n">
        <f aca="false">IF(A384&lt;$N$4/3,0.1,(IF(A384&gt;2*$N$4/3,0.05,0.12)))</f>
        <v>0.12</v>
      </c>
      <c r="C384" s="4" t="n">
        <f aca="true">RAND()</f>
        <v>0.0418144265042087</v>
      </c>
      <c r="D384" s="0" t="n">
        <f aca="false">IF((C384&gt;$M$2),1,0)</f>
        <v>0</v>
      </c>
      <c r="E384" s="0" t="n">
        <f aca="false">1-D384</f>
        <v>1</v>
      </c>
      <c r="F384" s="0" t="n">
        <f aca="true">RAND()</f>
        <v>0.536344956263864</v>
      </c>
      <c r="G384" s="0" t="n">
        <f aca="false">7.75+F384*10</f>
        <v>13.1134495626386</v>
      </c>
      <c r="H384" s="0" t="n">
        <f aca="false">LOGINV(F384,2.64,1.139)</f>
        <v>15.5476672622888</v>
      </c>
      <c r="I384" s="0" t="n">
        <v>19.5</v>
      </c>
      <c r="J384" s="4" t="n">
        <f aca="true">-LN(RAND())/B384</f>
        <v>17.0359594622464</v>
      </c>
      <c r="K384" s="4" t="n">
        <f aca="false">K383+J384</f>
        <v>3899.54905776285</v>
      </c>
      <c r="L384" s="4" t="n">
        <f aca="false">(1/$J$4)*(1+AB383)</f>
        <v>10</v>
      </c>
      <c r="M384" s="4" t="n">
        <f aca="false">L384+MAX(K384,Y$10:Y383)</f>
        <v>3968.82985076217</v>
      </c>
      <c r="N384" s="4" t="n">
        <f aca="false">K384</f>
        <v>3899.54905776285</v>
      </c>
      <c r="O384" s="4" t="n">
        <f aca="false">M384-K384</f>
        <v>69.280792999321</v>
      </c>
      <c r="P384" s="4" t="n">
        <f aca="false">N384-K384</f>
        <v>0</v>
      </c>
      <c r="Q384" s="4" t="n">
        <f aca="false">A384-MATCH(K384,$M$9:M383,1)</f>
        <v>6</v>
      </c>
      <c r="R384" s="0" t="n">
        <f aca="false">-G384*(O384/3600)</f>
        <v>-0.252363940182279</v>
      </c>
      <c r="S384" s="0" t="n">
        <f aca="false">-1*I384-(H384*(P384/3600))</f>
        <v>-19.5</v>
      </c>
      <c r="T384" s="0" t="n">
        <f aca="false">-H384*(O384/3600)</f>
        <v>-0.299209643672487</v>
      </c>
      <c r="U384" s="0" t="n">
        <f aca="false">T384-S384</f>
        <v>19.2007903563275</v>
      </c>
      <c r="V384" s="0" t="n">
        <f aca="false">1/(1+EXP(U384))</f>
        <v>4.58355764986387E-009</v>
      </c>
      <c r="W384" s="0" t="n">
        <f aca="true">RAND()</f>
        <v>0.313755945212491</v>
      </c>
      <c r="X384" s="0" t="n">
        <f aca="false">IF(W384&lt;V384,1,0)</f>
        <v>0</v>
      </c>
      <c r="Y384" s="0" t="n">
        <f aca="false">(M384*(1-X384)+N384*X384)*D384+M384*E384</f>
        <v>3968.82985076217</v>
      </c>
      <c r="Z384" s="0" t="n">
        <f aca="false">((1-X384)*O384+X384*P384)*D384+E384*O384</f>
        <v>69.280792999321</v>
      </c>
      <c r="AA384" s="0" t="n">
        <f aca="false">IF(D384*X384&gt;0,AA383,Q384)</f>
        <v>6</v>
      </c>
      <c r="AB384" s="0" t="n">
        <f aca="false">(X384*D384)</f>
        <v>0</v>
      </c>
      <c r="AC384" s="0" t="n">
        <f aca="false">SUM(AB$10:AB383)/K384</f>
        <v>0</v>
      </c>
      <c r="AD384" s="0" t="n">
        <f aca="false">R384*E384+D384*(X384*S384+(1-X384)*T384)</f>
        <v>-0.252363940182279</v>
      </c>
      <c r="AE384" s="0" t="n">
        <f aca="false">Z384</f>
        <v>69.280792999321</v>
      </c>
      <c r="AF384" s="0" t="n">
        <f aca="false">E384*O384</f>
        <v>69.280792999321</v>
      </c>
      <c r="AG384" s="0" t="n">
        <f aca="false">((1-X384)*O384+X384*P384)*D384</f>
        <v>0</v>
      </c>
      <c r="AH384" s="0" t="n">
        <f aca="false">D384*(LN(EXP(S384)+EXP(T384)))</f>
        <v>-0</v>
      </c>
      <c r="AJ384" s="0" t="n">
        <f aca="false">$J$5</f>
        <v>10</v>
      </c>
      <c r="AK384" s="4" t="n">
        <f aca="false">AJ384+MAX(K384,AK$10:AK383)</f>
        <v>3968.82985076217</v>
      </c>
      <c r="AL384" s="5" t="n">
        <f aca="false">AK384-K384</f>
        <v>69.280792999321</v>
      </c>
      <c r="AM384" s="0" t="n">
        <f aca="false">-G384*AL384/3600</f>
        <v>-0.252363940182279</v>
      </c>
      <c r="AN384" s="0" t="n">
        <f aca="false">-H384*AL384/3600</f>
        <v>-0.299209643672487</v>
      </c>
      <c r="AO384" s="0" t="n">
        <f aca="false">AM384*E384+AN384*D384</f>
        <v>-0.252363940182279</v>
      </c>
      <c r="AP384" s="0" t="n">
        <f aca="false">AL384*D384</f>
        <v>0</v>
      </c>
      <c r="AR384" s="0" t="n">
        <f aca="false">AN384*D384</f>
        <v>-0</v>
      </c>
      <c r="AS384" s="0" t="n">
        <f aca="false">AH384-AR384</f>
        <v>0</v>
      </c>
    </row>
    <row r="385" customFormat="false" ht="12" hidden="false" customHeight="false" outlineLevel="0" collapsed="false">
      <c r="A385" s="3" t="n">
        <f aca="false">A384+1</f>
        <v>376</v>
      </c>
      <c r="B385" s="3" t="n">
        <f aca="false">IF(A385&lt;$N$4/3,0.1,(IF(A385&gt;2*$N$4/3,0.05,0.12)))</f>
        <v>0.12</v>
      </c>
      <c r="C385" s="4" t="n">
        <f aca="true">RAND()</f>
        <v>0.106992778356433</v>
      </c>
      <c r="D385" s="0" t="n">
        <f aca="false">IF((C385&gt;$M$2),1,0)</f>
        <v>0</v>
      </c>
      <c r="E385" s="0" t="n">
        <f aca="false">1-D385</f>
        <v>1</v>
      </c>
      <c r="F385" s="0" t="n">
        <f aca="true">RAND()</f>
        <v>0.295094513406257</v>
      </c>
      <c r="G385" s="0" t="n">
        <f aca="false">7.75+F385*10</f>
        <v>10.7009451340626</v>
      </c>
      <c r="H385" s="0" t="n">
        <f aca="false">LOGINV(F385,2.64,1.139)</f>
        <v>7.58807350056789</v>
      </c>
      <c r="I385" s="0" t="n">
        <v>19.5</v>
      </c>
      <c r="J385" s="4" t="n">
        <f aca="true">-LN(RAND())/B385</f>
        <v>3.06825213573781</v>
      </c>
      <c r="K385" s="4" t="n">
        <f aca="false">K384+J385</f>
        <v>3902.61730989859</v>
      </c>
      <c r="L385" s="4" t="n">
        <f aca="false">(1/$J$4)*(1+AB384)</f>
        <v>10</v>
      </c>
      <c r="M385" s="4" t="n">
        <f aca="false">L385+MAX(K385,Y$10:Y384)</f>
        <v>3978.82985076217</v>
      </c>
      <c r="N385" s="4" t="n">
        <f aca="false">K385</f>
        <v>3902.61730989859</v>
      </c>
      <c r="O385" s="4" t="n">
        <f aca="false">M385-K385</f>
        <v>76.2125408635829</v>
      </c>
      <c r="P385" s="4" t="n">
        <f aca="false">N385-K385</f>
        <v>0</v>
      </c>
      <c r="Q385" s="4" t="n">
        <f aca="false">A385-MATCH(K385,$M$9:M384,1)</f>
        <v>7</v>
      </c>
      <c r="R385" s="0" t="n">
        <f aca="false">-G385*(O385/3600)</f>
        <v>-0.226540616196862</v>
      </c>
      <c r="S385" s="0" t="n">
        <f aca="false">-1*I385-(H385*(P385/3600))</f>
        <v>-19.5</v>
      </c>
      <c r="T385" s="0" t="n">
        <f aca="false">-H385*(O385/3600)</f>
        <v>-0.160640656038306</v>
      </c>
      <c r="U385" s="0" t="n">
        <f aca="false">T385-S385</f>
        <v>19.3393593439617</v>
      </c>
      <c r="V385" s="0" t="n">
        <f aca="false">1/(1+EXP(U385))</f>
        <v>3.99045990629247E-009</v>
      </c>
      <c r="W385" s="0" t="n">
        <f aca="true">RAND()</f>
        <v>0.272097563679978</v>
      </c>
      <c r="X385" s="0" t="n">
        <f aca="false">IF(W385&lt;V385,1,0)</f>
        <v>0</v>
      </c>
      <c r="Y385" s="0" t="n">
        <f aca="false">(M385*(1-X385)+N385*X385)*D385+M385*E385</f>
        <v>3978.82985076217</v>
      </c>
      <c r="Z385" s="0" t="n">
        <f aca="false">((1-X385)*O385+X385*P385)*D385+E385*O385</f>
        <v>76.2125408635829</v>
      </c>
      <c r="AA385" s="0" t="n">
        <f aca="false">IF(D385*X385&gt;0,AA384,Q385)</f>
        <v>7</v>
      </c>
      <c r="AB385" s="0" t="n">
        <f aca="false">(X385*D385)</f>
        <v>0</v>
      </c>
      <c r="AC385" s="0" t="n">
        <f aca="false">SUM(AB$10:AB384)/K385</f>
        <v>0</v>
      </c>
      <c r="AD385" s="0" t="n">
        <f aca="false">R385*E385+D385*(X385*S385+(1-X385)*T385)</f>
        <v>-0.226540616196862</v>
      </c>
      <c r="AE385" s="0" t="n">
        <f aca="false">Z385</f>
        <v>76.2125408635829</v>
      </c>
      <c r="AF385" s="0" t="n">
        <f aca="false">E385*O385</f>
        <v>76.2125408635829</v>
      </c>
      <c r="AG385" s="0" t="n">
        <f aca="false">((1-X385)*O385+X385*P385)*D385</f>
        <v>0</v>
      </c>
      <c r="AH385" s="0" t="n">
        <f aca="false">D385*(LN(EXP(S385)+EXP(T385)))</f>
        <v>-0</v>
      </c>
      <c r="AJ385" s="0" t="n">
        <f aca="false">$J$5</f>
        <v>10</v>
      </c>
      <c r="AK385" s="4" t="n">
        <f aca="false">AJ385+MAX(K385,AK$10:AK384)</f>
        <v>3978.82985076217</v>
      </c>
      <c r="AL385" s="5" t="n">
        <f aca="false">AK385-K385</f>
        <v>76.2125408635829</v>
      </c>
      <c r="AM385" s="0" t="n">
        <f aca="false">-G385*AL385/3600</f>
        <v>-0.226540616196862</v>
      </c>
      <c r="AN385" s="0" t="n">
        <f aca="false">-H385*AL385/3600</f>
        <v>-0.160640656038306</v>
      </c>
      <c r="AO385" s="0" t="n">
        <f aca="false">AM385*E385+AN385*D385</f>
        <v>-0.226540616196862</v>
      </c>
      <c r="AP385" s="0" t="n">
        <f aca="false">AL385*D385</f>
        <v>0</v>
      </c>
      <c r="AR385" s="0" t="n">
        <f aca="false">AN385*D385</f>
        <v>-0</v>
      </c>
      <c r="AS385" s="0" t="n">
        <f aca="false">AH385-AR385</f>
        <v>0</v>
      </c>
    </row>
    <row r="386" customFormat="false" ht="12" hidden="false" customHeight="false" outlineLevel="0" collapsed="false">
      <c r="A386" s="3" t="n">
        <f aca="false">A385+1</f>
        <v>377</v>
      </c>
      <c r="B386" s="3" t="n">
        <f aca="false">IF(A386&lt;$N$4/3,0.1,(IF(A386&gt;2*$N$4/3,0.05,0.12)))</f>
        <v>0.12</v>
      </c>
      <c r="C386" s="4" t="n">
        <f aca="true">RAND()</f>
        <v>0.35341727898919</v>
      </c>
      <c r="D386" s="0" t="n">
        <f aca="false">IF((C386&gt;$M$2),1,0)</f>
        <v>0</v>
      </c>
      <c r="E386" s="0" t="n">
        <f aca="false">1-D386</f>
        <v>1</v>
      </c>
      <c r="F386" s="0" t="n">
        <f aca="true">RAND()</f>
        <v>0.9649764270029</v>
      </c>
      <c r="G386" s="0" t="n">
        <f aca="false">7.75+F386*10</f>
        <v>17.399764270029</v>
      </c>
      <c r="H386" s="0" t="n">
        <f aca="false">LOGINV(F386,2.64,1.139)</f>
        <v>110.323711342828</v>
      </c>
      <c r="I386" s="0" t="n">
        <v>19.5</v>
      </c>
      <c r="J386" s="4" t="n">
        <f aca="true">-LN(RAND())/B386</f>
        <v>2.64011042709099</v>
      </c>
      <c r="K386" s="4" t="n">
        <f aca="false">K385+J386</f>
        <v>3905.25742032568</v>
      </c>
      <c r="L386" s="4" t="n">
        <f aca="false">(1/$J$4)*(1+AB385)</f>
        <v>10</v>
      </c>
      <c r="M386" s="4" t="n">
        <f aca="false">L386+MAX(K386,Y$10:Y385)</f>
        <v>3988.82985076217</v>
      </c>
      <c r="N386" s="4" t="n">
        <f aca="false">K386</f>
        <v>3905.25742032568</v>
      </c>
      <c r="O386" s="4" t="n">
        <f aca="false">M386-K386</f>
        <v>83.5724304364921</v>
      </c>
      <c r="P386" s="4" t="n">
        <f aca="false">N386-K386</f>
        <v>0</v>
      </c>
      <c r="Q386" s="4" t="n">
        <f aca="false">A386-MATCH(K386,$M$9:M385,1)</f>
        <v>8</v>
      </c>
      <c r="R386" s="0" t="n">
        <f aca="false">-G386*(O386/3600)</f>
        <v>-0.403927941407878</v>
      </c>
      <c r="S386" s="0" t="n">
        <f aca="false">-1*I386-(H386*(P386/3600))</f>
        <v>-19.5</v>
      </c>
      <c r="T386" s="0" t="n">
        <f aca="false">-H386*(O386/3600)</f>
        <v>-2.56111685880392</v>
      </c>
      <c r="U386" s="0" t="n">
        <f aca="false">T386-S386</f>
        <v>16.9388831411961</v>
      </c>
      <c r="V386" s="0" t="n">
        <f aca="false">1/(1+EXP(U386))</f>
        <v>4.40084936039194E-008</v>
      </c>
      <c r="W386" s="0" t="n">
        <f aca="true">RAND()</f>
        <v>0.304134237636582</v>
      </c>
      <c r="X386" s="0" t="n">
        <f aca="false">IF(W386&lt;V386,1,0)</f>
        <v>0</v>
      </c>
      <c r="Y386" s="0" t="n">
        <f aca="false">(M386*(1-X386)+N386*X386)*D386+M386*E386</f>
        <v>3988.82985076217</v>
      </c>
      <c r="Z386" s="0" t="n">
        <f aca="false">((1-X386)*O386+X386*P386)*D386+E386*O386</f>
        <v>83.5724304364921</v>
      </c>
      <c r="AA386" s="0" t="n">
        <f aca="false">IF(D386*X386&gt;0,AA385,Q386)</f>
        <v>8</v>
      </c>
      <c r="AB386" s="0" t="n">
        <f aca="false">(X386*D386)</f>
        <v>0</v>
      </c>
      <c r="AC386" s="0" t="n">
        <f aca="false">SUM(AB$10:AB385)/K386</f>
        <v>0</v>
      </c>
      <c r="AD386" s="0" t="n">
        <f aca="false">R386*E386+D386*(X386*S386+(1-X386)*T386)</f>
        <v>-0.403927941407878</v>
      </c>
      <c r="AE386" s="0" t="n">
        <f aca="false">Z386</f>
        <v>83.5724304364921</v>
      </c>
      <c r="AF386" s="0" t="n">
        <f aca="false">E386*O386</f>
        <v>83.5724304364921</v>
      </c>
      <c r="AG386" s="0" t="n">
        <f aca="false">((1-X386)*O386+X386*P386)*D386</f>
        <v>0</v>
      </c>
      <c r="AH386" s="0" t="n">
        <f aca="false">D386*(LN(EXP(S386)+EXP(T386)))</f>
        <v>-0</v>
      </c>
      <c r="AJ386" s="0" t="n">
        <f aca="false">$J$5</f>
        <v>10</v>
      </c>
      <c r="AK386" s="4" t="n">
        <f aca="false">AJ386+MAX(K386,AK$10:AK385)</f>
        <v>3988.82985076217</v>
      </c>
      <c r="AL386" s="5" t="n">
        <f aca="false">AK386-K386</f>
        <v>83.5724304364921</v>
      </c>
      <c r="AM386" s="0" t="n">
        <f aca="false">-G386*AL386/3600</f>
        <v>-0.403927941407878</v>
      </c>
      <c r="AN386" s="0" t="n">
        <f aca="false">-H386*AL386/3600</f>
        <v>-2.56111685880392</v>
      </c>
      <c r="AO386" s="0" t="n">
        <f aca="false">AM386*E386+AN386*D386</f>
        <v>-0.403927941407878</v>
      </c>
      <c r="AP386" s="0" t="n">
        <f aca="false">AL386*D386</f>
        <v>0</v>
      </c>
      <c r="AR386" s="0" t="n">
        <f aca="false">AN386*D386</f>
        <v>-0</v>
      </c>
      <c r="AS386" s="0" t="n">
        <f aca="false">AH386-AR386</f>
        <v>0</v>
      </c>
    </row>
    <row r="387" customFormat="false" ht="12" hidden="false" customHeight="false" outlineLevel="0" collapsed="false">
      <c r="A387" s="3" t="n">
        <f aca="false">A386+1</f>
        <v>378</v>
      </c>
      <c r="B387" s="3" t="n">
        <f aca="false">IF(A387&lt;$N$4/3,0.1,(IF(A387&gt;2*$N$4/3,0.05,0.12)))</f>
        <v>0.12</v>
      </c>
      <c r="C387" s="4" t="n">
        <f aca="true">RAND()</f>
        <v>0.973549998815234</v>
      </c>
      <c r="D387" s="0" t="n">
        <f aca="false">IF((C387&gt;$M$2),1,0)</f>
        <v>1</v>
      </c>
      <c r="E387" s="0" t="n">
        <f aca="false">1-D387</f>
        <v>0</v>
      </c>
      <c r="F387" s="0" t="n">
        <f aca="true">RAND()</f>
        <v>0.0397330264147942</v>
      </c>
      <c r="G387" s="0" t="n">
        <f aca="false">7.75+F387*10</f>
        <v>8.14733026414794</v>
      </c>
      <c r="H387" s="0" t="n">
        <f aca="false">LOGINV(F387,2.64,1.139)</f>
        <v>1.90109538280431</v>
      </c>
      <c r="I387" s="0" t="n">
        <v>19.5</v>
      </c>
      <c r="J387" s="4" t="n">
        <f aca="true">-LN(RAND())/B387</f>
        <v>4.41569766142945</v>
      </c>
      <c r="K387" s="4" t="n">
        <f aca="false">K386+J387</f>
        <v>3909.67311798711</v>
      </c>
      <c r="L387" s="4" t="n">
        <f aca="false">(1/$J$4)*(1+AB386)</f>
        <v>10</v>
      </c>
      <c r="M387" s="4" t="n">
        <f aca="false">L387+MAX(K387,Y$10:Y386)</f>
        <v>3998.82985076217</v>
      </c>
      <c r="N387" s="4" t="n">
        <f aca="false">K387</f>
        <v>3909.67311798711</v>
      </c>
      <c r="O387" s="4" t="n">
        <f aca="false">M387-K387</f>
        <v>89.1567327750627</v>
      </c>
      <c r="P387" s="4" t="n">
        <f aca="false">N387-K387</f>
        <v>0</v>
      </c>
      <c r="Q387" s="4" t="n">
        <f aca="false">A387-MATCH(K387,$M$9:M386,1)</f>
        <v>8</v>
      </c>
      <c r="R387" s="0" t="n">
        <f aca="false">-G387*(O387/3600)</f>
        <v>-0.201774818664116</v>
      </c>
      <c r="S387" s="0" t="n">
        <f aca="false">-1*I387-(H387*(P387/3600))</f>
        <v>-19.5</v>
      </c>
      <c r="T387" s="0" t="n">
        <f aca="false">-H387*(O387/3600)</f>
        <v>-0.047082070284608</v>
      </c>
      <c r="U387" s="0" t="n">
        <f aca="false">T387-S387</f>
        <v>19.4529179297154</v>
      </c>
      <c r="V387" s="0" t="n">
        <f aca="false">1/(1+EXP(U387))</f>
        <v>3.56209161154886E-009</v>
      </c>
      <c r="W387" s="0" t="n">
        <f aca="true">RAND()</f>
        <v>0.874256657288488</v>
      </c>
      <c r="X387" s="0" t="n">
        <f aca="false">IF(W387&lt;V387,1,0)</f>
        <v>0</v>
      </c>
      <c r="Y387" s="0" t="n">
        <f aca="false">(M387*(1-X387)+N387*X387)*D387+M387*E387</f>
        <v>3998.82985076217</v>
      </c>
      <c r="Z387" s="0" t="n">
        <f aca="false">((1-X387)*O387+X387*P387)*D387+E387*O387</f>
        <v>89.1567327750627</v>
      </c>
      <c r="AA387" s="0" t="n">
        <f aca="false">IF(D387*X387&gt;0,AA386,Q387)</f>
        <v>8</v>
      </c>
      <c r="AB387" s="0" t="n">
        <f aca="false">(X387*D387)</f>
        <v>0</v>
      </c>
      <c r="AC387" s="0" t="n">
        <f aca="false">SUM(AB$10:AB386)/K387</f>
        <v>0</v>
      </c>
      <c r="AD387" s="0" t="n">
        <f aca="false">R387*E387+D387*(X387*S387+(1-X387)*T387)</f>
        <v>-0.047082070284608</v>
      </c>
      <c r="AE387" s="0" t="n">
        <f aca="false">Z387</f>
        <v>89.1567327750627</v>
      </c>
      <c r="AF387" s="0" t="n">
        <f aca="false">E387*O387</f>
        <v>0</v>
      </c>
      <c r="AG387" s="0" t="n">
        <f aca="false">((1-X387)*O387+X387*P387)*D387</f>
        <v>89.1567327750627</v>
      </c>
      <c r="AH387" s="0" t="n">
        <f aca="false">D387*(LN(EXP(S387)+EXP(T387)))</f>
        <v>-0.0470820667225165</v>
      </c>
      <c r="AJ387" s="0" t="n">
        <f aca="false">$J$5</f>
        <v>10</v>
      </c>
      <c r="AK387" s="4" t="n">
        <f aca="false">AJ387+MAX(K387,AK$10:AK386)</f>
        <v>3998.82985076217</v>
      </c>
      <c r="AL387" s="5" t="n">
        <f aca="false">AK387-K387</f>
        <v>89.1567327750627</v>
      </c>
      <c r="AM387" s="0" t="n">
        <f aca="false">-G387*AL387/3600</f>
        <v>-0.201774818664116</v>
      </c>
      <c r="AN387" s="0" t="n">
        <f aca="false">-H387*AL387/3600</f>
        <v>-0.047082070284608</v>
      </c>
      <c r="AO387" s="0" t="n">
        <f aca="false">AM387*E387+AN387*D387</f>
        <v>-0.047082070284608</v>
      </c>
      <c r="AP387" s="0" t="n">
        <f aca="false">AL387*D387</f>
        <v>89.1567327750627</v>
      </c>
      <c r="AR387" s="0" t="n">
        <f aca="false">AN387*D387</f>
        <v>-0.047082070284608</v>
      </c>
      <c r="AS387" s="0" t="n">
        <f aca="false">AH387-AR387</f>
        <v>3.56209153840048E-009</v>
      </c>
    </row>
    <row r="388" customFormat="false" ht="12" hidden="false" customHeight="false" outlineLevel="0" collapsed="false">
      <c r="A388" s="3" t="n">
        <f aca="false">A387+1</f>
        <v>379</v>
      </c>
      <c r="B388" s="3" t="n">
        <f aca="false">IF(A388&lt;$N$4/3,0.1,(IF(A388&gt;2*$N$4/3,0.05,0.12)))</f>
        <v>0.12</v>
      </c>
      <c r="C388" s="4" t="n">
        <f aca="true">RAND()</f>
        <v>0.0368160325226622</v>
      </c>
      <c r="D388" s="0" t="n">
        <f aca="false">IF((C388&gt;$M$2),1,0)</f>
        <v>0</v>
      </c>
      <c r="E388" s="0" t="n">
        <f aca="false">1-D388</f>
        <v>1</v>
      </c>
      <c r="F388" s="0" t="n">
        <f aca="true">RAND()</f>
        <v>0.305657448540129</v>
      </c>
      <c r="G388" s="0" t="n">
        <f aca="false">7.75+F388*10</f>
        <v>10.8065744854013</v>
      </c>
      <c r="H388" s="0" t="n">
        <f aca="false">LOGINV(F388,2.64,1.139)</f>
        <v>7.85510103247893</v>
      </c>
      <c r="I388" s="0" t="n">
        <v>19.5</v>
      </c>
      <c r="J388" s="4" t="n">
        <f aca="true">-LN(RAND())/B388</f>
        <v>1.69756570810993</v>
      </c>
      <c r="K388" s="4" t="n">
        <f aca="false">K387+J388</f>
        <v>3911.37068369522</v>
      </c>
      <c r="L388" s="4" t="n">
        <f aca="false">(1/$J$4)*(1+AB387)</f>
        <v>10</v>
      </c>
      <c r="M388" s="4" t="n">
        <f aca="false">L388+MAX(K388,Y$10:Y387)</f>
        <v>4008.82985076217</v>
      </c>
      <c r="N388" s="4" t="n">
        <f aca="false">K388</f>
        <v>3911.37068369522</v>
      </c>
      <c r="O388" s="4" t="n">
        <f aca="false">M388-K388</f>
        <v>97.4591670669529</v>
      </c>
      <c r="P388" s="4" t="n">
        <f aca="false">N388-K388</f>
        <v>0</v>
      </c>
      <c r="Q388" s="4" t="n">
        <f aca="false">A388-MATCH(K388,$M$9:M387,1)</f>
        <v>9</v>
      </c>
      <c r="R388" s="0" t="n">
        <f aca="false">-G388*(O388/3600)</f>
        <v>-0.292555485609498</v>
      </c>
      <c r="S388" s="0" t="n">
        <f aca="false">-1*I388-(H388*(P388/3600))</f>
        <v>-19.5</v>
      </c>
      <c r="T388" s="0" t="n">
        <f aca="false">-H388*(O388/3600)</f>
        <v>-0.212653223292266</v>
      </c>
      <c r="U388" s="0" t="n">
        <f aca="false">T388-S388</f>
        <v>19.2873467767077</v>
      </c>
      <c r="V388" s="0" t="n">
        <f aca="false">1/(1+EXP(U388))</f>
        <v>4.20350649206678E-009</v>
      </c>
      <c r="W388" s="0" t="n">
        <f aca="true">RAND()</f>
        <v>0.112782607364511</v>
      </c>
      <c r="X388" s="0" t="n">
        <f aca="false">IF(W388&lt;V388,1,0)</f>
        <v>0</v>
      </c>
      <c r="Y388" s="0" t="n">
        <f aca="false">(M388*(1-X388)+N388*X388)*D388+M388*E388</f>
        <v>4008.82985076217</v>
      </c>
      <c r="Z388" s="0" t="n">
        <f aca="false">((1-X388)*O388+X388*P388)*D388+E388*O388</f>
        <v>97.4591670669529</v>
      </c>
      <c r="AA388" s="0" t="n">
        <f aca="false">IF(D388*X388&gt;0,AA387,Q388)</f>
        <v>9</v>
      </c>
      <c r="AB388" s="0" t="n">
        <f aca="false">(X388*D388)</f>
        <v>0</v>
      </c>
      <c r="AC388" s="0" t="n">
        <f aca="false">SUM(AB$10:AB387)/K388</f>
        <v>0</v>
      </c>
      <c r="AD388" s="0" t="n">
        <f aca="false">R388*E388+D388*(X388*S388+(1-X388)*T388)</f>
        <v>-0.292555485609498</v>
      </c>
      <c r="AE388" s="0" t="n">
        <f aca="false">Z388</f>
        <v>97.4591670669529</v>
      </c>
      <c r="AF388" s="0" t="n">
        <f aca="false">E388*O388</f>
        <v>97.4591670669529</v>
      </c>
      <c r="AG388" s="0" t="n">
        <f aca="false">((1-X388)*O388+X388*P388)*D388</f>
        <v>0</v>
      </c>
      <c r="AH388" s="0" t="n">
        <f aca="false">D388*(LN(EXP(S388)+EXP(T388)))</f>
        <v>-0</v>
      </c>
      <c r="AJ388" s="0" t="n">
        <f aca="false">$J$5</f>
        <v>10</v>
      </c>
      <c r="AK388" s="4" t="n">
        <f aca="false">AJ388+MAX(K388,AK$10:AK387)</f>
        <v>4008.82985076217</v>
      </c>
      <c r="AL388" s="5" t="n">
        <f aca="false">AK388-K388</f>
        <v>97.4591670669529</v>
      </c>
      <c r="AM388" s="0" t="n">
        <f aca="false">-G388*AL388/3600</f>
        <v>-0.292555485609498</v>
      </c>
      <c r="AN388" s="0" t="n">
        <f aca="false">-H388*AL388/3600</f>
        <v>-0.212653223292266</v>
      </c>
      <c r="AO388" s="0" t="n">
        <f aca="false">AM388*E388+AN388*D388</f>
        <v>-0.292555485609498</v>
      </c>
      <c r="AP388" s="0" t="n">
        <f aca="false">AL388*D388</f>
        <v>0</v>
      </c>
      <c r="AR388" s="0" t="n">
        <f aca="false">AN388*D388</f>
        <v>-0</v>
      </c>
      <c r="AS388" s="0" t="n">
        <f aca="false">AH388-AR388</f>
        <v>0</v>
      </c>
    </row>
    <row r="389" customFormat="false" ht="12" hidden="false" customHeight="false" outlineLevel="0" collapsed="false">
      <c r="A389" s="3" t="n">
        <f aca="false">A388+1</f>
        <v>380</v>
      </c>
      <c r="B389" s="3" t="n">
        <f aca="false">IF(A389&lt;$N$4/3,0.1,(IF(A389&gt;2*$N$4/3,0.05,0.12)))</f>
        <v>0.12</v>
      </c>
      <c r="C389" s="4" t="n">
        <f aca="true">RAND()</f>
        <v>0.294182764201777</v>
      </c>
      <c r="D389" s="0" t="n">
        <f aca="false">IF((C389&gt;$M$2),1,0)</f>
        <v>0</v>
      </c>
      <c r="E389" s="0" t="n">
        <f aca="false">1-D389</f>
        <v>1</v>
      </c>
      <c r="F389" s="0" t="n">
        <f aca="true">RAND()</f>
        <v>0.664675406250284</v>
      </c>
      <c r="G389" s="0" t="n">
        <f aca="false">7.75+F389*10</f>
        <v>14.3967540625028</v>
      </c>
      <c r="H389" s="0" t="n">
        <f aca="false">LOGINV(F389,2.64,1.139)</f>
        <v>22.7455143673062</v>
      </c>
      <c r="I389" s="0" t="n">
        <v>19.5</v>
      </c>
      <c r="J389" s="4" t="n">
        <f aca="true">-LN(RAND())/B389</f>
        <v>11.0461629270486</v>
      </c>
      <c r="K389" s="4" t="n">
        <f aca="false">K388+J389</f>
        <v>3922.41684662227</v>
      </c>
      <c r="L389" s="4" t="n">
        <f aca="false">(1/$J$4)*(1+AB388)</f>
        <v>10</v>
      </c>
      <c r="M389" s="4" t="n">
        <f aca="false">L389+MAX(K389,Y$10:Y388)</f>
        <v>4018.82985076217</v>
      </c>
      <c r="N389" s="4" t="n">
        <f aca="false">K389</f>
        <v>3922.41684662227</v>
      </c>
      <c r="O389" s="4" t="n">
        <f aca="false">M389-K389</f>
        <v>96.4130041399044</v>
      </c>
      <c r="P389" s="4" t="n">
        <f aca="false">N389-K389</f>
        <v>0</v>
      </c>
      <c r="Q389" s="4" t="n">
        <f aca="false">A389-MATCH(K389,$M$9:M388,1)</f>
        <v>9</v>
      </c>
      <c r="R389" s="0" t="n">
        <f aca="false">-G389*(O389/3600)</f>
        <v>-0.385565085841464</v>
      </c>
      <c r="S389" s="0" t="n">
        <f aca="false">-1*I389-(H389*(P389/3600))</f>
        <v>-19.5</v>
      </c>
      <c r="T389" s="0" t="n">
        <f aca="false">-H389*(O389/3600)</f>
        <v>-0.609156491905373</v>
      </c>
      <c r="U389" s="0" t="n">
        <f aca="false">T389-S389</f>
        <v>18.8908435080946</v>
      </c>
      <c r="V389" s="0" t="n">
        <f aca="false">1/(1+EXP(U389))</f>
        <v>6.24900544697969E-009</v>
      </c>
      <c r="W389" s="0" t="n">
        <f aca="true">RAND()</f>
        <v>0.771047428583215</v>
      </c>
      <c r="X389" s="0" t="n">
        <f aca="false">IF(W389&lt;V389,1,0)</f>
        <v>0</v>
      </c>
      <c r="Y389" s="0" t="n">
        <f aca="false">(M389*(1-X389)+N389*X389)*D389+M389*E389</f>
        <v>4018.82985076217</v>
      </c>
      <c r="Z389" s="0" t="n">
        <f aca="false">((1-X389)*O389+X389*P389)*D389+E389*O389</f>
        <v>96.4130041399044</v>
      </c>
      <c r="AA389" s="0" t="n">
        <f aca="false">IF(D389*X389&gt;0,AA388,Q389)</f>
        <v>9</v>
      </c>
      <c r="AB389" s="0" t="n">
        <f aca="false">(X389*D389)</f>
        <v>0</v>
      </c>
      <c r="AC389" s="0" t="n">
        <f aca="false">SUM(AB$10:AB388)/K389</f>
        <v>0</v>
      </c>
      <c r="AD389" s="0" t="n">
        <f aca="false">R389*E389+D389*(X389*S389+(1-X389)*T389)</f>
        <v>-0.385565085841464</v>
      </c>
      <c r="AE389" s="0" t="n">
        <f aca="false">Z389</f>
        <v>96.4130041399044</v>
      </c>
      <c r="AF389" s="0" t="n">
        <f aca="false">E389*O389</f>
        <v>96.4130041399044</v>
      </c>
      <c r="AG389" s="0" t="n">
        <f aca="false">((1-X389)*O389+X389*P389)*D389</f>
        <v>0</v>
      </c>
      <c r="AH389" s="0" t="n">
        <f aca="false">D389*(LN(EXP(S389)+EXP(T389)))</f>
        <v>-0</v>
      </c>
      <c r="AJ389" s="0" t="n">
        <f aca="false">$J$5</f>
        <v>10</v>
      </c>
      <c r="AK389" s="4" t="n">
        <f aca="false">AJ389+MAX(K389,AK$10:AK388)</f>
        <v>4018.82985076217</v>
      </c>
      <c r="AL389" s="5" t="n">
        <f aca="false">AK389-K389</f>
        <v>96.4130041399044</v>
      </c>
      <c r="AM389" s="0" t="n">
        <f aca="false">-G389*AL389/3600</f>
        <v>-0.385565085841464</v>
      </c>
      <c r="AN389" s="0" t="n">
        <f aca="false">-H389*AL389/3600</f>
        <v>-0.609156491905373</v>
      </c>
      <c r="AO389" s="0" t="n">
        <f aca="false">AM389*E389+AN389*D389</f>
        <v>-0.385565085841464</v>
      </c>
      <c r="AP389" s="0" t="n">
        <f aca="false">AL389*D389</f>
        <v>0</v>
      </c>
      <c r="AR389" s="0" t="n">
        <f aca="false">AN389*D389</f>
        <v>-0</v>
      </c>
      <c r="AS389" s="0" t="n">
        <f aca="false">AH389-AR389</f>
        <v>0</v>
      </c>
    </row>
    <row r="390" customFormat="false" ht="12" hidden="false" customHeight="false" outlineLevel="0" collapsed="false">
      <c r="A390" s="3" t="n">
        <f aca="false">A389+1</f>
        <v>381</v>
      </c>
      <c r="B390" s="3" t="n">
        <f aca="false">IF(A390&lt;$N$4/3,0.1,(IF(A390&gt;2*$N$4/3,0.05,0.12)))</f>
        <v>0.12</v>
      </c>
      <c r="C390" s="4" t="n">
        <f aca="true">RAND()</f>
        <v>0.494123042978009</v>
      </c>
      <c r="D390" s="0" t="n">
        <f aca="false">IF((C390&gt;$M$2),1,0)</f>
        <v>0</v>
      </c>
      <c r="E390" s="0" t="n">
        <f aca="false">1-D390</f>
        <v>1</v>
      </c>
      <c r="F390" s="0" t="n">
        <f aca="true">RAND()</f>
        <v>0.403668464547708</v>
      </c>
      <c r="G390" s="0" t="n">
        <f aca="false">7.75+F390*10</f>
        <v>11.7866846454771</v>
      </c>
      <c r="H390" s="0" t="n">
        <f aca="false">LOGINV(F390,2.64,1.139)</f>
        <v>10.6147022806594</v>
      </c>
      <c r="I390" s="0" t="n">
        <v>19.5</v>
      </c>
      <c r="J390" s="4" t="n">
        <f aca="true">-LN(RAND())/B390</f>
        <v>3.46898587952982</v>
      </c>
      <c r="K390" s="4" t="n">
        <f aca="false">K389+J390</f>
        <v>3925.8858325018</v>
      </c>
      <c r="L390" s="4" t="n">
        <f aca="false">(1/$J$4)*(1+AB389)</f>
        <v>10</v>
      </c>
      <c r="M390" s="4" t="n">
        <f aca="false">L390+MAX(K390,Y$10:Y389)</f>
        <v>4028.82985076217</v>
      </c>
      <c r="N390" s="4" t="n">
        <f aca="false">K390</f>
        <v>3925.8858325018</v>
      </c>
      <c r="O390" s="4" t="n">
        <f aca="false">M390-K390</f>
        <v>102.944018260374</v>
      </c>
      <c r="P390" s="4" t="n">
        <f aca="false">N390-K390</f>
        <v>0</v>
      </c>
      <c r="Q390" s="4" t="n">
        <f aca="false">A390-MATCH(K390,$M$9:M389,1)</f>
        <v>10</v>
      </c>
      <c r="R390" s="0" t="n">
        <f aca="false">-G390*(O390/3600)</f>
        <v>-0.337046855381463</v>
      </c>
      <c r="S390" s="0" t="n">
        <f aca="false">-1*I390-(H390*(P390/3600))</f>
        <v>-19.5</v>
      </c>
      <c r="T390" s="0" t="n">
        <f aca="false">-H390*(O390/3600)</f>
        <v>-0.303533362613512</v>
      </c>
      <c r="U390" s="0" t="n">
        <f aca="false">T390-S390</f>
        <v>19.1964666373865</v>
      </c>
      <c r="V390" s="0" t="n">
        <f aca="false">1/(1+EXP(U390))</f>
        <v>4.60341857037884E-009</v>
      </c>
      <c r="W390" s="0" t="n">
        <f aca="true">RAND()</f>
        <v>0.299335505257696</v>
      </c>
      <c r="X390" s="0" t="n">
        <f aca="false">IF(W390&lt;V390,1,0)</f>
        <v>0</v>
      </c>
      <c r="Y390" s="0" t="n">
        <f aca="false">(M390*(1-X390)+N390*X390)*D390+M390*E390</f>
        <v>4028.82985076217</v>
      </c>
      <c r="Z390" s="0" t="n">
        <f aca="false">((1-X390)*O390+X390*P390)*D390+E390*O390</f>
        <v>102.944018260374</v>
      </c>
      <c r="AA390" s="0" t="n">
        <f aca="false">IF(D390*X390&gt;0,AA389,Q390)</f>
        <v>10</v>
      </c>
      <c r="AB390" s="0" t="n">
        <f aca="false">(X390*D390)</f>
        <v>0</v>
      </c>
      <c r="AC390" s="0" t="n">
        <f aca="false">SUM(AB$10:AB389)/K390</f>
        <v>0</v>
      </c>
      <c r="AD390" s="0" t="n">
        <f aca="false">R390*E390+D390*(X390*S390+(1-X390)*T390)</f>
        <v>-0.337046855381463</v>
      </c>
      <c r="AE390" s="0" t="n">
        <f aca="false">Z390</f>
        <v>102.944018260374</v>
      </c>
      <c r="AF390" s="0" t="n">
        <f aca="false">E390*O390</f>
        <v>102.944018260374</v>
      </c>
      <c r="AG390" s="0" t="n">
        <f aca="false">((1-X390)*O390+X390*P390)*D390</f>
        <v>0</v>
      </c>
      <c r="AH390" s="0" t="n">
        <f aca="false">D390*(LN(EXP(S390)+EXP(T390)))</f>
        <v>-0</v>
      </c>
      <c r="AJ390" s="0" t="n">
        <f aca="false">$J$5</f>
        <v>10</v>
      </c>
      <c r="AK390" s="4" t="n">
        <f aca="false">AJ390+MAX(K390,AK$10:AK389)</f>
        <v>4028.82985076217</v>
      </c>
      <c r="AL390" s="5" t="n">
        <f aca="false">AK390-K390</f>
        <v>102.944018260374</v>
      </c>
      <c r="AM390" s="0" t="n">
        <f aca="false">-G390*AL390/3600</f>
        <v>-0.337046855381463</v>
      </c>
      <c r="AN390" s="0" t="n">
        <f aca="false">-H390*AL390/3600</f>
        <v>-0.303533362613512</v>
      </c>
      <c r="AO390" s="0" t="n">
        <f aca="false">AM390*E390+AN390*D390</f>
        <v>-0.337046855381463</v>
      </c>
      <c r="AP390" s="0" t="n">
        <f aca="false">AL390*D390</f>
        <v>0</v>
      </c>
      <c r="AR390" s="0" t="n">
        <f aca="false">AN390*D390</f>
        <v>-0</v>
      </c>
      <c r="AS390" s="0" t="n">
        <f aca="false">AH390-AR390</f>
        <v>0</v>
      </c>
    </row>
    <row r="391" customFormat="false" ht="12" hidden="false" customHeight="false" outlineLevel="0" collapsed="false">
      <c r="A391" s="3" t="n">
        <f aca="false">A390+1</f>
        <v>382</v>
      </c>
      <c r="B391" s="3" t="n">
        <f aca="false">IF(A391&lt;$N$4/3,0.1,(IF(A391&gt;2*$N$4/3,0.05,0.12)))</f>
        <v>0.12</v>
      </c>
      <c r="C391" s="4" t="n">
        <f aca="true">RAND()</f>
        <v>0.289769634517279</v>
      </c>
      <c r="D391" s="0" t="n">
        <f aca="false">IF((C391&gt;$M$2),1,0)</f>
        <v>0</v>
      </c>
      <c r="E391" s="0" t="n">
        <f aca="false">1-D391</f>
        <v>1</v>
      </c>
      <c r="F391" s="0" t="n">
        <f aca="true">RAND()</f>
        <v>0.842243265576662</v>
      </c>
      <c r="G391" s="0" t="n">
        <f aca="false">7.75+F391*10</f>
        <v>16.1724326557666</v>
      </c>
      <c r="H391" s="0" t="n">
        <f aca="false">LOGINV(F391,2.64,1.139)</f>
        <v>43.9581205956249</v>
      </c>
      <c r="I391" s="0" t="n">
        <v>19.5</v>
      </c>
      <c r="J391" s="4" t="n">
        <f aca="true">-LN(RAND())/B391</f>
        <v>1.81320367915473</v>
      </c>
      <c r="K391" s="4" t="n">
        <f aca="false">K390+J391</f>
        <v>3927.69903618095</v>
      </c>
      <c r="L391" s="4" t="n">
        <f aca="false">(1/$J$4)*(1+AB390)</f>
        <v>10</v>
      </c>
      <c r="M391" s="4" t="n">
        <f aca="false">L391+MAX(K391,Y$10:Y390)</f>
        <v>4038.82985076217</v>
      </c>
      <c r="N391" s="4" t="n">
        <f aca="false">K391</f>
        <v>3927.69903618095</v>
      </c>
      <c r="O391" s="4" t="n">
        <f aca="false">M391-K391</f>
        <v>111.13081458122</v>
      </c>
      <c r="P391" s="4" t="n">
        <f aca="false">N391-K391</f>
        <v>0</v>
      </c>
      <c r="Q391" s="4" t="n">
        <f aca="false">A391-MATCH(K391,$M$9:M390,1)</f>
        <v>11</v>
      </c>
      <c r="R391" s="0" t="n">
        <f aca="false">-G391*(O391/3600)</f>
        <v>-0.499237670776461</v>
      </c>
      <c r="S391" s="0" t="n">
        <f aca="false">-1*I391-(H391*(P391/3600))</f>
        <v>-19.5</v>
      </c>
      <c r="T391" s="0" t="n">
        <f aca="false">-H391*(O391/3600)</f>
        <v>-1.35697270812535</v>
      </c>
      <c r="U391" s="0" t="n">
        <f aca="false">T391-S391</f>
        <v>18.1430272918746</v>
      </c>
      <c r="V391" s="0" t="n">
        <f aca="false">1/(1+EXP(U391))</f>
        <v>1.32002864731934E-008</v>
      </c>
      <c r="W391" s="0" t="n">
        <f aca="true">RAND()</f>
        <v>0.31599329676421</v>
      </c>
      <c r="X391" s="0" t="n">
        <f aca="false">IF(W391&lt;V391,1,0)</f>
        <v>0</v>
      </c>
      <c r="Y391" s="0" t="n">
        <f aca="false">(M391*(1-X391)+N391*X391)*D391+M391*E391</f>
        <v>4038.82985076217</v>
      </c>
      <c r="Z391" s="0" t="n">
        <f aca="false">((1-X391)*O391+X391*P391)*D391+E391*O391</f>
        <v>111.13081458122</v>
      </c>
      <c r="AA391" s="0" t="n">
        <f aca="false">IF(D391*X391&gt;0,AA390,Q391)</f>
        <v>11</v>
      </c>
      <c r="AB391" s="0" t="n">
        <f aca="false">(X391*D391)</f>
        <v>0</v>
      </c>
      <c r="AC391" s="0" t="n">
        <f aca="false">SUM(AB$10:AB390)/K391</f>
        <v>0</v>
      </c>
      <c r="AD391" s="0" t="n">
        <f aca="false">R391*E391+D391*(X391*S391+(1-X391)*T391)</f>
        <v>-0.499237670776461</v>
      </c>
      <c r="AE391" s="0" t="n">
        <f aca="false">Z391</f>
        <v>111.13081458122</v>
      </c>
      <c r="AF391" s="0" t="n">
        <f aca="false">E391*O391</f>
        <v>111.13081458122</v>
      </c>
      <c r="AG391" s="0" t="n">
        <f aca="false">((1-X391)*O391+X391*P391)*D391</f>
        <v>0</v>
      </c>
      <c r="AH391" s="0" t="n">
        <f aca="false">D391*(LN(EXP(S391)+EXP(T391)))</f>
        <v>-0</v>
      </c>
      <c r="AJ391" s="0" t="n">
        <f aca="false">$J$5</f>
        <v>10</v>
      </c>
      <c r="AK391" s="4" t="n">
        <f aca="false">AJ391+MAX(K391,AK$10:AK390)</f>
        <v>4038.82985076217</v>
      </c>
      <c r="AL391" s="5" t="n">
        <f aca="false">AK391-K391</f>
        <v>111.13081458122</v>
      </c>
      <c r="AM391" s="0" t="n">
        <f aca="false">-G391*AL391/3600</f>
        <v>-0.499237670776461</v>
      </c>
      <c r="AN391" s="0" t="n">
        <f aca="false">-H391*AL391/3600</f>
        <v>-1.35697270812535</v>
      </c>
      <c r="AO391" s="0" t="n">
        <f aca="false">AM391*E391+AN391*D391</f>
        <v>-0.499237670776461</v>
      </c>
      <c r="AP391" s="0" t="n">
        <f aca="false">AL391*D391</f>
        <v>0</v>
      </c>
      <c r="AR391" s="0" t="n">
        <f aca="false">AN391*D391</f>
        <v>-0</v>
      </c>
      <c r="AS391" s="0" t="n">
        <f aca="false">AH391-AR391</f>
        <v>0</v>
      </c>
    </row>
    <row r="392" customFormat="false" ht="12" hidden="false" customHeight="false" outlineLevel="0" collapsed="false">
      <c r="A392" s="3" t="n">
        <f aca="false">A391+1</f>
        <v>383</v>
      </c>
      <c r="B392" s="3" t="n">
        <f aca="false">IF(A392&lt;$N$4/3,0.1,(IF(A392&gt;2*$N$4/3,0.05,0.12)))</f>
        <v>0.12</v>
      </c>
      <c r="C392" s="4" t="n">
        <f aca="true">RAND()</f>
        <v>0.311463514494139</v>
      </c>
      <c r="D392" s="0" t="n">
        <f aca="false">IF((C392&gt;$M$2),1,0)</f>
        <v>0</v>
      </c>
      <c r="E392" s="0" t="n">
        <f aca="false">1-D392</f>
        <v>1</v>
      </c>
      <c r="F392" s="0" t="n">
        <f aca="true">RAND()</f>
        <v>0.651537010750406</v>
      </c>
      <c r="G392" s="0" t="n">
        <f aca="false">7.75+F392*10</f>
        <v>14.2653701075041</v>
      </c>
      <c r="H392" s="0" t="n">
        <f aca="false">LOGINV(F392,2.64,1.139)</f>
        <v>21.8370967908488</v>
      </c>
      <c r="I392" s="0" t="n">
        <v>19.5</v>
      </c>
      <c r="J392" s="4" t="n">
        <f aca="true">-LN(RAND())/B392</f>
        <v>27.0273826006415</v>
      </c>
      <c r="K392" s="4" t="n">
        <f aca="false">K391+J392</f>
        <v>3954.72641878159</v>
      </c>
      <c r="L392" s="4" t="n">
        <f aca="false">(1/$J$4)*(1+AB391)</f>
        <v>10</v>
      </c>
      <c r="M392" s="4" t="n">
        <f aca="false">L392+MAX(K392,Y$10:Y391)</f>
        <v>4048.82985076217</v>
      </c>
      <c r="N392" s="4" t="n">
        <f aca="false">K392</f>
        <v>3954.72641878159</v>
      </c>
      <c r="O392" s="4" t="n">
        <f aca="false">M392-K392</f>
        <v>94.1034319805781</v>
      </c>
      <c r="P392" s="4" t="n">
        <f aca="false">N392-K392</f>
        <v>0</v>
      </c>
      <c r="Q392" s="4" t="n">
        <f aca="false">A392-MATCH(K392,$M$9:M391,1)</f>
        <v>9</v>
      </c>
      <c r="R392" s="0" t="n">
        <f aca="false">-G392*(O392/3600)</f>
        <v>-0.3728945237748</v>
      </c>
      <c r="S392" s="0" t="n">
        <f aca="false">-1*I392-(H392*(P392/3600))</f>
        <v>-19.5</v>
      </c>
      <c r="T392" s="0" t="n">
        <f aca="false">-H392*(O392/3600)</f>
        <v>-0.570818264586373</v>
      </c>
      <c r="U392" s="0" t="n">
        <f aca="false">T392-S392</f>
        <v>18.9291817354136</v>
      </c>
      <c r="V392" s="0" t="n">
        <f aca="false">1/(1+EXP(U392))</f>
        <v>6.01396398197608E-009</v>
      </c>
      <c r="W392" s="0" t="n">
        <f aca="true">RAND()</f>
        <v>0.827648768273988</v>
      </c>
      <c r="X392" s="0" t="n">
        <f aca="false">IF(W392&lt;V392,1,0)</f>
        <v>0</v>
      </c>
      <c r="Y392" s="0" t="n">
        <f aca="false">(M392*(1-X392)+N392*X392)*D392+M392*E392</f>
        <v>4048.82985076217</v>
      </c>
      <c r="Z392" s="0" t="n">
        <f aca="false">((1-X392)*O392+X392*P392)*D392+E392*O392</f>
        <v>94.1034319805781</v>
      </c>
      <c r="AA392" s="0" t="n">
        <f aca="false">IF(D392*X392&gt;0,AA391,Q392)</f>
        <v>9</v>
      </c>
      <c r="AB392" s="0" t="n">
        <f aca="false">(X392*D392)</f>
        <v>0</v>
      </c>
      <c r="AC392" s="0" t="n">
        <f aca="false">SUM(AB$10:AB391)/K392</f>
        <v>0</v>
      </c>
      <c r="AD392" s="0" t="n">
        <f aca="false">R392*E392+D392*(X392*S392+(1-X392)*T392)</f>
        <v>-0.3728945237748</v>
      </c>
      <c r="AE392" s="0" t="n">
        <f aca="false">Z392</f>
        <v>94.1034319805781</v>
      </c>
      <c r="AF392" s="0" t="n">
        <f aca="false">E392*O392</f>
        <v>94.1034319805781</v>
      </c>
      <c r="AG392" s="0" t="n">
        <f aca="false">((1-X392)*O392+X392*P392)*D392</f>
        <v>0</v>
      </c>
      <c r="AH392" s="0" t="n">
        <f aca="false">D392*(LN(EXP(S392)+EXP(T392)))</f>
        <v>-0</v>
      </c>
      <c r="AJ392" s="0" t="n">
        <f aca="false">$J$5</f>
        <v>10</v>
      </c>
      <c r="AK392" s="4" t="n">
        <f aca="false">AJ392+MAX(K392,AK$10:AK391)</f>
        <v>4048.82985076217</v>
      </c>
      <c r="AL392" s="5" t="n">
        <f aca="false">AK392-K392</f>
        <v>94.1034319805781</v>
      </c>
      <c r="AM392" s="0" t="n">
        <f aca="false">-G392*AL392/3600</f>
        <v>-0.3728945237748</v>
      </c>
      <c r="AN392" s="0" t="n">
        <f aca="false">-H392*AL392/3600</f>
        <v>-0.570818264586373</v>
      </c>
      <c r="AO392" s="0" t="n">
        <f aca="false">AM392*E392+AN392*D392</f>
        <v>-0.3728945237748</v>
      </c>
      <c r="AP392" s="0" t="n">
        <f aca="false">AL392*D392</f>
        <v>0</v>
      </c>
      <c r="AR392" s="0" t="n">
        <f aca="false">AN392*D392</f>
        <v>-0</v>
      </c>
      <c r="AS392" s="0" t="n">
        <f aca="false">AH392-AR392</f>
        <v>0</v>
      </c>
    </row>
    <row r="393" customFormat="false" ht="12" hidden="false" customHeight="false" outlineLevel="0" collapsed="false">
      <c r="A393" s="3" t="n">
        <f aca="false">A392+1</f>
        <v>384</v>
      </c>
      <c r="B393" s="3" t="n">
        <f aca="false">IF(A393&lt;$N$4/3,0.1,(IF(A393&gt;2*$N$4/3,0.05,0.12)))</f>
        <v>0.12</v>
      </c>
      <c r="C393" s="4" t="n">
        <f aca="true">RAND()</f>
        <v>0.664566180267524</v>
      </c>
      <c r="D393" s="0" t="n">
        <f aca="false">IF((C393&gt;$M$2),1,0)</f>
        <v>0</v>
      </c>
      <c r="E393" s="0" t="n">
        <f aca="false">1-D393</f>
        <v>1</v>
      </c>
      <c r="F393" s="0" t="n">
        <f aca="true">RAND()</f>
        <v>0.440228406112727</v>
      </c>
      <c r="G393" s="0" t="n">
        <f aca="false">7.75+F393*10</f>
        <v>12.1522840611273</v>
      </c>
      <c r="H393" s="0" t="n">
        <f aca="false">LOGINV(F393,2.64,1.139)</f>
        <v>11.8071540053155</v>
      </c>
      <c r="I393" s="0" t="n">
        <v>19.5</v>
      </c>
      <c r="J393" s="4" t="n">
        <f aca="true">-LN(RAND())/B393</f>
        <v>4.15696291449848</v>
      </c>
      <c r="K393" s="4" t="n">
        <f aca="false">K392+J393</f>
        <v>3958.88338169609</v>
      </c>
      <c r="L393" s="4" t="n">
        <f aca="false">(1/$J$4)*(1+AB392)</f>
        <v>10</v>
      </c>
      <c r="M393" s="4" t="n">
        <f aca="false">L393+MAX(K393,Y$10:Y392)</f>
        <v>4058.82985076217</v>
      </c>
      <c r="N393" s="4" t="n">
        <f aca="false">K393</f>
        <v>3958.88338169609</v>
      </c>
      <c r="O393" s="4" t="n">
        <f aca="false">M393-K393</f>
        <v>99.9464690660798</v>
      </c>
      <c r="P393" s="4" t="n">
        <f aca="false">N393-K393</f>
        <v>0</v>
      </c>
      <c r="Q393" s="4" t="n">
        <f aca="false">A393-MATCH(K393,$M$9:M392,1)</f>
        <v>9</v>
      </c>
      <c r="R393" s="0" t="n">
        <f aca="false">-G393*(O393/3600)</f>
        <v>-0.337382745277131</v>
      </c>
      <c r="S393" s="0" t="n">
        <f aca="false">-1*I393-(H393*(P393/3600))</f>
        <v>-19.5</v>
      </c>
      <c r="T393" s="0" t="n">
        <f aca="false">-H393*(O393/3600)</f>
        <v>-0.327800931264083</v>
      </c>
      <c r="U393" s="0" t="n">
        <f aca="false">T393-S393</f>
        <v>19.1721990687359</v>
      </c>
      <c r="V393" s="0" t="n">
        <f aca="false">1/(1+EXP(U393))</f>
        <v>4.71649888872776E-009</v>
      </c>
      <c r="W393" s="0" t="n">
        <f aca="true">RAND()</f>
        <v>0.87648261169902</v>
      </c>
      <c r="X393" s="0" t="n">
        <f aca="false">IF(W393&lt;V393,1,0)</f>
        <v>0</v>
      </c>
      <c r="Y393" s="0" t="n">
        <f aca="false">(M393*(1-X393)+N393*X393)*D393+M393*E393</f>
        <v>4058.82985076217</v>
      </c>
      <c r="Z393" s="0" t="n">
        <f aca="false">((1-X393)*O393+X393*P393)*D393+E393*O393</f>
        <v>99.9464690660798</v>
      </c>
      <c r="AA393" s="0" t="n">
        <f aca="false">IF(D393*X393&gt;0,AA392,Q393)</f>
        <v>9</v>
      </c>
      <c r="AB393" s="0" t="n">
        <f aca="false">(X393*D393)</f>
        <v>0</v>
      </c>
      <c r="AC393" s="0" t="n">
        <f aca="false">SUM(AB$10:AB392)/K393</f>
        <v>0</v>
      </c>
      <c r="AD393" s="0" t="n">
        <f aca="false">R393*E393+D393*(X393*S393+(1-X393)*T393)</f>
        <v>-0.337382745277131</v>
      </c>
      <c r="AE393" s="0" t="n">
        <f aca="false">Z393</f>
        <v>99.9464690660798</v>
      </c>
      <c r="AF393" s="0" t="n">
        <f aca="false">E393*O393</f>
        <v>99.9464690660798</v>
      </c>
      <c r="AG393" s="0" t="n">
        <f aca="false">((1-X393)*O393+X393*P393)*D393</f>
        <v>0</v>
      </c>
      <c r="AH393" s="0" t="n">
        <f aca="false">D393*(LN(EXP(S393)+EXP(T393)))</f>
        <v>-0</v>
      </c>
      <c r="AJ393" s="0" t="n">
        <f aca="false">$J$5</f>
        <v>10</v>
      </c>
      <c r="AK393" s="4" t="n">
        <f aca="false">AJ393+MAX(K393,AK$10:AK392)</f>
        <v>4058.82985076217</v>
      </c>
      <c r="AL393" s="5" t="n">
        <f aca="false">AK393-K393</f>
        <v>99.9464690660798</v>
      </c>
      <c r="AM393" s="0" t="n">
        <f aca="false">-G393*AL393/3600</f>
        <v>-0.337382745277131</v>
      </c>
      <c r="AN393" s="0" t="n">
        <f aca="false">-H393*AL393/3600</f>
        <v>-0.327800931264084</v>
      </c>
      <c r="AO393" s="0" t="n">
        <f aca="false">AM393*E393+AN393*D393</f>
        <v>-0.337382745277131</v>
      </c>
      <c r="AP393" s="0" t="n">
        <f aca="false">AL393*D393</f>
        <v>0</v>
      </c>
      <c r="AR393" s="0" t="n">
        <f aca="false">AN393*D393</f>
        <v>-0</v>
      </c>
      <c r="AS393" s="0" t="n">
        <f aca="false">AH393-AR393</f>
        <v>0</v>
      </c>
    </row>
    <row r="394" customFormat="false" ht="12" hidden="false" customHeight="false" outlineLevel="0" collapsed="false">
      <c r="A394" s="3" t="n">
        <f aca="false">A393+1</f>
        <v>385</v>
      </c>
      <c r="B394" s="3" t="n">
        <f aca="false">IF(A394&lt;$N$4/3,0.1,(IF(A394&gt;2*$N$4/3,0.05,0.12)))</f>
        <v>0.12</v>
      </c>
      <c r="C394" s="4" t="n">
        <f aca="true">RAND()</f>
        <v>0.800082823286206</v>
      </c>
      <c r="D394" s="0" t="n">
        <f aca="false">IF((C394&gt;$M$2),1,0)</f>
        <v>0</v>
      </c>
      <c r="E394" s="0" t="n">
        <f aca="false">1-D394</f>
        <v>1</v>
      </c>
      <c r="F394" s="0" t="n">
        <f aca="true">RAND()</f>
        <v>0.41397208945045</v>
      </c>
      <c r="G394" s="0" t="n">
        <f aca="false">7.75+F394*10</f>
        <v>11.8897208945045</v>
      </c>
      <c r="H394" s="0" t="n">
        <f aca="false">LOGINV(F394,2.64,1.139)</f>
        <v>10.9402746101805</v>
      </c>
      <c r="I394" s="0" t="n">
        <v>19.5</v>
      </c>
      <c r="J394" s="4" t="n">
        <f aca="true">-LN(RAND())/B394</f>
        <v>0.275392824490188</v>
      </c>
      <c r="K394" s="4" t="n">
        <f aca="false">K393+J394</f>
        <v>3959.15877452058</v>
      </c>
      <c r="L394" s="4" t="n">
        <f aca="false">(1/$J$4)*(1+AB393)</f>
        <v>10</v>
      </c>
      <c r="M394" s="4" t="n">
        <f aca="false">L394+MAX(K394,Y$10:Y393)</f>
        <v>4068.82985076217</v>
      </c>
      <c r="N394" s="4" t="n">
        <f aca="false">K394</f>
        <v>3959.15877452058</v>
      </c>
      <c r="O394" s="4" t="n">
        <f aca="false">M394-K394</f>
        <v>109.67107624159</v>
      </c>
      <c r="P394" s="4" t="n">
        <f aca="false">N394-K394</f>
        <v>0</v>
      </c>
      <c r="Q394" s="4" t="n">
        <f aca="false">A394-MATCH(K394,$M$9:M393,1)</f>
        <v>10</v>
      </c>
      <c r="R394" s="0" t="n">
        <f aca="false">-G394*(O394/3600)</f>
        <v>-0.362210690753451</v>
      </c>
      <c r="S394" s="0" t="n">
        <f aca="false">-1*I394-(H394*(P394/3600))</f>
        <v>-19.5</v>
      </c>
      <c r="T394" s="0" t="n">
        <f aca="false">-H394*(O394/3600)</f>
        <v>-0.333286580799175</v>
      </c>
      <c r="U394" s="0" t="n">
        <f aca="false">T394-S394</f>
        <v>19.1667134192008</v>
      </c>
      <c r="V394" s="0" t="n">
        <f aca="false">1/(1+EXP(U394))</f>
        <v>4.74244304375223E-009</v>
      </c>
      <c r="W394" s="0" t="n">
        <f aca="true">RAND()</f>
        <v>0.519566015962529</v>
      </c>
      <c r="X394" s="0" t="n">
        <f aca="false">IF(W394&lt;V394,1,0)</f>
        <v>0</v>
      </c>
      <c r="Y394" s="0" t="n">
        <f aca="false">(M394*(1-X394)+N394*X394)*D394+M394*E394</f>
        <v>4068.82985076217</v>
      </c>
      <c r="Z394" s="0" t="n">
        <f aca="false">((1-X394)*O394+X394*P394)*D394+E394*O394</f>
        <v>109.67107624159</v>
      </c>
      <c r="AA394" s="0" t="n">
        <f aca="false">IF(D394*X394&gt;0,AA393,Q394)</f>
        <v>10</v>
      </c>
      <c r="AB394" s="0" t="n">
        <f aca="false">(X394*D394)</f>
        <v>0</v>
      </c>
      <c r="AC394" s="0" t="n">
        <f aca="false">SUM(AB$10:AB393)/K394</f>
        <v>0</v>
      </c>
      <c r="AD394" s="0" t="n">
        <f aca="false">R394*E394+D394*(X394*S394+(1-X394)*T394)</f>
        <v>-0.362210690753451</v>
      </c>
      <c r="AE394" s="0" t="n">
        <f aca="false">Z394</f>
        <v>109.67107624159</v>
      </c>
      <c r="AF394" s="0" t="n">
        <f aca="false">E394*O394</f>
        <v>109.67107624159</v>
      </c>
      <c r="AG394" s="0" t="n">
        <f aca="false">((1-X394)*O394+X394*P394)*D394</f>
        <v>0</v>
      </c>
      <c r="AH394" s="0" t="n">
        <f aca="false">D394*(LN(EXP(S394)+EXP(T394)))</f>
        <v>-0</v>
      </c>
      <c r="AJ394" s="0" t="n">
        <f aca="false">$J$5</f>
        <v>10</v>
      </c>
      <c r="AK394" s="4" t="n">
        <f aca="false">AJ394+MAX(K394,AK$10:AK393)</f>
        <v>4068.82985076217</v>
      </c>
      <c r="AL394" s="5" t="n">
        <f aca="false">AK394-K394</f>
        <v>109.67107624159</v>
      </c>
      <c r="AM394" s="0" t="n">
        <f aca="false">-G394*AL394/3600</f>
        <v>-0.362210690753451</v>
      </c>
      <c r="AN394" s="0" t="n">
        <f aca="false">-H394*AL394/3600</f>
        <v>-0.333286580799175</v>
      </c>
      <c r="AO394" s="0" t="n">
        <f aca="false">AM394*E394+AN394*D394</f>
        <v>-0.362210690753451</v>
      </c>
      <c r="AP394" s="0" t="n">
        <f aca="false">AL394*D394</f>
        <v>0</v>
      </c>
      <c r="AR394" s="0" t="n">
        <f aca="false">AN394*D394</f>
        <v>-0</v>
      </c>
      <c r="AS394" s="0" t="n">
        <f aca="false">AH394-AR394</f>
        <v>0</v>
      </c>
    </row>
    <row r="395" customFormat="false" ht="12" hidden="false" customHeight="false" outlineLevel="0" collapsed="false">
      <c r="A395" s="3" t="n">
        <f aca="false">A394+1</f>
        <v>386</v>
      </c>
      <c r="B395" s="3" t="n">
        <f aca="false">IF(A395&lt;$N$4/3,0.1,(IF(A395&gt;2*$N$4/3,0.05,0.12)))</f>
        <v>0.12</v>
      </c>
      <c r="C395" s="4" t="n">
        <f aca="true">RAND()</f>
        <v>0.0301051705806821</v>
      </c>
      <c r="D395" s="0" t="n">
        <f aca="false">IF((C395&gt;$M$2),1,0)</f>
        <v>0</v>
      </c>
      <c r="E395" s="0" t="n">
        <f aca="false">1-D395</f>
        <v>1</v>
      </c>
      <c r="F395" s="0" t="n">
        <f aca="true">RAND()</f>
        <v>0.277075122444174</v>
      </c>
      <c r="G395" s="0" t="n">
        <f aca="false">7.75+F395*10</f>
        <v>10.5207512244417</v>
      </c>
      <c r="H395" s="0" t="n">
        <f aca="false">LOGINV(F395,2.64,1.139)</f>
        <v>7.1436341157641</v>
      </c>
      <c r="I395" s="0" t="n">
        <v>19.5</v>
      </c>
      <c r="J395" s="4" t="n">
        <f aca="true">-LN(RAND())/B395</f>
        <v>6.01247235027691</v>
      </c>
      <c r="K395" s="4" t="n">
        <f aca="false">K394+J395</f>
        <v>3965.17124687086</v>
      </c>
      <c r="L395" s="4" t="n">
        <f aca="false">(1/$J$4)*(1+AB394)</f>
        <v>10</v>
      </c>
      <c r="M395" s="4" t="n">
        <f aca="false">L395+MAX(K395,Y$10:Y394)</f>
        <v>4078.82985076217</v>
      </c>
      <c r="N395" s="4" t="n">
        <f aca="false">K395</f>
        <v>3965.17124687086</v>
      </c>
      <c r="O395" s="4" t="n">
        <f aca="false">M395-K395</f>
        <v>113.658603891313</v>
      </c>
      <c r="P395" s="4" t="n">
        <f aca="false">N395-K395</f>
        <v>0</v>
      </c>
      <c r="Q395" s="4" t="n">
        <f aca="false">A395-MATCH(K395,$M$9:M394,1)</f>
        <v>11</v>
      </c>
      <c r="R395" s="0" t="n">
        <f aca="false">-G395*(O395/3600)</f>
        <v>-0.33215941557163</v>
      </c>
      <c r="S395" s="0" t="n">
        <f aca="false">-1*I395-(H395*(P395/3600))</f>
        <v>-19.5</v>
      </c>
      <c r="T395" s="0" t="n">
        <f aca="false">-H395*(O395/3600)</f>
        <v>-0.225537633418917</v>
      </c>
      <c r="U395" s="0" t="n">
        <f aca="false">T395-S395</f>
        <v>19.2744623665811</v>
      </c>
      <c r="V395" s="0" t="n">
        <f aca="false">1/(1+EXP(U395))</f>
        <v>4.25801660468256E-009</v>
      </c>
      <c r="W395" s="0" t="n">
        <f aca="true">RAND()</f>
        <v>0.141629440332782</v>
      </c>
      <c r="X395" s="0" t="n">
        <f aca="false">IF(W395&lt;V395,1,0)</f>
        <v>0</v>
      </c>
      <c r="Y395" s="0" t="n">
        <f aca="false">(M395*(1-X395)+N395*X395)*D395+M395*E395</f>
        <v>4078.82985076217</v>
      </c>
      <c r="Z395" s="0" t="n">
        <f aca="false">((1-X395)*O395+X395*P395)*D395+E395*O395</f>
        <v>113.658603891313</v>
      </c>
      <c r="AA395" s="0" t="n">
        <f aca="false">IF(D395*X395&gt;0,AA394,Q395)</f>
        <v>11</v>
      </c>
      <c r="AB395" s="0" t="n">
        <f aca="false">(X395*D395)</f>
        <v>0</v>
      </c>
      <c r="AC395" s="0" t="n">
        <f aca="false">SUM(AB$10:AB394)/K395</f>
        <v>0</v>
      </c>
      <c r="AD395" s="0" t="n">
        <f aca="false">R395*E395+D395*(X395*S395+(1-X395)*T395)</f>
        <v>-0.33215941557163</v>
      </c>
      <c r="AE395" s="0" t="n">
        <f aca="false">Z395</f>
        <v>113.658603891313</v>
      </c>
      <c r="AF395" s="0" t="n">
        <f aca="false">E395*O395</f>
        <v>113.658603891313</v>
      </c>
      <c r="AG395" s="0" t="n">
        <f aca="false">((1-X395)*O395+X395*P395)*D395</f>
        <v>0</v>
      </c>
      <c r="AH395" s="0" t="n">
        <f aca="false">D395*(LN(EXP(S395)+EXP(T395)))</f>
        <v>-0</v>
      </c>
      <c r="AJ395" s="0" t="n">
        <f aca="false">$J$5</f>
        <v>10</v>
      </c>
      <c r="AK395" s="4" t="n">
        <f aca="false">AJ395+MAX(K395,AK$10:AK394)</f>
        <v>4078.82985076217</v>
      </c>
      <c r="AL395" s="5" t="n">
        <f aca="false">AK395-K395</f>
        <v>113.658603891313</v>
      </c>
      <c r="AM395" s="0" t="n">
        <f aca="false">-G395*AL395/3600</f>
        <v>-0.33215941557163</v>
      </c>
      <c r="AN395" s="0" t="n">
        <f aca="false">-H395*AL395/3600</f>
        <v>-0.225537633418917</v>
      </c>
      <c r="AO395" s="0" t="n">
        <f aca="false">AM395*E395+AN395*D395</f>
        <v>-0.33215941557163</v>
      </c>
      <c r="AP395" s="0" t="n">
        <f aca="false">AL395*D395</f>
        <v>0</v>
      </c>
      <c r="AR395" s="0" t="n">
        <f aca="false">AN395*D395</f>
        <v>-0</v>
      </c>
      <c r="AS395" s="0" t="n">
        <f aca="false">AH395-AR395</f>
        <v>0</v>
      </c>
    </row>
    <row r="396" customFormat="false" ht="12" hidden="false" customHeight="false" outlineLevel="0" collapsed="false">
      <c r="A396" s="3" t="n">
        <f aca="false">A395+1</f>
        <v>387</v>
      </c>
      <c r="B396" s="3" t="n">
        <f aca="false">IF(A396&lt;$N$4/3,0.1,(IF(A396&gt;2*$N$4/3,0.05,0.12)))</f>
        <v>0.12</v>
      </c>
      <c r="C396" s="4" t="n">
        <f aca="true">RAND()</f>
        <v>0.68896892283859</v>
      </c>
      <c r="D396" s="0" t="n">
        <f aca="false">IF((C396&gt;$M$2),1,0)</f>
        <v>0</v>
      </c>
      <c r="E396" s="0" t="n">
        <f aca="false">1-D396</f>
        <v>1</v>
      </c>
      <c r="F396" s="0" t="n">
        <f aca="true">RAND()</f>
        <v>0.163680660989759</v>
      </c>
      <c r="G396" s="0" t="n">
        <f aca="false">7.75+F396*10</f>
        <v>9.38680660989759</v>
      </c>
      <c r="H396" s="0" t="n">
        <f aca="false">LOGINV(F396,2.64,1.139)</f>
        <v>4.59245547959411</v>
      </c>
      <c r="I396" s="0" t="n">
        <v>19.5</v>
      </c>
      <c r="J396" s="4" t="n">
        <f aca="true">-LN(RAND())/B396</f>
        <v>26.8374171205326</v>
      </c>
      <c r="K396" s="4" t="n">
        <f aca="false">K395+J396</f>
        <v>3992.00866399139</v>
      </c>
      <c r="L396" s="4" t="n">
        <f aca="false">(1/$J$4)*(1+AB395)</f>
        <v>10</v>
      </c>
      <c r="M396" s="4" t="n">
        <f aca="false">L396+MAX(K396,Y$10:Y395)</f>
        <v>4088.82985076217</v>
      </c>
      <c r="N396" s="4" t="n">
        <f aca="false">K396</f>
        <v>3992.00866399139</v>
      </c>
      <c r="O396" s="4" t="n">
        <f aca="false">M396-K396</f>
        <v>96.8211867707801</v>
      </c>
      <c r="P396" s="4" t="n">
        <f aca="false">N396-K396</f>
        <v>0</v>
      </c>
      <c r="Q396" s="4" t="n">
        <f aca="false">A396-MATCH(K396,$M$9:M395,1)</f>
        <v>9</v>
      </c>
      <c r="R396" s="0" t="n">
        <f aca="false">-G396*(O396/3600)</f>
        <v>-0.252456043321691</v>
      </c>
      <c r="S396" s="0" t="n">
        <f aca="false">-1*I396-(H396*(P396/3600))</f>
        <v>-19.5</v>
      </c>
      <c r="T396" s="0" t="n">
        <f aca="false">-H396*(O396/3600)</f>
        <v>-0.123513052701743</v>
      </c>
      <c r="U396" s="0" t="n">
        <f aca="false">T396-S396</f>
        <v>19.3764869472983</v>
      </c>
      <c r="V396" s="0" t="n">
        <f aca="false">1/(1+EXP(U396))</f>
        <v>3.8450203125947E-009</v>
      </c>
      <c r="W396" s="0" t="n">
        <f aca="true">RAND()</f>
        <v>0.702926241676825</v>
      </c>
      <c r="X396" s="0" t="n">
        <f aca="false">IF(W396&lt;V396,1,0)</f>
        <v>0</v>
      </c>
      <c r="Y396" s="0" t="n">
        <f aca="false">(M396*(1-X396)+N396*X396)*D396+M396*E396</f>
        <v>4088.82985076217</v>
      </c>
      <c r="Z396" s="0" t="n">
        <f aca="false">((1-X396)*O396+X396*P396)*D396+E396*O396</f>
        <v>96.8211867707801</v>
      </c>
      <c r="AA396" s="0" t="n">
        <f aca="false">IF(D396*X396&gt;0,AA395,Q396)</f>
        <v>9</v>
      </c>
      <c r="AB396" s="0" t="n">
        <f aca="false">(X396*D396)</f>
        <v>0</v>
      </c>
      <c r="AC396" s="0" t="n">
        <f aca="false">SUM(AB$10:AB395)/K396</f>
        <v>0</v>
      </c>
      <c r="AD396" s="0" t="n">
        <f aca="false">R396*E396+D396*(X396*S396+(1-X396)*T396)</f>
        <v>-0.252456043321691</v>
      </c>
      <c r="AE396" s="0" t="n">
        <f aca="false">Z396</f>
        <v>96.8211867707801</v>
      </c>
      <c r="AF396" s="0" t="n">
        <f aca="false">E396*O396</f>
        <v>96.8211867707801</v>
      </c>
      <c r="AG396" s="0" t="n">
        <f aca="false">((1-X396)*O396+X396*P396)*D396</f>
        <v>0</v>
      </c>
      <c r="AH396" s="0" t="n">
        <f aca="false">D396*(LN(EXP(S396)+EXP(T396)))</f>
        <v>-0</v>
      </c>
      <c r="AJ396" s="0" t="n">
        <f aca="false">$J$5</f>
        <v>10</v>
      </c>
      <c r="AK396" s="4" t="n">
        <f aca="false">AJ396+MAX(K396,AK$10:AK395)</f>
        <v>4088.82985076217</v>
      </c>
      <c r="AL396" s="5" t="n">
        <f aca="false">AK396-K396</f>
        <v>96.8211867707801</v>
      </c>
      <c r="AM396" s="0" t="n">
        <f aca="false">-G396*AL396/3600</f>
        <v>-0.252456043321691</v>
      </c>
      <c r="AN396" s="0" t="n">
        <f aca="false">-H396*AL396/3600</f>
        <v>-0.123513052701743</v>
      </c>
      <c r="AO396" s="0" t="n">
        <f aca="false">AM396*E396+AN396*D396</f>
        <v>-0.252456043321691</v>
      </c>
      <c r="AP396" s="0" t="n">
        <f aca="false">AL396*D396</f>
        <v>0</v>
      </c>
      <c r="AR396" s="0" t="n">
        <f aca="false">AN396*D396</f>
        <v>-0</v>
      </c>
      <c r="AS396" s="0" t="n">
        <f aca="false">AH396-AR396</f>
        <v>0</v>
      </c>
    </row>
    <row r="397" customFormat="false" ht="12" hidden="false" customHeight="false" outlineLevel="0" collapsed="false">
      <c r="A397" s="3" t="n">
        <f aca="false">A396+1</f>
        <v>388</v>
      </c>
      <c r="B397" s="3" t="n">
        <f aca="false">IF(A397&lt;$N$4/3,0.1,(IF(A397&gt;2*$N$4/3,0.05,0.12)))</f>
        <v>0.12</v>
      </c>
      <c r="C397" s="4" t="n">
        <f aca="true">RAND()</f>
        <v>0.67034790018544</v>
      </c>
      <c r="D397" s="0" t="n">
        <f aca="false">IF((C397&gt;$M$2),1,0)</f>
        <v>0</v>
      </c>
      <c r="E397" s="0" t="n">
        <f aca="false">1-D397</f>
        <v>1</v>
      </c>
      <c r="F397" s="0" t="n">
        <f aca="true">RAND()</f>
        <v>0.233475994012997</v>
      </c>
      <c r="G397" s="0" t="n">
        <f aca="false">7.75+F397*10</f>
        <v>10.08475994013</v>
      </c>
      <c r="H397" s="0" t="n">
        <f aca="false">LOGINV(F397,2.64,1.139)</f>
        <v>6.11923767392254</v>
      </c>
      <c r="I397" s="0" t="n">
        <v>19.5</v>
      </c>
      <c r="J397" s="4" t="n">
        <f aca="true">-LN(RAND())/B397</f>
        <v>37.4876719620192</v>
      </c>
      <c r="K397" s="4" t="n">
        <f aca="false">K396+J397</f>
        <v>4029.49633595341</v>
      </c>
      <c r="L397" s="4" t="n">
        <f aca="false">(1/$J$4)*(1+AB396)</f>
        <v>10</v>
      </c>
      <c r="M397" s="4" t="n">
        <f aca="false">L397+MAX(K397,Y$10:Y396)</f>
        <v>4098.82985076217</v>
      </c>
      <c r="N397" s="4" t="n">
        <f aca="false">K397</f>
        <v>4029.49633595341</v>
      </c>
      <c r="O397" s="4" t="n">
        <f aca="false">M397-K397</f>
        <v>69.3335148087604</v>
      </c>
      <c r="P397" s="4" t="n">
        <f aca="false">N397-K397</f>
        <v>0</v>
      </c>
      <c r="Q397" s="4" t="n">
        <f aca="false">A397-MATCH(K397,$M$9:M396,1)</f>
        <v>6</v>
      </c>
      <c r="R397" s="0" t="n">
        <f aca="false">-G397*(O397/3600)</f>
        <v>-0.194225514625499</v>
      </c>
      <c r="S397" s="0" t="n">
        <f aca="false">-1*I397-(H397*(P397/3600))</f>
        <v>-19.5</v>
      </c>
      <c r="T397" s="0" t="n">
        <f aca="false">-H397*(O397/3600)</f>
        <v>-0.117852293300898</v>
      </c>
      <c r="U397" s="0" t="n">
        <f aca="false">T397-S397</f>
        <v>19.3821477066991</v>
      </c>
      <c r="V397" s="0" t="n">
        <f aca="false">1/(1+EXP(U397))</f>
        <v>3.82331606701097E-009</v>
      </c>
      <c r="W397" s="0" t="n">
        <f aca="true">RAND()</f>
        <v>0.734819178396201</v>
      </c>
      <c r="X397" s="0" t="n">
        <f aca="false">IF(W397&lt;V397,1,0)</f>
        <v>0</v>
      </c>
      <c r="Y397" s="0" t="n">
        <f aca="false">(M397*(1-X397)+N397*X397)*D397+M397*E397</f>
        <v>4098.82985076217</v>
      </c>
      <c r="Z397" s="0" t="n">
        <f aca="false">((1-X397)*O397+X397*P397)*D397+E397*O397</f>
        <v>69.3335148087604</v>
      </c>
      <c r="AA397" s="0" t="n">
        <f aca="false">IF(D397*X397&gt;0,AA396,Q397)</f>
        <v>6</v>
      </c>
      <c r="AB397" s="0" t="n">
        <f aca="false">(X397*D397)</f>
        <v>0</v>
      </c>
      <c r="AC397" s="0" t="n">
        <f aca="false">SUM(AB$10:AB396)/K397</f>
        <v>0</v>
      </c>
      <c r="AD397" s="0" t="n">
        <f aca="false">R397*E397+D397*(X397*S397+(1-X397)*T397)</f>
        <v>-0.194225514625499</v>
      </c>
      <c r="AE397" s="0" t="n">
        <f aca="false">Z397</f>
        <v>69.3335148087604</v>
      </c>
      <c r="AF397" s="0" t="n">
        <f aca="false">E397*O397</f>
        <v>69.3335148087604</v>
      </c>
      <c r="AG397" s="0" t="n">
        <f aca="false">((1-X397)*O397+X397*P397)*D397</f>
        <v>0</v>
      </c>
      <c r="AH397" s="0" t="n">
        <f aca="false">D397*(LN(EXP(S397)+EXP(T397)))</f>
        <v>-0</v>
      </c>
      <c r="AJ397" s="0" t="n">
        <f aca="false">$J$5</f>
        <v>10</v>
      </c>
      <c r="AK397" s="4" t="n">
        <f aca="false">AJ397+MAX(K397,AK$10:AK396)</f>
        <v>4098.82985076217</v>
      </c>
      <c r="AL397" s="5" t="n">
        <f aca="false">AK397-K397</f>
        <v>69.3335148087604</v>
      </c>
      <c r="AM397" s="0" t="n">
        <f aca="false">-G397*AL397/3600</f>
        <v>-0.194225514625499</v>
      </c>
      <c r="AN397" s="0" t="n">
        <f aca="false">-H397*AL397/3600</f>
        <v>-0.117852293300898</v>
      </c>
      <c r="AO397" s="0" t="n">
        <f aca="false">AM397*E397+AN397*D397</f>
        <v>-0.194225514625499</v>
      </c>
      <c r="AP397" s="0" t="n">
        <f aca="false">AL397*D397</f>
        <v>0</v>
      </c>
      <c r="AR397" s="0" t="n">
        <f aca="false">AN397*D397</f>
        <v>-0</v>
      </c>
      <c r="AS397" s="0" t="n">
        <f aca="false">AH397-AR397</f>
        <v>0</v>
      </c>
    </row>
    <row r="398" customFormat="false" ht="12" hidden="false" customHeight="false" outlineLevel="0" collapsed="false">
      <c r="A398" s="3" t="n">
        <f aca="false">A397+1</f>
        <v>389</v>
      </c>
      <c r="B398" s="3" t="n">
        <f aca="false">IF(A398&lt;$N$4/3,0.1,(IF(A398&gt;2*$N$4/3,0.05,0.12)))</f>
        <v>0.12</v>
      </c>
      <c r="C398" s="4" t="n">
        <f aca="true">RAND()</f>
        <v>0.933421314502466</v>
      </c>
      <c r="D398" s="0" t="n">
        <f aca="false">IF((C398&gt;$M$2),1,0)</f>
        <v>1</v>
      </c>
      <c r="E398" s="0" t="n">
        <f aca="false">1-D398</f>
        <v>0</v>
      </c>
      <c r="F398" s="0" t="n">
        <f aca="true">RAND()</f>
        <v>0.312894580554852</v>
      </c>
      <c r="G398" s="0" t="n">
        <f aca="false">7.75+F398*10</f>
        <v>10.8789458055485</v>
      </c>
      <c r="H398" s="0" t="n">
        <f aca="false">LOGINV(F398,2.64,1.139)</f>
        <v>8.04099477447729</v>
      </c>
      <c r="I398" s="0" t="n">
        <v>19.5</v>
      </c>
      <c r="J398" s="4" t="n">
        <f aca="true">-LN(RAND())/B398</f>
        <v>5.61305097275686</v>
      </c>
      <c r="K398" s="4" t="n">
        <f aca="false">K397+J398</f>
        <v>4035.10938692617</v>
      </c>
      <c r="L398" s="4" t="n">
        <f aca="false">(1/$J$4)*(1+AB397)</f>
        <v>10</v>
      </c>
      <c r="M398" s="4" t="n">
        <f aca="false">L398+MAX(K398,Y$10:Y397)</f>
        <v>4108.82985076217</v>
      </c>
      <c r="N398" s="4" t="n">
        <f aca="false">K398</f>
        <v>4035.10938692617</v>
      </c>
      <c r="O398" s="4" t="n">
        <f aca="false">M398-K398</f>
        <v>73.7204638360036</v>
      </c>
      <c r="P398" s="4" t="n">
        <f aca="false">N398-K398</f>
        <v>0</v>
      </c>
      <c r="Q398" s="4" t="n">
        <f aca="false">A398-MATCH(K398,$M$9:M397,1)</f>
        <v>7</v>
      </c>
      <c r="R398" s="0" t="n">
        <f aca="false">-G398*(O398/3600)</f>
        <v>-0.222778036342162</v>
      </c>
      <c r="S398" s="0" t="n">
        <f aca="false">-1*I398-(H398*(P398/3600))</f>
        <v>-19.5</v>
      </c>
      <c r="T398" s="0" t="n">
        <f aca="false">-H398*(O398/3600)</f>
        <v>-0.164662740132596</v>
      </c>
      <c r="U398" s="0" t="n">
        <f aca="false">T398-S398</f>
        <v>19.3353372598674</v>
      </c>
      <c r="V398" s="0" t="n">
        <f aca="false">1/(1+EXP(U398))</f>
        <v>4.0065421920185E-009</v>
      </c>
      <c r="W398" s="0" t="n">
        <f aca="true">RAND()</f>
        <v>0.0202147116422519</v>
      </c>
      <c r="X398" s="0" t="n">
        <f aca="false">IF(W398&lt;V398,1,0)</f>
        <v>0</v>
      </c>
      <c r="Y398" s="0" t="n">
        <f aca="false">(M398*(1-X398)+N398*X398)*D398+M398*E398</f>
        <v>4108.82985076217</v>
      </c>
      <c r="Z398" s="0" t="n">
        <f aca="false">((1-X398)*O398+X398*P398)*D398+E398*O398</f>
        <v>73.7204638360036</v>
      </c>
      <c r="AA398" s="0" t="n">
        <f aca="false">IF(D398*X398&gt;0,AA397,Q398)</f>
        <v>7</v>
      </c>
      <c r="AB398" s="0" t="n">
        <f aca="false">(X398*D398)</f>
        <v>0</v>
      </c>
      <c r="AC398" s="0" t="n">
        <f aca="false">SUM(AB$10:AB397)/K398</f>
        <v>0</v>
      </c>
      <c r="AD398" s="0" t="n">
        <f aca="false">R398*E398+D398*(X398*S398+(1-X398)*T398)</f>
        <v>-0.164662740132596</v>
      </c>
      <c r="AE398" s="0" t="n">
        <f aca="false">Z398</f>
        <v>73.7204638360036</v>
      </c>
      <c r="AF398" s="0" t="n">
        <f aca="false">E398*O398</f>
        <v>0</v>
      </c>
      <c r="AG398" s="0" t="n">
        <f aca="false">((1-X398)*O398+X398*P398)*D398</f>
        <v>73.7204638360036</v>
      </c>
      <c r="AH398" s="0" t="n">
        <f aca="false">D398*(LN(EXP(S398)+EXP(T398)))</f>
        <v>-0.164662736126054</v>
      </c>
      <c r="AJ398" s="0" t="n">
        <f aca="false">$J$5</f>
        <v>10</v>
      </c>
      <c r="AK398" s="4" t="n">
        <f aca="false">AJ398+MAX(K398,AK$10:AK397)</f>
        <v>4108.82985076217</v>
      </c>
      <c r="AL398" s="5" t="n">
        <f aca="false">AK398-K398</f>
        <v>73.7204638360036</v>
      </c>
      <c r="AM398" s="0" t="n">
        <f aca="false">-G398*AL398/3600</f>
        <v>-0.222778036342162</v>
      </c>
      <c r="AN398" s="0" t="n">
        <f aca="false">-H398*AL398/3600</f>
        <v>-0.164662740132596</v>
      </c>
      <c r="AO398" s="0" t="n">
        <f aca="false">AM398*E398+AN398*D398</f>
        <v>-0.164662740132596</v>
      </c>
      <c r="AP398" s="0" t="n">
        <f aca="false">AL398*D398</f>
        <v>73.7204638360036</v>
      </c>
      <c r="AR398" s="0" t="n">
        <f aca="false">AN398*D398</f>
        <v>-0.164662740132596</v>
      </c>
      <c r="AS398" s="0" t="n">
        <f aca="false">AH398-AR398</f>
        <v>4.00654207033391E-009</v>
      </c>
    </row>
    <row r="399" customFormat="false" ht="12" hidden="false" customHeight="false" outlineLevel="0" collapsed="false">
      <c r="A399" s="3" t="n">
        <f aca="false">A398+1</f>
        <v>390</v>
      </c>
      <c r="B399" s="3" t="n">
        <f aca="false">IF(A399&lt;$N$4/3,0.1,(IF(A399&gt;2*$N$4/3,0.05,0.12)))</f>
        <v>0.12</v>
      </c>
      <c r="C399" s="4" t="n">
        <f aca="true">RAND()</f>
        <v>0.172747682730942</v>
      </c>
      <c r="D399" s="0" t="n">
        <f aca="false">IF((C399&gt;$M$2),1,0)</f>
        <v>0</v>
      </c>
      <c r="E399" s="0" t="n">
        <f aca="false">1-D399</f>
        <v>1</v>
      </c>
      <c r="F399" s="0" t="n">
        <f aca="true">RAND()</f>
        <v>0.505315172298283</v>
      </c>
      <c r="G399" s="0" t="n">
        <f aca="false">7.75+F399*10</f>
        <v>12.8031517229828</v>
      </c>
      <c r="H399" s="0" t="n">
        <f aca="false">LOGINV(F399,2.64,1.139)</f>
        <v>14.2274831837971</v>
      </c>
      <c r="I399" s="0" t="n">
        <v>19.5</v>
      </c>
      <c r="J399" s="4" t="n">
        <f aca="true">-LN(RAND())/B399</f>
        <v>5.83994455113616</v>
      </c>
      <c r="K399" s="4" t="n">
        <f aca="false">K398+J399</f>
        <v>4040.9493314773</v>
      </c>
      <c r="L399" s="4" t="n">
        <f aca="false">(1/$J$4)*(1+AB398)</f>
        <v>10</v>
      </c>
      <c r="M399" s="4" t="n">
        <f aca="false">L399+MAX(K399,Y$10:Y398)</f>
        <v>4118.82985076217</v>
      </c>
      <c r="N399" s="4" t="n">
        <f aca="false">K399</f>
        <v>4040.9493314773</v>
      </c>
      <c r="O399" s="4" t="n">
        <f aca="false">M399-K399</f>
        <v>77.8805192848672</v>
      </c>
      <c r="P399" s="4" t="n">
        <f aca="false">N399-K399</f>
        <v>0</v>
      </c>
      <c r="Q399" s="4" t="n">
        <f aca="false">A399-MATCH(K399,$M$9:M398,1)</f>
        <v>7</v>
      </c>
      <c r="R399" s="0" t="n">
        <f aca="false">-G399*(O399/3600)</f>
        <v>-0.276976695741346</v>
      </c>
      <c r="S399" s="0" t="n">
        <f aca="false">-1*I399-(H399*(P399/3600))</f>
        <v>-19.5</v>
      </c>
      <c r="T399" s="0" t="n">
        <f aca="false">-H399*(O399/3600)</f>
        <v>-0.307789938464122</v>
      </c>
      <c r="U399" s="0" t="n">
        <f aca="false">T399-S399</f>
        <v>19.1922100615359</v>
      </c>
      <c r="V399" s="0" t="n">
        <f aca="false">1/(1+EXP(U399))</f>
        <v>4.62305513321612E-009</v>
      </c>
      <c r="W399" s="0" t="n">
        <f aca="true">RAND()</f>
        <v>0.905097023598479</v>
      </c>
      <c r="X399" s="0" t="n">
        <f aca="false">IF(W399&lt;V399,1,0)</f>
        <v>0</v>
      </c>
      <c r="Y399" s="0" t="n">
        <f aca="false">(M399*(1-X399)+N399*X399)*D399+M399*E399</f>
        <v>4118.82985076217</v>
      </c>
      <c r="Z399" s="0" t="n">
        <f aca="false">((1-X399)*O399+X399*P399)*D399+E399*O399</f>
        <v>77.8805192848672</v>
      </c>
      <c r="AA399" s="0" t="n">
        <f aca="false">IF(D399*X399&gt;0,AA398,Q399)</f>
        <v>7</v>
      </c>
      <c r="AB399" s="0" t="n">
        <f aca="false">(X399*D399)</f>
        <v>0</v>
      </c>
      <c r="AC399" s="0" t="n">
        <f aca="false">SUM(AB$10:AB398)/K399</f>
        <v>0</v>
      </c>
      <c r="AD399" s="0" t="n">
        <f aca="false">R399*E399+D399*(X399*S399+(1-X399)*T399)</f>
        <v>-0.276976695741346</v>
      </c>
      <c r="AE399" s="0" t="n">
        <f aca="false">Z399</f>
        <v>77.8805192848672</v>
      </c>
      <c r="AF399" s="0" t="n">
        <f aca="false">E399*O399</f>
        <v>77.8805192848672</v>
      </c>
      <c r="AG399" s="0" t="n">
        <f aca="false">((1-X399)*O399+X399*P399)*D399</f>
        <v>0</v>
      </c>
      <c r="AH399" s="0" t="n">
        <f aca="false">D399*(LN(EXP(S399)+EXP(T399)))</f>
        <v>-0</v>
      </c>
      <c r="AJ399" s="0" t="n">
        <f aca="false">$J$5</f>
        <v>10</v>
      </c>
      <c r="AK399" s="4" t="n">
        <f aca="false">AJ399+MAX(K399,AK$10:AK398)</f>
        <v>4118.82985076217</v>
      </c>
      <c r="AL399" s="5" t="n">
        <f aca="false">AK399-K399</f>
        <v>77.8805192848672</v>
      </c>
      <c r="AM399" s="0" t="n">
        <f aca="false">-G399*AL399/3600</f>
        <v>-0.276976695741346</v>
      </c>
      <c r="AN399" s="0" t="n">
        <f aca="false">-H399*AL399/3600</f>
        <v>-0.307789938464122</v>
      </c>
      <c r="AO399" s="0" t="n">
        <f aca="false">AM399*E399+AN399*D399</f>
        <v>-0.276976695741346</v>
      </c>
      <c r="AP399" s="0" t="n">
        <f aca="false">AL399*D399</f>
        <v>0</v>
      </c>
      <c r="AR399" s="0" t="n">
        <f aca="false">AN399*D399</f>
        <v>-0</v>
      </c>
      <c r="AS399" s="0" t="n">
        <f aca="false">AH399-AR399</f>
        <v>0</v>
      </c>
    </row>
    <row r="400" customFormat="false" ht="12" hidden="false" customHeight="false" outlineLevel="0" collapsed="false">
      <c r="A400" s="3" t="n">
        <f aca="false">A399+1</f>
        <v>391</v>
      </c>
      <c r="B400" s="3" t="n">
        <f aca="false">IF(A400&lt;$N$4/3,0.1,(IF(A400&gt;2*$N$4/3,0.05,0.12)))</f>
        <v>0.12</v>
      </c>
      <c r="C400" s="4" t="n">
        <f aca="true">RAND()</f>
        <v>0.155901050963043</v>
      </c>
      <c r="D400" s="0" t="n">
        <f aca="false">IF((C400&gt;$M$2),1,0)</f>
        <v>0</v>
      </c>
      <c r="E400" s="0" t="n">
        <f aca="false">1-D400</f>
        <v>1</v>
      </c>
      <c r="F400" s="0" t="n">
        <f aca="true">RAND()</f>
        <v>0.0157216621544095</v>
      </c>
      <c r="G400" s="0" t="n">
        <f aca="false">7.75+F400*10</f>
        <v>7.90721662154409</v>
      </c>
      <c r="H400" s="0" t="n">
        <f aca="false">LOGINV(F400,2.64,1.139)</f>
        <v>1.20868909523779</v>
      </c>
      <c r="I400" s="0" t="n">
        <v>19.5</v>
      </c>
      <c r="J400" s="4" t="n">
        <f aca="true">-LN(RAND())/B400</f>
        <v>2.19609473568556</v>
      </c>
      <c r="K400" s="4" t="n">
        <f aca="false">K399+J400</f>
        <v>4043.14542621299</v>
      </c>
      <c r="L400" s="4" t="n">
        <f aca="false">(1/$J$4)*(1+AB399)</f>
        <v>10</v>
      </c>
      <c r="M400" s="4" t="n">
        <f aca="false">L400+MAX(K400,Y$10:Y399)</f>
        <v>4128.82985076217</v>
      </c>
      <c r="N400" s="4" t="n">
        <f aca="false">K400</f>
        <v>4043.14542621299</v>
      </c>
      <c r="O400" s="4" t="n">
        <f aca="false">M400-K400</f>
        <v>85.6844245491816</v>
      </c>
      <c r="P400" s="4" t="n">
        <f aca="false">N400-K400</f>
        <v>0</v>
      </c>
      <c r="Q400" s="4" t="n">
        <f aca="false">A400-MATCH(K400,$M$9:M399,1)</f>
        <v>8</v>
      </c>
      <c r="R400" s="0" t="n">
        <f aca="false">-G400*(O400/3600)</f>
        <v>-0.188201473889647</v>
      </c>
      <c r="S400" s="0" t="n">
        <f aca="false">-1*I400-(H400*(P400/3600))</f>
        <v>-19.5</v>
      </c>
      <c r="T400" s="0" t="n">
        <f aca="false">-H400*(O400/3600)</f>
        <v>-0.0287682859956447</v>
      </c>
      <c r="U400" s="0" t="n">
        <f aca="false">T400-S400</f>
        <v>19.4712317140044</v>
      </c>
      <c r="V400" s="0" t="n">
        <f aca="false">1/(1+EXP(U400))</f>
        <v>3.49744995773317E-009</v>
      </c>
      <c r="W400" s="0" t="n">
        <f aca="true">RAND()</f>
        <v>0.0115210077060158</v>
      </c>
      <c r="X400" s="0" t="n">
        <f aca="false">IF(W400&lt;V400,1,0)</f>
        <v>0</v>
      </c>
      <c r="Y400" s="0" t="n">
        <f aca="false">(M400*(1-X400)+N400*X400)*D400+M400*E400</f>
        <v>4128.82985076217</v>
      </c>
      <c r="Z400" s="0" t="n">
        <f aca="false">((1-X400)*O400+X400*P400)*D400+E400*O400</f>
        <v>85.6844245491816</v>
      </c>
      <c r="AA400" s="0" t="n">
        <f aca="false">IF(D400*X400&gt;0,AA399,Q400)</f>
        <v>8</v>
      </c>
      <c r="AB400" s="0" t="n">
        <f aca="false">(X400*D400)</f>
        <v>0</v>
      </c>
      <c r="AC400" s="0" t="n">
        <f aca="false">SUM(AB$10:AB399)/K400</f>
        <v>0</v>
      </c>
      <c r="AD400" s="0" t="n">
        <f aca="false">R400*E400+D400*(X400*S400+(1-X400)*T400)</f>
        <v>-0.188201473889647</v>
      </c>
      <c r="AE400" s="0" t="n">
        <f aca="false">Z400</f>
        <v>85.6844245491816</v>
      </c>
      <c r="AF400" s="0" t="n">
        <f aca="false">E400*O400</f>
        <v>85.6844245491816</v>
      </c>
      <c r="AG400" s="0" t="n">
        <f aca="false">((1-X400)*O400+X400*P400)*D400</f>
        <v>0</v>
      </c>
      <c r="AH400" s="0" t="n">
        <f aca="false">D400*(LN(EXP(S400)+EXP(T400)))</f>
        <v>-0</v>
      </c>
      <c r="AJ400" s="0" t="n">
        <f aca="false">$J$5</f>
        <v>10</v>
      </c>
      <c r="AK400" s="4" t="n">
        <f aca="false">AJ400+MAX(K400,AK$10:AK399)</f>
        <v>4128.82985076217</v>
      </c>
      <c r="AL400" s="5" t="n">
        <f aca="false">AK400-K400</f>
        <v>85.6844245491816</v>
      </c>
      <c r="AM400" s="0" t="n">
        <f aca="false">-G400*AL400/3600</f>
        <v>-0.188201473889647</v>
      </c>
      <c r="AN400" s="0" t="n">
        <f aca="false">-H400*AL400/3600</f>
        <v>-0.0287682859956447</v>
      </c>
      <c r="AO400" s="0" t="n">
        <f aca="false">AM400*E400+AN400*D400</f>
        <v>-0.188201473889647</v>
      </c>
      <c r="AP400" s="0" t="n">
        <f aca="false">AL400*D400</f>
        <v>0</v>
      </c>
      <c r="AR400" s="0" t="n">
        <f aca="false">AN400*D400</f>
        <v>-0</v>
      </c>
      <c r="AS400" s="0" t="n">
        <f aca="false">AH400-AR400</f>
        <v>0</v>
      </c>
    </row>
    <row r="401" customFormat="false" ht="12" hidden="false" customHeight="false" outlineLevel="0" collapsed="false">
      <c r="A401" s="3" t="n">
        <f aca="false">A400+1</f>
        <v>392</v>
      </c>
      <c r="B401" s="3" t="n">
        <f aca="false">IF(A401&lt;$N$4/3,0.1,(IF(A401&gt;2*$N$4/3,0.05,0.12)))</f>
        <v>0.12</v>
      </c>
      <c r="C401" s="4" t="n">
        <f aca="true">RAND()</f>
        <v>0.945222841669117</v>
      </c>
      <c r="D401" s="0" t="n">
        <f aca="false">IF((C401&gt;$M$2),1,0)</f>
        <v>1</v>
      </c>
      <c r="E401" s="0" t="n">
        <f aca="false">1-D401</f>
        <v>0</v>
      </c>
      <c r="F401" s="0" t="n">
        <f aca="true">RAND()</f>
        <v>0.519189285048588</v>
      </c>
      <c r="G401" s="0" t="n">
        <f aca="false">7.75+F401*10</f>
        <v>12.9418928504859</v>
      </c>
      <c r="H401" s="0" t="n">
        <f aca="false">LOGINV(F401,2.64,1.139)</f>
        <v>14.8026690227557</v>
      </c>
      <c r="I401" s="0" t="n">
        <v>19.5</v>
      </c>
      <c r="J401" s="4" t="n">
        <f aca="true">-LN(RAND())/B401</f>
        <v>4.06682948761545</v>
      </c>
      <c r="K401" s="4" t="n">
        <f aca="false">K400+J401</f>
        <v>4047.21225570061</v>
      </c>
      <c r="L401" s="4" t="n">
        <f aca="false">(1/$J$4)*(1+AB400)</f>
        <v>10</v>
      </c>
      <c r="M401" s="4" t="n">
        <f aca="false">L401+MAX(K401,Y$10:Y400)</f>
        <v>4138.82985076217</v>
      </c>
      <c r="N401" s="4" t="n">
        <f aca="false">K401</f>
        <v>4047.21225570061</v>
      </c>
      <c r="O401" s="4" t="n">
        <f aca="false">M401-K401</f>
        <v>91.6175950615661</v>
      </c>
      <c r="P401" s="4" t="n">
        <f aca="false">N401-K401</f>
        <v>0</v>
      </c>
      <c r="Q401" s="4" t="n">
        <f aca="false">A401-MATCH(K401,$M$9:M400,1)</f>
        <v>9</v>
      </c>
      <c r="R401" s="0" t="n">
        <f aca="false">-G401*(O401/3600)</f>
        <v>-0.329362527362776</v>
      </c>
      <c r="S401" s="0" t="n">
        <f aca="false">-1*I401-(H401*(P401/3600))</f>
        <v>-19.5</v>
      </c>
      <c r="T401" s="0" t="n">
        <f aca="false">-H401*(O401/3600)</f>
        <v>-0.376718037877007</v>
      </c>
      <c r="U401" s="0" t="n">
        <f aca="false">T401-S401</f>
        <v>19.123281962123</v>
      </c>
      <c r="V401" s="0" t="n">
        <f aca="false">1/(1+EXP(U401))</f>
        <v>4.95295253198485E-009</v>
      </c>
      <c r="W401" s="0" t="n">
        <f aca="true">RAND()</f>
        <v>0.190644573633865</v>
      </c>
      <c r="X401" s="0" t="n">
        <f aca="false">IF(W401&lt;V401,1,0)</f>
        <v>0</v>
      </c>
      <c r="Y401" s="0" t="n">
        <f aca="false">(M401*(1-X401)+N401*X401)*D401+M401*E401</f>
        <v>4138.82985076217</v>
      </c>
      <c r="Z401" s="0" t="n">
        <f aca="false">((1-X401)*O401+X401*P401)*D401+E401*O401</f>
        <v>91.6175950615661</v>
      </c>
      <c r="AA401" s="0" t="n">
        <f aca="false">IF(D401*X401&gt;0,AA400,Q401)</f>
        <v>9</v>
      </c>
      <c r="AB401" s="0" t="n">
        <f aca="false">(X401*D401)</f>
        <v>0</v>
      </c>
      <c r="AC401" s="0" t="n">
        <f aca="false">SUM(AB$10:AB400)/K401</f>
        <v>0</v>
      </c>
      <c r="AD401" s="0" t="n">
        <f aca="false">R401*E401+D401*(X401*S401+(1-X401)*T401)</f>
        <v>-0.376718037877007</v>
      </c>
      <c r="AE401" s="0" t="n">
        <f aca="false">Z401</f>
        <v>91.6175950615661</v>
      </c>
      <c r="AF401" s="0" t="n">
        <f aca="false">E401*O401</f>
        <v>0</v>
      </c>
      <c r="AG401" s="0" t="n">
        <f aca="false">((1-X401)*O401+X401*P401)*D401</f>
        <v>91.6175950615661</v>
      </c>
      <c r="AH401" s="0" t="n">
        <f aca="false">D401*(LN(EXP(S401)+EXP(T401)))</f>
        <v>-0.376718032924054</v>
      </c>
      <c r="AJ401" s="0" t="n">
        <f aca="false">$J$5</f>
        <v>10</v>
      </c>
      <c r="AK401" s="4" t="n">
        <f aca="false">AJ401+MAX(K401,AK$10:AK400)</f>
        <v>4138.82985076217</v>
      </c>
      <c r="AL401" s="5" t="n">
        <f aca="false">AK401-K401</f>
        <v>91.6175950615661</v>
      </c>
      <c r="AM401" s="0" t="n">
        <f aca="false">-G401*AL401/3600</f>
        <v>-0.329362527362776</v>
      </c>
      <c r="AN401" s="0" t="n">
        <f aca="false">-H401*AL401/3600</f>
        <v>-0.376718037877007</v>
      </c>
      <c r="AO401" s="0" t="n">
        <f aca="false">AM401*E401+AN401*D401</f>
        <v>-0.376718037877007</v>
      </c>
      <c r="AP401" s="0" t="n">
        <f aca="false">AL401*D401</f>
        <v>91.6175950615661</v>
      </c>
      <c r="AR401" s="0" t="n">
        <f aca="false">AN401*D401</f>
        <v>-0.376718037877007</v>
      </c>
      <c r="AS401" s="0" t="n">
        <f aca="false">AH401-AR401</f>
        <v>4.95295243707616E-009</v>
      </c>
    </row>
    <row r="402" customFormat="false" ht="12" hidden="false" customHeight="false" outlineLevel="0" collapsed="false">
      <c r="A402" s="3" t="n">
        <f aca="false">A401+1</f>
        <v>393</v>
      </c>
      <c r="B402" s="3" t="n">
        <f aca="false">IF(A402&lt;$N$4/3,0.1,(IF(A402&gt;2*$N$4/3,0.05,0.12)))</f>
        <v>0.12</v>
      </c>
      <c r="C402" s="4" t="n">
        <f aca="true">RAND()</f>
        <v>0.274969232858708</v>
      </c>
      <c r="D402" s="0" t="n">
        <f aca="false">IF((C402&gt;$M$2),1,0)</f>
        <v>0</v>
      </c>
      <c r="E402" s="0" t="n">
        <f aca="false">1-D402</f>
        <v>1</v>
      </c>
      <c r="F402" s="0" t="n">
        <f aca="true">RAND()</f>
        <v>0.863620990489616</v>
      </c>
      <c r="G402" s="0" t="n">
        <f aca="false">7.75+F402*10</f>
        <v>16.3862099048962</v>
      </c>
      <c r="H402" s="0" t="n">
        <f aca="false">LOGINV(F402,2.64,1.139)</f>
        <v>48.8707552948829</v>
      </c>
      <c r="I402" s="0" t="n">
        <v>19.5</v>
      </c>
      <c r="J402" s="4" t="n">
        <f aca="true">-LN(RAND())/B402</f>
        <v>0.427804658504524</v>
      </c>
      <c r="K402" s="4" t="n">
        <f aca="false">K401+J402</f>
        <v>4047.64006035911</v>
      </c>
      <c r="L402" s="4" t="n">
        <f aca="false">(1/$J$4)*(1+AB401)</f>
        <v>10</v>
      </c>
      <c r="M402" s="4" t="n">
        <f aca="false">L402+MAX(K402,Y$10:Y401)</f>
        <v>4148.82985076217</v>
      </c>
      <c r="N402" s="4" t="n">
        <f aca="false">K402</f>
        <v>4047.64006035911</v>
      </c>
      <c r="O402" s="4" t="n">
        <f aca="false">M402-K402</f>
        <v>101.189790403062</v>
      </c>
      <c r="P402" s="4" t="n">
        <f aca="false">N402-K402</f>
        <v>0</v>
      </c>
      <c r="Q402" s="4" t="n">
        <f aca="false">A402-MATCH(K402,$M$9:M401,1)</f>
        <v>10</v>
      </c>
      <c r="R402" s="0" t="n">
        <f aca="false">-G402*(O402/3600)</f>
        <v>-0.46058809604917</v>
      </c>
      <c r="S402" s="0" t="n">
        <f aca="false">-1*I402-(H402*(P402/3600))</f>
        <v>-19.5</v>
      </c>
      <c r="T402" s="0" t="n">
        <f aca="false">-H402*(O402/3600)</f>
        <v>-1.37367263475792</v>
      </c>
      <c r="U402" s="0" t="n">
        <f aca="false">T402-S402</f>
        <v>18.1263273652421</v>
      </c>
      <c r="V402" s="0" t="n">
        <f aca="false">1/(1+EXP(U402))</f>
        <v>1.34225812730428E-008</v>
      </c>
      <c r="W402" s="0" t="n">
        <f aca="true">RAND()</f>
        <v>0.257796549003417</v>
      </c>
      <c r="X402" s="0" t="n">
        <f aca="false">IF(W402&lt;V402,1,0)</f>
        <v>0</v>
      </c>
      <c r="Y402" s="0" t="n">
        <f aca="false">(M402*(1-X402)+N402*X402)*D402+M402*E402</f>
        <v>4148.82985076217</v>
      </c>
      <c r="Z402" s="0" t="n">
        <f aca="false">((1-X402)*O402+X402*P402)*D402+E402*O402</f>
        <v>101.189790403062</v>
      </c>
      <c r="AA402" s="0" t="n">
        <f aca="false">IF(D402*X402&gt;0,AA401,Q402)</f>
        <v>10</v>
      </c>
      <c r="AB402" s="0" t="n">
        <f aca="false">(X402*D402)</f>
        <v>0</v>
      </c>
      <c r="AC402" s="0" t="n">
        <f aca="false">SUM(AB$10:AB401)/K402</f>
        <v>0</v>
      </c>
      <c r="AD402" s="0" t="n">
        <f aca="false">R402*E402+D402*(X402*S402+(1-X402)*T402)</f>
        <v>-0.46058809604917</v>
      </c>
      <c r="AE402" s="0" t="n">
        <f aca="false">Z402</f>
        <v>101.189790403062</v>
      </c>
      <c r="AF402" s="0" t="n">
        <f aca="false">E402*O402</f>
        <v>101.189790403062</v>
      </c>
      <c r="AG402" s="0" t="n">
        <f aca="false">((1-X402)*O402+X402*P402)*D402</f>
        <v>0</v>
      </c>
      <c r="AH402" s="0" t="n">
        <f aca="false">D402*(LN(EXP(S402)+EXP(T402)))</f>
        <v>-0</v>
      </c>
      <c r="AJ402" s="0" t="n">
        <f aca="false">$J$5</f>
        <v>10</v>
      </c>
      <c r="AK402" s="4" t="n">
        <f aca="false">AJ402+MAX(K402,AK$10:AK401)</f>
        <v>4148.82985076217</v>
      </c>
      <c r="AL402" s="5" t="n">
        <f aca="false">AK402-K402</f>
        <v>101.189790403062</v>
      </c>
      <c r="AM402" s="0" t="n">
        <f aca="false">-G402*AL402/3600</f>
        <v>-0.46058809604917</v>
      </c>
      <c r="AN402" s="0" t="n">
        <f aca="false">-H402*AL402/3600</f>
        <v>-1.37367263475792</v>
      </c>
      <c r="AO402" s="0" t="n">
        <f aca="false">AM402*E402+AN402*D402</f>
        <v>-0.46058809604917</v>
      </c>
      <c r="AP402" s="0" t="n">
        <f aca="false">AL402*D402</f>
        <v>0</v>
      </c>
      <c r="AR402" s="0" t="n">
        <f aca="false">AN402*D402</f>
        <v>-0</v>
      </c>
      <c r="AS402" s="0" t="n">
        <f aca="false">AH402-AR402</f>
        <v>0</v>
      </c>
    </row>
    <row r="403" customFormat="false" ht="12" hidden="false" customHeight="false" outlineLevel="0" collapsed="false">
      <c r="A403" s="3" t="n">
        <f aca="false">A402+1</f>
        <v>394</v>
      </c>
      <c r="B403" s="3" t="n">
        <f aca="false">IF(A403&lt;$N$4/3,0.1,(IF(A403&gt;2*$N$4/3,0.05,0.12)))</f>
        <v>0.12</v>
      </c>
      <c r="C403" s="4" t="n">
        <f aca="true">RAND()</f>
        <v>0.397313779169008</v>
      </c>
      <c r="D403" s="0" t="n">
        <f aca="false">IF((C403&gt;$M$2),1,0)</f>
        <v>0</v>
      </c>
      <c r="E403" s="0" t="n">
        <f aca="false">1-D403</f>
        <v>1</v>
      </c>
      <c r="F403" s="0" t="n">
        <f aca="true">RAND()</f>
        <v>0.493998202088845</v>
      </c>
      <c r="G403" s="0" t="n">
        <f aca="false">7.75+F403*10</f>
        <v>12.6899820208884</v>
      </c>
      <c r="H403" s="0" t="n">
        <f aca="false">LOGINV(F403,2.64,1.139)</f>
        <v>13.7751180216438</v>
      </c>
      <c r="I403" s="0" t="n">
        <v>19.5</v>
      </c>
      <c r="J403" s="4" t="n">
        <f aca="true">-LN(RAND())/B403</f>
        <v>3.19349359057706</v>
      </c>
      <c r="K403" s="4" t="n">
        <f aca="false">K402+J403</f>
        <v>4050.83355394969</v>
      </c>
      <c r="L403" s="4" t="n">
        <f aca="false">(1/$J$4)*(1+AB402)</f>
        <v>10</v>
      </c>
      <c r="M403" s="4" t="n">
        <f aca="false">L403+MAX(K403,Y$10:Y402)</f>
        <v>4158.82985076217</v>
      </c>
      <c r="N403" s="4" t="n">
        <f aca="false">K403</f>
        <v>4050.83355394969</v>
      </c>
      <c r="O403" s="4" t="n">
        <f aca="false">M403-K403</f>
        <v>107.996296812485</v>
      </c>
      <c r="P403" s="4" t="n">
        <f aca="false">N403-K403</f>
        <v>0</v>
      </c>
      <c r="Q403" s="4" t="n">
        <f aca="false">A403-MATCH(K403,$M$9:M402,1)</f>
        <v>10</v>
      </c>
      <c r="R403" s="0" t="n">
        <f aca="false">-G403*(O403/3600)</f>
        <v>-0.380686406909156</v>
      </c>
      <c r="S403" s="0" t="n">
        <f aca="false">-1*I403-(H403*(P403/3600))</f>
        <v>-19.5</v>
      </c>
      <c r="T403" s="0" t="n">
        <f aca="false">-H403*(O403/3600)</f>
        <v>-0.413239370692347</v>
      </c>
      <c r="U403" s="0" t="n">
        <f aca="false">T403-S403</f>
        <v>19.0867606293077</v>
      </c>
      <c r="V403" s="0" t="n">
        <f aca="false">1/(1+EXP(U403))</f>
        <v>5.13718468369124E-009</v>
      </c>
      <c r="W403" s="0" t="n">
        <f aca="true">RAND()</f>
        <v>0.858008149397201</v>
      </c>
      <c r="X403" s="0" t="n">
        <f aca="false">IF(W403&lt;V403,1,0)</f>
        <v>0</v>
      </c>
      <c r="Y403" s="0" t="n">
        <f aca="false">(M403*(1-X403)+N403*X403)*D403+M403*E403</f>
        <v>4158.82985076217</v>
      </c>
      <c r="Z403" s="0" t="n">
        <f aca="false">((1-X403)*O403+X403*P403)*D403+E403*O403</f>
        <v>107.996296812485</v>
      </c>
      <c r="AA403" s="0" t="n">
        <f aca="false">IF(D403*X403&gt;0,AA402,Q403)</f>
        <v>10</v>
      </c>
      <c r="AB403" s="0" t="n">
        <f aca="false">(X403*D403)</f>
        <v>0</v>
      </c>
      <c r="AC403" s="0" t="n">
        <f aca="false">SUM(AB$10:AB402)/K403</f>
        <v>0</v>
      </c>
      <c r="AD403" s="0" t="n">
        <f aca="false">R403*E403+D403*(X403*S403+(1-X403)*T403)</f>
        <v>-0.380686406909156</v>
      </c>
      <c r="AE403" s="0" t="n">
        <f aca="false">Z403</f>
        <v>107.996296812485</v>
      </c>
      <c r="AF403" s="0" t="n">
        <f aca="false">E403*O403</f>
        <v>107.996296812485</v>
      </c>
      <c r="AG403" s="0" t="n">
        <f aca="false">((1-X403)*O403+X403*P403)*D403</f>
        <v>0</v>
      </c>
      <c r="AH403" s="0" t="n">
        <f aca="false">D403*(LN(EXP(S403)+EXP(T403)))</f>
        <v>-0</v>
      </c>
      <c r="AJ403" s="0" t="n">
        <f aca="false">$J$5</f>
        <v>10</v>
      </c>
      <c r="AK403" s="4" t="n">
        <f aca="false">AJ403+MAX(K403,AK$10:AK402)</f>
        <v>4158.82985076217</v>
      </c>
      <c r="AL403" s="5" t="n">
        <f aca="false">AK403-K403</f>
        <v>107.996296812485</v>
      </c>
      <c r="AM403" s="0" t="n">
        <f aca="false">-G403*AL403/3600</f>
        <v>-0.380686406909156</v>
      </c>
      <c r="AN403" s="0" t="n">
        <f aca="false">-H403*AL403/3600</f>
        <v>-0.413239370692347</v>
      </c>
      <c r="AO403" s="0" t="n">
        <f aca="false">AM403*E403+AN403*D403</f>
        <v>-0.380686406909156</v>
      </c>
      <c r="AP403" s="0" t="n">
        <f aca="false">AL403*D403</f>
        <v>0</v>
      </c>
      <c r="AR403" s="0" t="n">
        <f aca="false">AN403*D403</f>
        <v>-0</v>
      </c>
      <c r="AS403" s="0" t="n">
        <f aca="false">AH403-AR403</f>
        <v>0</v>
      </c>
    </row>
    <row r="404" customFormat="false" ht="12" hidden="false" customHeight="false" outlineLevel="0" collapsed="false">
      <c r="A404" s="3" t="n">
        <f aca="false">A403+1</f>
        <v>395</v>
      </c>
      <c r="B404" s="3" t="n">
        <f aca="false">IF(A404&lt;$N$4/3,0.1,(IF(A404&gt;2*$N$4/3,0.05,0.12)))</f>
        <v>0.12</v>
      </c>
      <c r="C404" s="4" t="n">
        <f aca="true">RAND()</f>
        <v>0.687341626419938</v>
      </c>
      <c r="D404" s="0" t="n">
        <f aca="false">IF((C404&gt;$M$2),1,0)</f>
        <v>0</v>
      </c>
      <c r="E404" s="0" t="n">
        <f aca="false">1-D404</f>
        <v>1</v>
      </c>
      <c r="F404" s="0" t="n">
        <f aca="true">RAND()</f>
        <v>0.36938589467772</v>
      </c>
      <c r="G404" s="0" t="n">
        <f aca="false">7.75+F404*10</f>
        <v>11.4438589467772</v>
      </c>
      <c r="H404" s="0" t="n">
        <f aca="false">LOGINV(F404,2.64,1.139)</f>
        <v>9.58467995998916</v>
      </c>
      <c r="I404" s="0" t="n">
        <v>19.5</v>
      </c>
      <c r="J404" s="4" t="n">
        <f aca="true">-LN(RAND())/B404</f>
        <v>1.76578894994489</v>
      </c>
      <c r="K404" s="4" t="n">
        <f aca="false">K403+J404</f>
        <v>4052.59934289963</v>
      </c>
      <c r="L404" s="4" t="n">
        <f aca="false">(1/$J$4)*(1+AB403)</f>
        <v>10</v>
      </c>
      <c r="M404" s="4" t="n">
        <f aca="false">L404+MAX(K404,Y$10:Y403)</f>
        <v>4168.82985076217</v>
      </c>
      <c r="N404" s="4" t="n">
        <f aca="false">K404</f>
        <v>4052.59934289963</v>
      </c>
      <c r="O404" s="4" t="n">
        <f aca="false">M404-K404</f>
        <v>116.23050786254</v>
      </c>
      <c r="P404" s="4" t="n">
        <f aca="false">N404-K404</f>
        <v>0</v>
      </c>
      <c r="Q404" s="4" t="n">
        <f aca="false">A404-MATCH(K404,$M$9:M403,1)</f>
        <v>11</v>
      </c>
      <c r="R404" s="0" t="n">
        <f aca="false">-G404*(O404/3600)</f>
        <v>-0.369479315914217</v>
      </c>
      <c r="S404" s="0" t="n">
        <f aca="false">-1*I404-(H404*(P404/3600))</f>
        <v>-19.5</v>
      </c>
      <c r="T404" s="0" t="n">
        <f aca="false">-H404*(O404/3600)</f>
        <v>-0.309453394291513</v>
      </c>
      <c r="U404" s="0" t="n">
        <f aca="false">T404-S404</f>
        <v>19.1905466057085</v>
      </c>
      <c r="V404" s="0" t="n">
        <f aca="false">1/(1+EXP(U404))</f>
        <v>4.63075178092417E-009</v>
      </c>
      <c r="W404" s="0" t="n">
        <f aca="true">RAND()</f>
        <v>0.878706604495026</v>
      </c>
      <c r="X404" s="0" t="n">
        <f aca="false">IF(W404&lt;V404,1,0)</f>
        <v>0</v>
      </c>
      <c r="Y404" s="0" t="n">
        <f aca="false">(M404*(1-X404)+N404*X404)*D404+M404*E404</f>
        <v>4168.82985076217</v>
      </c>
      <c r="Z404" s="0" t="n">
        <f aca="false">((1-X404)*O404+X404*P404)*D404+E404*O404</f>
        <v>116.23050786254</v>
      </c>
      <c r="AA404" s="0" t="n">
        <f aca="false">IF(D404*X404&gt;0,AA403,Q404)</f>
        <v>11</v>
      </c>
      <c r="AB404" s="0" t="n">
        <f aca="false">(X404*D404)</f>
        <v>0</v>
      </c>
      <c r="AC404" s="0" t="n">
        <f aca="false">SUM(AB$10:AB403)/K404</f>
        <v>0</v>
      </c>
      <c r="AD404" s="0" t="n">
        <f aca="false">R404*E404+D404*(X404*S404+(1-X404)*T404)</f>
        <v>-0.369479315914217</v>
      </c>
      <c r="AE404" s="0" t="n">
        <f aca="false">Z404</f>
        <v>116.23050786254</v>
      </c>
      <c r="AF404" s="0" t="n">
        <f aca="false">E404*O404</f>
        <v>116.23050786254</v>
      </c>
      <c r="AG404" s="0" t="n">
        <f aca="false">((1-X404)*O404+X404*P404)*D404</f>
        <v>0</v>
      </c>
      <c r="AH404" s="0" t="n">
        <f aca="false">D404*(LN(EXP(S404)+EXP(T404)))</f>
        <v>-0</v>
      </c>
      <c r="AJ404" s="0" t="n">
        <f aca="false">$J$5</f>
        <v>10</v>
      </c>
      <c r="AK404" s="4" t="n">
        <f aca="false">AJ404+MAX(K404,AK$10:AK403)</f>
        <v>4168.82985076217</v>
      </c>
      <c r="AL404" s="5" t="n">
        <f aca="false">AK404-K404</f>
        <v>116.23050786254</v>
      </c>
      <c r="AM404" s="0" t="n">
        <f aca="false">-G404*AL404/3600</f>
        <v>-0.369479315914217</v>
      </c>
      <c r="AN404" s="0" t="n">
        <f aca="false">-H404*AL404/3600</f>
        <v>-0.309453394291513</v>
      </c>
      <c r="AO404" s="0" t="n">
        <f aca="false">AM404*E404+AN404*D404</f>
        <v>-0.369479315914217</v>
      </c>
      <c r="AP404" s="0" t="n">
        <f aca="false">AL404*D404</f>
        <v>0</v>
      </c>
      <c r="AR404" s="0" t="n">
        <f aca="false">AN404*D404</f>
        <v>-0</v>
      </c>
      <c r="AS404" s="0" t="n">
        <f aca="false">AH404-AR404</f>
        <v>0</v>
      </c>
    </row>
    <row r="405" customFormat="false" ht="12" hidden="false" customHeight="false" outlineLevel="0" collapsed="false">
      <c r="A405" s="3" t="n">
        <f aca="false">A404+1</f>
        <v>396</v>
      </c>
      <c r="B405" s="3" t="n">
        <f aca="false">IF(A405&lt;$N$4/3,0.1,(IF(A405&gt;2*$N$4/3,0.05,0.12)))</f>
        <v>0.12</v>
      </c>
      <c r="C405" s="4" t="n">
        <f aca="true">RAND()</f>
        <v>0.202464632671495</v>
      </c>
      <c r="D405" s="0" t="n">
        <f aca="false">IF((C405&gt;$M$2),1,0)</f>
        <v>0</v>
      </c>
      <c r="E405" s="0" t="n">
        <f aca="false">1-D405</f>
        <v>1</v>
      </c>
      <c r="F405" s="0" t="n">
        <f aca="true">RAND()</f>
        <v>0.377252715375788</v>
      </c>
      <c r="G405" s="0" t="n">
        <f aca="false">7.75+F405*10</f>
        <v>11.5225271537579</v>
      </c>
      <c r="H405" s="0" t="n">
        <f aca="false">LOGINV(F405,2.64,1.139)</f>
        <v>9.81419645966847</v>
      </c>
      <c r="I405" s="0" t="n">
        <v>19.5</v>
      </c>
      <c r="J405" s="4" t="n">
        <f aca="true">-LN(RAND())/B405</f>
        <v>1.04852029342904</v>
      </c>
      <c r="K405" s="4" t="n">
        <f aca="false">K404+J405</f>
        <v>4053.64786319306</v>
      </c>
      <c r="L405" s="4" t="n">
        <f aca="false">(1/$J$4)*(1+AB404)</f>
        <v>10</v>
      </c>
      <c r="M405" s="4" t="n">
        <f aca="false">L405+MAX(K405,Y$10:Y404)</f>
        <v>4178.82985076217</v>
      </c>
      <c r="N405" s="4" t="n">
        <f aca="false">K405</f>
        <v>4053.64786319306</v>
      </c>
      <c r="O405" s="4" t="n">
        <f aca="false">M405-K405</f>
        <v>125.18198756911</v>
      </c>
      <c r="P405" s="4" t="n">
        <f aca="false">N405-K405</f>
        <v>0</v>
      </c>
      <c r="Q405" s="4" t="n">
        <f aca="false">A405-MATCH(K405,$M$9:M404,1)</f>
        <v>12</v>
      </c>
      <c r="R405" s="0" t="n">
        <f aca="false">-G405*(O405/3600)</f>
        <v>-0.40067023636846</v>
      </c>
      <c r="S405" s="0" t="n">
        <f aca="false">-1*I405-(H405*(P405/3600))</f>
        <v>-19.5</v>
      </c>
      <c r="T405" s="0" t="n">
        <f aca="false">-H405*(O405/3600)</f>
        <v>-0.34126683867084</v>
      </c>
      <c r="U405" s="0" t="n">
        <f aca="false">T405-S405</f>
        <v>19.1587331613292</v>
      </c>
      <c r="V405" s="0" t="n">
        <f aca="false">1/(1+EXP(U405))</f>
        <v>4.78044037459817E-009</v>
      </c>
      <c r="W405" s="0" t="n">
        <f aca="true">RAND()</f>
        <v>0.155364223985143</v>
      </c>
      <c r="X405" s="0" t="n">
        <f aca="false">IF(W405&lt;V405,1,0)</f>
        <v>0</v>
      </c>
      <c r="Y405" s="0" t="n">
        <f aca="false">(M405*(1-X405)+N405*X405)*D405+M405*E405</f>
        <v>4178.82985076217</v>
      </c>
      <c r="Z405" s="0" t="n">
        <f aca="false">((1-X405)*O405+X405*P405)*D405+E405*O405</f>
        <v>125.18198756911</v>
      </c>
      <c r="AA405" s="0" t="n">
        <f aca="false">IF(D405*X405&gt;0,AA404,Q405)</f>
        <v>12</v>
      </c>
      <c r="AB405" s="0" t="n">
        <f aca="false">(X405*D405)</f>
        <v>0</v>
      </c>
      <c r="AC405" s="0" t="n">
        <f aca="false">SUM(AB$10:AB404)/K405</f>
        <v>0</v>
      </c>
      <c r="AD405" s="0" t="n">
        <f aca="false">R405*E405+D405*(X405*S405+(1-X405)*T405)</f>
        <v>-0.40067023636846</v>
      </c>
      <c r="AE405" s="0" t="n">
        <f aca="false">Z405</f>
        <v>125.18198756911</v>
      </c>
      <c r="AF405" s="0" t="n">
        <f aca="false">E405*O405</f>
        <v>125.18198756911</v>
      </c>
      <c r="AG405" s="0" t="n">
        <f aca="false">((1-X405)*O405+X405*P405)*D405</f>
        <v>0</v>
      </c>
      <c r="AH405" s="0" t="n">
        <f aca="false">D405*(LN(EXP(S405)+EXP(T405)))</f>
        <v>-0</v>
      </c>
      <c r="AJ405" s="0" t="n">
        <f aca="false">$J$5</f>
        <v>10</v>
      </c>
      <c r="AK405" s="4" t="n">
        <f aca="false">AJ405+MAX(K405,AK$10:AK404)</f>
        <v>4178.82985076217</v>
      </c>
      <c r="AL405" s="5" t="n">
        <f aca="false">AK405-K405</f>
        <v>125.18198756911</v>
      </c>
      <c r="AM405" s="0" t="n">
        <f aca="false">-G405*AL405/3600</f>
        <v>-0.40067023636846</v>
      </c>
      <c r="AN405" s="0" t="n">
        <f aca="false">-H405*AL405/3600</f>
        <v>-0.34126683867084</v>
      </c>
      <c r="AO405" s="0" t="n">
        <f aca="false">AM405*E405+AN405*D405</f>
        <v>-0.40067023636846</v>
      </c>
      <c r="AP405" s="0" t="n">
        <f aca="false">AL405*D405</f>
        <v>0</v>
      </c>
      <c r="AR405" s="0" t="n">
        <f aca="false">AN405*D405</f>
        <v>-0</v>
      </c>
      <c r="AS405" s="0" t="n">
        <f aca="false">AH405-AR405</f>
        <v>0</v>
      </c>
    </row>
    <row r="406" customFormat="false" ht="12" hidden="false" customHeight="false" outlineLevel="0" collapsed="false">
      <c r="A406" s="3" t="n">
        <f aca="false">A405+1</f>
        <v>397</v>
      </c>
      <c r="B406" s="3" t="n">
        <f aca="false">IF(A406&lt;$N$4/3,0.1,(IF(A406&gt;2*$N$4/3,0.05,0.12)))</f>
        <v>0.12</v>
      </c>
      <c r="C406" s="4" t="n">
        <f aca="true">RAND()</f>
        <v>0.149796365028217</v>
      </c>
      <c r="D406" s="0" t="n">
        <f aca="false">IF((C406&gt;$M$2),1,0)</f>
        <v>0</v>
      </c>
      <c r="E406" s="0" t="n">
        <f aca="false">1-D406</f>
        <v>1</v>
      </c>
      <c r="F406" s="0" t="n">
        <f aca="true">RAND()</f>
        <v>0.117892353638643</v>
      </c>
      <c r="G406" s="0" t="n">
        <f aca="false">7.75+F406*10</f>
        <v>8.92892353638643</v>
      </c>
      <c r="H406" s="0" t="n">
        <f aca="false">LOGINV(F406,2.64,1.139)</f>
        <v>3.63138565556082</v>
      </c>
      <c r="I406" s="0" t="n">
        <v>19.5</v>
      </c>
      <c r="J406" s="4" t="n">
        <f aca="true">-LN(RAND())/B406</f>
        <v>1.59186596155798</v>
      </c>
      <c r="K406" s="4" t="n">
        <f aca="false">K405+J406</f>
        <v>4055.23972915462</v>
      </c>
      <c r="L406" s="4" t="n">
        <f aca="false">(1/$J$4)*(1+AB405)</f>
        <v>10</v>
      </c>
      <c r="M406" s="4" t="n">
        <f aca="false">L406+MAX(K406,Y$10:Y405)</f>
        <v>4188.82985076217</v>
      </c>
      <c r="N406" s="4" t="n">
        <f aca="false">K406</f>
        <v>4055.23972915462</v>
      </c>
      <c r="O406" s="4" t="n">
        <f aca="false">M406-K406</f>
        <v>133.590121607552</v>
      </c>
      <c r="P406" s="4" t="n">
        <f aca="false">N406-K406</f>
        <v>0</v>
      </c>
      <c r="Q406" s="4" t="n">
        <f aca="false">A406-MATCH(K406,$M$9:M405,1)</f>
        <v>13</v>
      </c>
      <c r="R406" s="0" t="n">
        <f aca="false">-G406*(O406/3600)</f>
        <v>-0.331337772514</v>
      </c>
      <c r="S406" s="0" t="n">
        <f aca="false">-1*I406-(H406*(P406/3600))</f>
        <v>-19.5</v>
      </c>
      <c r="T406" s="0" t="n">
        <f aca="false">-H406*(O406/3600)</f>
        <v>-0.134754792036192</v>
      </c>
      <c r="U406" s="0" t="n">
        <f aca="false">T406-S406</f>
        <v>19.3652452079638</v>
      </c>
      <c r="V406" s="0" t="n">
        <f aca="false">1/(1+EXP(U406))</f>
        <v>3.8884889020084E-009</v>
      </c>
      <c r="W406" s="0" t="n">
        <f aca="true">RAND()</f>
        <v>0.00506859335137083</v>
      </c>
      <c r="X406" s="0" t="n">
        <f aca="false">IF(W406&lt;V406,1,0)</f>
        <v>0</v>
      </c>
      <c r="Y406" s="0" t="n">
        <f aca="false">(M406*(1-X406)+N406*X406)*D406+M406*E406</f>
        <v>4188.82985076217</v>
      </c>
      <c r="Z406" s="0" t="n">
        <f aca="false">((1-X406)*O406+X406*P406)*D406+E406*O406</f>
        <v>133.590121607552</v>
      </c>
      <c r="AA406" s="0" t="n">
        <f aca="false">IF(D406*X406&gt;0,AA405,Q406)</f>
        <v>13</v>
      </c>
      <c r="AB406" s="0" t="n">
        <f aca="false">(X406*D406)</f>
        <v>0</v>
      </c>
      <c r="AC406" s="0" t="n">
        <f aca="false">SUM(AB$10:AB405)/K406</f>
        <v>0</v>
      </c>
      <c r="AD406" s="0" t="n">
        <f aca="false">R406*E406+D406*(X406*S406+(1-X406)*T406)</f>
        <v>-0.331337772514</v>
      </c>
      <c r="AE406" s="0" t="n">
        <f aca="false">Z406</f>
        <v>133.590121607552</v>
      </c>
      <c r="AF406" s="0" t="n">
        <f aca="false">E406*O406</f>
        <v>133.590121607552</v>
      </c>
      <c r="AG406" s="0" t="n">
        <f aca="false">((1-X406)*O406+X406*P406)*D406</f>
        <v>0</v>
      </c>
      <c r="AH406" s="0" t="n">
        <f aca="false">D406*(LN(EXP(S406)+EXP(T406)))</f>
        <v>-0</v>
      </c>
      <c r="AJ406" s="0" t="n">
        <f aca="false">$J$5</f>
        <v>10</v>
      </c>
      <c r="AK406" s="4" t="n">
        <f aca="false">AJ406+MAX(K406,AK$10:AK405)</f>
        <v>4188.82985076217</v>
      </c>
      <c r="AL406" s="5" t="n">
        <f aca="false">AK406-K406</f>
        <v>133.590121607552</v>
      </c>
      <c r="AM406" s="0" t="n">
        <f aca="false">-G406*AL406/3600</f>
        <v>-0.331337772514</v>
      </c>
      <c r="AN406" s="0" t="n">
        <f aca="false">-H406*AL406/3600</f>
        <v>-0.134754792036192</v>
      </c>
      <c r="AO406" s="0" t="n">
        <f aca="false">AM406*E406+AN406*D406</f>
        <v>-0.331337772514</v>
      </c>
      <c r="AP406" s="0" t="n">
        <f aca="false">AL406*D406</f>
        <v>0</v>
      </c>
      <c r="AR406" s="0" t="n">
        <f aca="false">AN406*D406</f>
        <v>-0</v>
      </c>
      <c r="AS406" s="0" t="n">
        <f aca="false">AH406-AR406</f>
        <v>0</v>
      </c>
    </row>
    <row r="407" customFormat="false" ht="12" hidden="false" customHeight="false" outlineLevel="0" collapsed="false">
      <c r="A407" s="3" t="n">
        <f aca="false">A406+1</f>
        <v>398</v>
      </c>
      <c r="B407" s="3" t="n">
        <f aca="false">IF(A407&lt;$N$4/3,0.1,(IF(A407&gt;2*$N$4/3,0.05,0.12)))</f>
        <v>0.12</v>
      </c>
      <c r="C407" s="4" t="n">
        <f aca="true">RAND()</f>
        <v>0.579527369509568</v>
      </c>
      <c r="D407" s="0" t="n">
        <f aca="false">IF((C407&gt;$M$2),1,0)</f>
        <v>0</v>
      </c>
      <c r="E407" s="0" t="n">
        <f aca="false">1-D407</f>
        <v>1</v>
      </c>
      <c r="F407" s="0" t="n">
        <f aca="true">RAND()</f>
        <v>0.87102875161411</v>
      </c>
      <c r="G407" s="0" t="n">
        <f aca="false">7.75+F407*10</f>
        <v>16.4602875161411</v>
      </c>
      <c r="H407" s="0" t="n">
        <f aca="false">LOGINV(F407,2.64,1.139)</f>
        <v>50.8313730049248</v>
      </c>
      <c r="I407" s="0" t="n">
        <v>19.5</v>
      </c>
      <c r="J407" s="4" t="n">
        <f aca="true">-LN(RAND())/B407</f>
        <v>8.88144601960078</v>
      </c>
      <c r="K407" s="4" t="n">
        <f aca="false">K406+J407</f>
        <v>4064.12117517422</v>
      </c>
      <c r="L407" s="4" t="n">
        <f aca="false">(1/$J$4)*(1+AB406)</f>
        <v>10</v>
      </c>
      <c r="M407" s="4" t="n">
        <f aca="false">L407+MAX(K407,Y$10:Y406)</f>
        <v>4198.82985076217</v>
      </c>
      <c r="N407" s="4" t="n">
        <f aca="false">K407</f>
        <v>4064.12117517422</v>
      </c>
      <c r="O407" s="4" t="n">
        <f aca="false">M407-K407</f>
        <v>134.708675587951</v>
      </c>
      <c r="P407" s="4" t="n">
        <f aca="false">N407-K407</f>
        <v>0</v>
      </c>
      <c r="Q407" s="4" t="n">
        <f aca="false">A407-MATCH(K407,$M$9:M406,1)</f>
        <v>13</v>
      </c>
      <c r="R407" s="0" t="n">
        <f aca="false">-G407*(O407/3600)</f>
        <v>-0.615928758637849</v>
      </c>
      <c r="S407" s="0" t="n">
        <f aca="false">-1*I407-(H407*(P407/3600))</f>
        <v>-19.5</v>
      </c>
      <c r="T407" s="0" t="n">
        <f aca="false">-H407*(O407/3600)</f>
        <v>-1.90206303772516</v>
      </c>
      <c r="U407" s="0" t="n">
        <f aca="false">T407-S407</f>
        <v>17.5979369622748</v>
      </c>
      <c r="V407" s="0" t="n">
        <f aca="false">1/(1+EXP(U407))</f>
        <v>2.27673809591704E-008</v>
      </c>
      <c r="W407" s="0" t="n">
        <f aca="true">RAND()</f>
        <v>0.153613032347548</v>
      </c>
      <c r="X407" s="0" t="n">
        <f aca="false">IF(W407&lt;V407,1,0)</f>
        <v>0</v>
      </c>
      <c r="Y407" s="0" t="n">
        <f aca="false">(M407*(1-X407)+N407*X407)*D407+M407*E407</f>
        <v>4198.82985076217</v>
      </c>
      <c r="Z407" s="0" t="n">
        <f aca="false">((1-X407)*O407+X407*P407)*D407+E407*O407</f>
        <v>134.708675587951</v>
      </c>
      <c r="AA407" s="0" t="n">
        <f aca="false">IF(D407*X407&gt;0,AA406,Q407)</f>
        <v>13</v>
      </c>
      <c r="AB407" s="0" t="n">
        <f aca="false">(X407*D407)</f>
        <v>0</v>
      </c>
      <c r="AC407" s="0" t="n">
        <f aca="false">SUM(AB$10:AB406)/K407</f>
        <v>0</v>
      </c>
      <c r="AD407" s="0" t="n">
        <f aca="false">R407*E407+D407*(X407*S407+(1-X407)*T407)</f>
        <v>-0.615928758637849</v>
      </c>
      <c r="AE407" s="0" t="n">
        <f aca="false">Z407</f>
        <v>134.708675587951</v>
      </c>
      <c r="AF407" s="0" t="n">
        <f aca="false">E407*O407</f>
        <v>134.708675587951</v>
      </c>
      <c r="AG407" s="0" t="n">
        <f aca="false">((1-X407)*O407+X407*P407)*D407</f>
        <v>0</v>
      </c>
      <c r="AH407" s="0" t="n">
        <f aca="false">D407*(LN(EXP(S407)+EXP(T407)))</f>
        <v>-0</v>
      </c>
      <c r="AJ407" s="0" t="n">
        <f aca="false">$J$5</f>
        <v>10</v>
      </c>
      <c r="AK407" s="4" t="n">
        <f aca="false">AJ407+MAX(K407,AK$10:AK406)</f>
        <v>4198.82985076217</v>
      </c>
      <c r="AL407" s="5" t="n">
        <f aca="false">AK407-K407</f>
        <v>134.708675587951</v>
      </c>
      <c r="AM407" s="0" t="n">
        <f aca="false">-G407*AL407/3600</f>
        <v>-0.615928758637849</v>
      </c>
      <c r="AN407" s="0" t="n">
        <f aca="false">-H407*AL407/3600</f>
        <v>-1.90206303772516</v>
      </c>
      <c r="AO407" s="0" t="n">
        <f aca="false">AM407*E407+AN407*D407</f>
        <v>-0.615928758637849</v>
      </c>
      <c r="AP407" s="0" t="n">
        <f aca="false">AL407*D407</f>
        <v>0</v>
      </c>
      <c r="AR407" s="0" t="n">
        <f aca="false">AN407*D407</f>
        <v>-0</v>
      </c>
      <c r="AS407" s="0" t="n">
        <f aca="false">AH407-AR407</f>
        <v>0</v>
      </c>
    </row>
    <row r="408" customFormat="false" ht="12" hidden="false" customHeight="false" outlineLevel="0" collapsed="false">
      <c r="A408" s="3" t="n">
        <f aca="false">A407+1</f>
        <v>399</v>
      </c>
      <c r="B408" s="3" t="n">
        <f aca="false">IF(A408&lt;$N$4/3,0.1,(IF(A408&gt;2*$N$4/3,0.05,0.12)))</f>
        <v>0.12</v>
      </c>
      <c r="C408" s="4" t="n">
        <f aca="true">RAND()</f>
        <v>0.75326306436323</v>
      </c>
      <c r="D408" s="0" t="n">
        <f aca="false">IF((C408&gt;$M$2),1,0)</f>
        <v>0</v>
      </c>
      <c r="E408" s="0" t="n">
        <f aca="false">1-D408</f>
        <v>1</v>
      </c>
      <c r="F408" s="0" t="n">
        <f aca="true">RAND()</f>
        <v>0.619729423010002</v>
      </c>
      <c r="G408" s="0" t="n">
        <f aca="false">7.75+F408*10</f>
        <v>13.9472942301</v>
      </c>
      <c r="H408" s="0" t="n">
        <f aca="false">LOGINV(F408,2.64,1.139)</f>
        <v>19.8287577536542</v>
      </c>
      <c r="I408" s="0" t="n">
        <v>19.5</v>
      </c>
      <c r="J408" s="4" t="n">
        <f aca="true">-LN(RAND())/B408</f>
        <v>4.91396650655276</v>
      </c>
      <c r="K408" s="4" t="n">
        <f aca="false">K407+J408</f>
        <v>4069.03514168077</v>
      </c>
      <c r="L408" s="4" t="n">
        <f aca="false">(1/$J$4)*(1+AB407)</f>
        <v>10</v>
      </c>
      <c r="M408" s="4" t="n">
        <f aca="false">L408+MAX(K408,Y$10:Y407)</f>
        <v>4208.82985076217</v>
      </c>
      <c r="N408" s="4" t="n">
        <f aca="false">K408</f>
        <v>4069.03514168077</v>
      </c>
      <c r="O408" s="4" t="n">
        <f aca="false">M408-K408</f>
        <v>139.794709081399</v>
      </c>
      <c r="P408" s="4" t="n">
        <f aca="false">N408-K408</f>
        <v>0</v>
      </c>
      <c r="Q408" s="4" t="n">
        <f aca="false">A408-MATCH(K408,$M$9:M407,1)</f>
        <v>13</v>
      </c>
      <c r="R408" s="0" t="n">
        <f aca="false">-G408*(O408/3600)</f>
        <v>-0.54159942760264</v>
      </c>
      <c r="S408" s="0" t="n">
        <f aca="false">-1*I408-(H408*(P408/3600))</f>
        <v>-19.5</v>
      </c>
      <c r="T408" s="0" t="n">
        <f aca="false">-H408*(O408/3600)</f>
        <v>-0.769987617116004</v>
      </c>
      <c r="U408" s="0" t="n">
        <f aca="false">T408-S408</f>
        <v>18.730012382884</v>
      </c>
      <c r="V408" s="0" t="n">
        <f aca="false">1/(1+EXP(U408))</f>
        <v>7.33937322083175E-009</v>
      </c>
      <c r="W408" s="0" t="n">
        <f aca="true">RAND()</f>
        <v>0.602503083582665</v>
      </c>
      <c r="X408" s="0" t="n">
        <f aca="false">IF(W408&lt;V408,1,0)</f>
        <v>0</v>
      </c>
      <c r="Y408" s="0" t="n">
        <f aca="false">(M408*(1-X408)+N408*X408)*D408+M408*E408</f>
        <v>4208.82985076217</v>
      </c>
      <c r="Z408" s="0" t="n">
        <f aca="false">((1-X408)*O408+X408*P408)*D408+E408*O408</f>
        <v>139.794709081399</v>
      </c>
      <c r="AA408" s="0" t="n">
        <f aca="false">IF(D408*X408&gt;0,AA407,Q408)</f>
        <v>13</v>
      </c>
      <c r="AB408" s="0" t="n">
        <f aca="false">(X408*D408)</f>
        <v>0</v>
      </c>
      <c r="AC408" s="0" t="n">
        <f aca="false">SUM(AB$10:AB407)/K408</f>
        <v>0</v>
      </c>
      <c r="AD408" s="0" t="n">
        <f aca="false">R408*E408+D408*(X408*S408+(1-X408)*T408)</f>
        <v>-0.54159942760264</v>
      </c>
      <c r="AE408" s="0" t="n">
        <f aca="false">Z408</f>
        <v>139.794709081399</v>
      </c>
      <c r="AF408" s="0" t="n">
        <f aca="false">E408*O408</f>
        <v>139.794709081399</v>
      </c>
      <c r="AG408" s="0" t="n">
        <f aca="false">((1-X408)*O408+X408*P408)*D408</f>
        <v>0</v>
      </c>
      <c r="AH408" s="0" t="n">
        <f aca="false">D408*(LN(EXP(S408)+EXP(T408)))</f>
        <v>-0</v>
      </c>
      <c r="AJ408" s="0" t="n">
        <f aca="false">$J$5</f>
        <v>10</v>
      </c>
      <c r="AK408" s="4" t="n">
        <f aca="false">AJ408+MAX(K408,AK$10:AK407)</f>
        <v>4208.82985076217</v>
      </c>
      <c r="AL408" s="5" t="n">
        <f aca="false">AK408-K408</f>
        <v>139.794709081399</v>
      </c>
      <c r="AM408" s="0" t="n">
        <f aca="false">-G408*AL408/3600</f>
        <v>-0.54159942760264</v>
      </c>
      <c r="AN408" s="0" t="n">
        <f aca="false">-H408*AL408/3600</f>
        <v>-0.769987617116004</v>
      </c>
      <c r="AO408" s="0" t="n">
        <f aca="false">AM408*E408+AN408*D408</f>
        <v>-0.54159942760264</v>
      </c>
      <c r="AP408" s="0" t="n">
        <f aca="false">AL408*D408</f>
        <v>0</v>
      </c>
      <c r="AR408" s="0" t="n">
        <f aca="false">AN408*D408</f>
        <v>-0</v>
      </c>
      <c r="AS408" s="0" t="n">
        <f aca="false">AH408-AR408</f>
        <v>0</v>
      </c>
    </row>
    <row r="409" customFormat="false" ht="12" hidden="false" customHeight="false" outlineLevel="0" collapsed="false">
      <c r="A409" s="3" t="n">
        <f aca="false">A408+1</f>
        <v>400</v>
      </c>
      <c r="B409" s="3" t="n">
        <f aca="false">IF(A409&lt;$N$4/3,0.1,(IF(A409&gt;2*$N$4/3,0.05,0.12)))</f>
        <v>0.12</v>
      </c>
      <c r="C409" s="4" t="n">
        <f aca="true">RAND()</f>
        <v>0.748893675929634</v>
      </c>
      <c r="D409" s="0" t="n">
        <f aca="false">IF((C409&gt;$M$2),1,0)</f>
        <v>0</v>
      </c>
      <c r="E409" s="0" t="n">
        <f aca="false">1-D409</f>
        <v>1</v>
      </c>
      <c r="F409" s="0" t="n">
        <f aca="true">RAND()</f>
        <v>0.543933524535706</v>
      </c>
      <c r="G409" s="0" t="n">
        <f aca="false">7.75+F409*10</f>
        <v>13.1893352453571</v>
      </c>
      <c r="H409" s="0" t="n">
        <f aca="false">LOGINV(F409,2.64,1.139)</f>
        <v>15.8899527073973</v>
      </c>
      <c r="I409" s="0" t="n">
        <v>19.5</v>
      </c>
      <c r="J409" s="4" t="n">
        <f aca="true">-LN(RAND())/B409</f>
        <v>5.8893063559591</v>
      </c>
      <c r="K409" s="4" t="n">
        <f aca="false">K408+J409</f>
        <v>4074.92444803673</v>
      </c>
      <c r="L409" s="4" t="n">
        <f aca="false">(1/$J$4)*(1+AB408)</f>
        <v>10</v>
      </c>
      <c r="M409" s="4" t="n">
        <f aca="false">L409+MAX(K409,Y$10:Y408)</f>
        <v>4218.82985076217</v>
      </c>
      <c r="N409" s="4" t="n">
        <f aca="false">K409</f>
        <v>4074.92444803673</v>
      </c>
      <c r="O409" s="4" t="n">
        <f aca="false">M409-K409</f>
        <v>143.90540272544</v>
      </c>
      <c r="P409" s="4" t="n">
        <f aca="false">N409-K409</f>
        <v>0</v>
      </c>
      <c r="Q409" s="4" t="n">
        <f aca="false">A409-MATCH(K409,$M$9:M408,1)</f>
        <v>14</v>
      </c>
      <c r="R409" s="0" t="n">
        <f aca="false">-G409*(O409/3600)</f>
        <v>-0.527226833378873</v>
      </c>
      <c r="S409" s="0" t="n">
        <f aca="false">-1*I409-(H409*(P409/3600))</f>
        <v>-19.5</v>
      </c>
      <c r="T409" s="0" t="n">
        <f aca="false">-H409*(O409/3600)</f>
        <v>-0.635180567679501</v>
      </c>
      <c r="U409" s="0" t="n">
        <f aca="false">T409-S409</f>
        <v>18.8648194323205</v>
      </c>
      <c r="V409" s="0" t="n">
        <f aca="false">1/(1+EXP(U409))</f>
        <v>6.41376459090091E-009</v>
      </c>
      <c r="W409" s="0" t="n">
        <f aca="true">RAND()</f>
        <v>0.609552941809052</v>
      </c>
      <c r="X409" s="0" t="n">
        <f aca="false">IF(W409&lt;V409,1,0)</f>
        <v>0</v>
      </c>
      <c r="Y409" s="0" t="n">
        <f aca="false">(M409*(1-X409)+N409*X409)*D409+M409*E409</f>
        <v>4218.82985076217</v>
      </c>
      <c r="Z409" s="0" t="n">
        <f aca="false">((1-X409)*O409+X409*P409)*D409+E409*O409</f>
        <v>143.90540272544</v>
      </c>
      <c r="AA409" s="0" t="n">
        <f aca="false">IF(D409*X409&gt;0,AA408,Q409)</f>
        <v>14</v>
      </c>
      <c r="AB409" s="0" t="n">
        <f aca="false">(X409*D409)</f>
        <v>0</v>
      </c>
      <c r="AC409" s="0" t="n">
        <f aca="false">SUM(AB$10:AB408)/K409</f>
        <v>0</v>
      </c>
      <c r="AD409" s="0" t="n">
        <f aca="false">R409*E409+D409*(X409*S409+(1-X409)*T409)</f>
        <v>-0.527226833378873</v>
      </c>
      <c r="AE409" s="0" t="n">
        <f aca="false">Z409</f>
        <v>143.90540272544</v>
      </c>
      <c r="AF409" s="0" t="n">
        <f aca="false">E409*O409</f>
        <v>143.90540272544</v>
      </c>
      <c r="AG409" s="0" t="n">
        <f aca="false">((1-X409)*O409+X409*P409)*D409</f>
        <v>0</v>
      </c>
      <c r="AH409" s="0" t="n">
        <f aca="false">D409*(LN(EXP(S409)+EXP(T409)))</f>
        <v>-0</v>
      </c>
      <c r="AJ409" s="0" t="n">
        <f aca="false">$J$5</f>
        <v>10</v>
      </c>
      <c r="AK409" s="4" t="n">
        <f aca="false">AJ409+MAX(K409,AK$10:AK408)</f>
        <v>4218.82985076217</v>
      </c>
      <c r="AL409" s="5" t="n">
        <f aca="false">AK409-K409</f>
        <v>143.90540272544</v>
      </c>
      <c r="AM409" s="0" t="n">
        <f aca="false">-G409*AL409/3600</f>
        <v>-0.527226833378873</v>
      </c>
      <c r="AN409" s="0" t="n">
        <f aca="false">-H409*AL409/3600</f>
        <v>-0.635180567679501</v>
      </c>
      <c r="AO409" s="0" t="n">
        <f aca="false">AM409*E409+AN409*D409</f>
        <v>-0.527226833378873</v>
      </c>
      <c r="AP409" s="0" t="n">
        <f aca="false">AL409*D409</f>
        <v>0</v>
      </c>
      <c r="AR409" s="0" t="n">
        <f aca="false">AN409*D409</f>
        <v>-0</v>
      </c>
      <c r="AS409" s="0" t="n">
        <f aca="false">AH409-AR409</f>
        <v>0</v>
      </c>
    </row>
    <row r="410" customFormat="false" ht="12" hidden="false" customHeight="false" outlineLevel="0" collapsed="false">
      <c r="A410" s="3" t="n">
        <f aca="false">A409+1</f>
        <v>401</v>
      </c>
      <c r="B410" s="3" t="n">
        <f aca="false">IF(A410&lt;$N$4/3,0.1,(IF(A410&gt;2*$N$4/3,0.05,0.12)))</f>
        <v>0.12</v>
      </c>
      <c r="C410" s="4" t="n">
        <f aca="true">RAND()</f>
        <v>0.418301770408461</v>
      </c>
      <c r="D410" s="0" t="n">
        <f aca="false">IF((C410&gt;$M$2),1,0)</f>
        <v>0</v>
      </c>
      <c r="E410" s="0" t="n">
        <f aca="false">1-D410</f>
        <v>1</v>
      </c>
      <c r="F410" s="0" t="n">
        <f aca="true">RAND()</f>
        <v>0.529867226020551</v>
      </c>
      <c r="G410" s="0" t="n">
        <f aca="false">7.75+F410*10</f>
        <v>13.0486722602055</v>
      </c>
      <c r="H410" s="0" t="n">
        <f aca="false">LOGINV(F410,2.64,1.139)</f>
        <v>15.2617885796337</v>
      </c>
      <c r="I410" s="0" t="n">
        <v>19.5</v>
      </c>
      <c r="J410" s="4" t="n">
        <f aca="true">-LN(RAND())/B410</f>
        <v>11.2493435593821</v>
      </c>
      <c r="K410" s="4" t="n">
        <f aca="false">K409+J410</f>
        <v>4086.17379159611</v>
      </c>
      <c r="L410" s="4" t="n">
        <f aca="false">(1/$J$4)*(1+AB409)</f>
        <v>10</v>
      </c>
      <c r="M410" s="4" t="n">
        <f aca="false">L410+MAX(K410,Y$10:Y409)</f>
        <v>4228.82985076217</v>
      </c>
      <c r="N410" s="4" t="n">
        <f aca="false">K410</f>
        <v>4086.17379159611</v>
      </c>
      <c r="O410" s="4" t="n">
        <f aca="false">M410-K410</f>
        <v>142.656059166058</v>
      </c>
      <c r="P410" s="4" t="n">
        <f aca="false">N410-K410</f>
        <v>0</v>
      </c>
      <c r="Q410" s="4" t="n">
        <f aca="false">A410-MATCH(K410,$M$9:M409,1)</f>
        <v>14</v>
      </c>
      <c r="R410" s="0" t="n">
        <f aca="false">-G410*(O410/3600)</f>
        <v>-0.517075600552881</v>
      </c>
      <c r="S410" s="0" t="n">
        <f aca="false">-1*I410-(H410*(P410/3600))</f>
        <v>-19.5</v>
      </c>
      <c r="T410" s="0" t="n">
        <f aca="false">-H410*(O410/3600)</f>
        <v>-0.604774059610027</v>
      </c>
      <c r="U410" s="0" t="n">
        <f aca="false">T410-S410</f>
        <v>18.89522594039</v>
      </c>
      <c r="V410" s="0" t="n">
        <f aca="false">1/(1+EXP(U410))</f>
        <v>6.22167952460226E-009</v>
      </c>
      <c r="W410" s="0" t="n">
        <f aca="true">RAND()</f>
        <v>0.396974748848467</v>
      </c>
      <c r="X410" s="0" t="n">
        <f aca="false">IF(W410&lt;V410,1,0)</f>
        <v>0</v>
      </c>
      <c r="Y410" s="0" t="n">
        <f aca="false">(M410*(1-X410)+N410*X410)*D410+M410*E410</f>
        <v>4228.82985076217</v>
      </c>
      <c r="Z410" s="0" t="n">
        <f aca="false">((1-X410)*O410+X410*P410)*D410+E410*O410</f>
        <v>142.656059166058</v>
      </c>
      <c r="AA410" s="0" t="n">
        <f aca="false">IF(D410*X410&gt;0,AA409,Q410)</f>
        <v>14</v>
      </c>
      <c r="AB410" s="0" t="n">
        <f aca="false">(X410*D410)</f>
        <v>0</v>
      </c>
      <c r="AC410" s="0" t="n">
        <f aca="false">SUM(AB$10:AB409)/K410</f>
        <v>0</v>
      </c>
      <c r="AD410" s="0" t="n">
        <f aca="false">R410*E410+D410*(X410*S410+(1-X410)*T410)</f>
        <v>-0.517075600552881</v>
      </c>
      <c r="AE410" s="0" t="n">
        <f aca="false">Z410</f>
        <v>142.656059166058</v>
      </c>
      <c r="AF410" s="0" t="n">
        <f aca="false">E410*O410</f>
        <v>142.656059166058</v>
      </c>
      <c r="AG410" s="0" t="n">
        <f aca="false">((1-X410)*O410+X410*P410)*D410</f>
        <v>0</v>
      </c>
      <c r="AH410" s="0" t="n">
        <f aca="false">D410*(LN(EXP(S410)+EXP(T410)))</f>
        <v>-0</v>
      </c>
      <c r="AJ410" s="0" t="n">
        <f aca="false">$J$5</f>
        <v>10</v>
      </c>
      <c r="AK410" s="4" t="n">
        <f aca="false">AJ410+MAX(K410,AK$10:AK409)</f>
        <v>4228.82985076217</v>
      </c>
      <c r="AL410" s="5" t="n">
        <f aca="false">AK410-K410</f>
        <v>142.656059166058</v>
      </c>
      <c r="AM410" s="0" t="n">
        <f aca="false">-G410*AL410/3600</f>
        <v>-0.517075600552882</v>
      </c>
      <c r="AN410" s="0" t="n">
        <f aca="false">-H410*AL410/3600</f>
        <v>-0.604774059610027</v>
      </c>
      <c r="AO410" s="0" t="n">
        <f aca="false">AM410*E410+AN410*D410</f>
        <v>-0.517075600552882</v>
      </c>
      <c r="AP410" s="0" t="n">
        <f aca="false">AL410*D410</f>
        <v>0</v>
      </c>
      <c r="AR410" s="0" t="n">
        <f aca="false">AN410*D410</f>
        <v>-0</v>
      </c>
      <c r="AS410" s="0" t="n">
        <f aca="false">AH410-AR410</f>
        <v>0</v>
      </c>
    </row>
    <row r="411" customFormat="false" ht="12" hidden="false" customHeight="false" outlineLevel="0" collapsed="false">
      <c r="A411" s="3" t="n">
        <f aca="false">A410+1</f>
        <v>402</v>
      </c>
      <c r="B411" s="3" t="n">
        <f aca="false">IF(A411&lt;$N$4/3,0.1,(IF(A411&gt;2*$N$4/3,0.05,0.12)))</f>
        <v>0.12</v>
      </c>
      <c r="C411" s="4" t="n">
        <f aca="true">RAND()</f>
        <v>0.858046846911887</v>
      </c>
      <c r="D411" s="0" t="n">
        <f aca="false">IF((C411&gt;$M$2),1,0)</f>
        <v>0</v>
      </c>
      <c r="E411" s="0" t="n">
        <f aca="false">1-D411</f>
        <v>1</v>
      </c>
      <c r="F411" s="0" t="n">
        <f aca="true">RAND()</f>
        <v>0.356116996911443</v>
      </c>
      <c r="G411" s="0" t="n">
        <f aca="false">7.75+F411*10</f>
        <v>11.3111699691144</v>
      </c>
      <c r="H411" s="0" t="n">
        <f aca="false">LOGINV(F411,2.64,1.139)</f>
        <v>9.20614674156124</v>
      </c>
      <c r="I411" s="0" t="n">
        <v>19.5</v>
      </c>
      <c r="J411" s="4" t="n">
        <f aca="true">-LN(RAND())/B411</f>
        <v>4.66494801389571</v>
      </c>
      <c r="K411" s="4" t="n">
        <f aca="false">K410+J411</f>
        <v>4090.83873961001</v>
      </c>
      <c r="L411" s="4" t="n">
        <f aca="false">(1/$J$4)*(1+AB410)</f>
        <v>10</v>
      </c>
      <c r="M411" s="4" t="n">
        <f aca="false">L411+MAX(K411,Y$10:Y410)</f>
        <v>4238.82985076217</v>
      </c>
      <c r="N411" s="4" t="n">
        <f aca="false">K411</f>
        <v>4090.83873961001</v>
      </c>
      <c r="O411" s="4" t="n">
        <f aca="false">M411-K411</f>
        <v>147.991111152162</v>
      </c>
      <c r="P411" s="4" t="n">
        <f aca="false">N411-K411</f>
        <v>0</v>
      </c>
      <c r="Q411" s="4" t="n">
        <f aca="false">A411-MATCH(K411,$M$9:M410,1)</f>
        <v>14</v>
      </c>
      <c r="R411" s="0" t="n">
        <f aca="false">-G411*(O411/3600)</f>
        <v>-0.464986836711169</v>
      </c>
      <c r="S411" s="0" t="n">
        <f aca="false">-1*I411-(H411*(P411/3600))</f>
        <v>-19.5</v>
      </c>
      <c r="T411" s="0" t="n">
        <f aca="false">-H411*(O411/3600)</f>
        <v>-0.378452190475973</v>
      </c>
      <c r="U411" s="0" t="n">
        <f aca="false">T411-S411</f>
        <v>19.121547809524</v>
      </c>
      <c r="V411" s="0" t="n">
        <f aca="false">1/(1+EXP(U411))</f>
        <v>4.9615491592255E-009</v>
      </c>
      <c r="W411" s="0" t="n">
        <f aca="true">RAND()</f>
        <v>0.53992975186222</v>
      </c>
      <c r="X411" s="0" t="n">
        <f aca="false">IF(W411&lt;V411,1,0)</f>
        <v>0</v>
      </c>
      <c r="Y411" s="0" t="n">
        <f aca="false">(M411*(1-X411)+N411*X411)*D411+M411*E411</f>
        <v>4238.82985076217</v>
      </c>
      <c r="Z411" s="0" t="n">
        <f aca="false">((1-X411)*O411+X411*P411)*D411+E411*O411</f>
        <v>147.991111152162</v>
      </c>
      <c r="AA411" s="0" t="n">
        <f aca="false">IF(D411*X411&gt;0,AA410,Q411)</f>
        <v>14</v>
      </c>
      <c r="AB411" s="0" t="n">
        <f aca="false">(X411*D411)</f>
        <v>0</v>
      </c>
      <c r="AC411" s="0" t="n">
        <f aca="false">SUM(AB$10:AB410)/K411</f>
        <v>0</v>
      </c>
      <c r="AD411" s="0" t="n">
        <f aca="false">R411*E411+D411*(X411*S411+(1-X411)*T411)</f>
        <v>-0.464986836711169</v>
      </c>
      <c r="AE411" s="0" t="n">
        <f aca="false">Z411</f>
        <v>147.991111152162</v>
      </c>
      <c r="AF411" s="0" t="n">
        <f aca="false">E411*O411</f>
        <v>147.991111152162</v>
      </c>
      <c r="AG411" s="0" t="n">
        <f aca="false">((1-X411)*O411+X411*P411)*D411</f>
        <v>0</v>
      </c>
      <c r="AH411" s="0" t="n">
        <f aca="false">D411*(LN(EXP(S411)+EXP(T411)))</f>
        <v>-0</v>
      </c>
      <c r="AJ411" s="0" t="n">
        <f aca="false">$J$5</f>
        <v>10</v>
      </c>
      <c r="AK411" s="4" t="n">
        <f aca="false">AJ411+MAX(K411,AK$10:AK410)</f>
        <v>4238.82985076217</v>
      </c>
      <c r="AL411" s="5" t="n">
        <f aca="false">AK411-K411</f>
        <v>147.991111152162</v>
      </c>
      <c r="AM411" s="0" t="n">
        <f aca="false">-G411*AL411/3600</f>
        <v>-0.464986836711169</v>
      </c>
      <c r="AN411" s="0" t="n">
        <f aca="false">-H411*AL411/3600</f>
        <v>-0.378452190475973</v>
      </c>
      <c r="AO411" s="0" t="n">
        <f aca="false">AM411*E411+AN411*D411</f>
        <v>-0.464986836711169</v>
      </c>
      <c r="AP411" s="0" t="n">
        <f aca="false">AL411*D411</f>
        <v>0</v>
      </c>
      <c r="AR411" s="0" t="n">
        <f aca="false">AN411*D411</f>
        <v>-0</v>
      </c>
      <c r="AS411" s="0" t="n">
        <f aca="false">AH411-AR411</f>
        <v>0</v>
      </c>
    </row>
    <row r="412" customFormat="false" ht="12" hidden="false" customHeight="false" outlineLevel="0" collapsed="false">
      <c r="A412" s="3" t="n">
        <f aca="false">A411+1</f>
        <v>403</v>
      </c>
      <c r="B412" s="3" t="n">
        <f aca="false">IF(A412&lt;$N$4/3,0.1,(IF(A412&gt;2*$N$4/3,0.05,0.12)))</f>
        <v>0.12</v>
      </c>
      <c r="C412" s="4" t="n">
        <f aca="true">RAND()</f>
        <v>0.23274248085347</v>
      </c>
      <c r="D412" s="0" t="n">
        <f aca="false">IF((C412&gt;$M$2),1,0)</f>
        <v>0</v>
      </c>
      <c r="E412" s="0" t="n">
        <f aca="false">1-D412</f>
        <v>1</v>
      </c>
      <c r="F412" s="0" t="n">
        <f aca="true">RAND()</f>
        <v>0.241681017397108</v>
      </c>
      <c r="G412" s="0" t="n">
        <f aca="false">7.75+F412*10</f>
        <v>10.1668101739711</v>
      </c>
      <c r="H412" s="0" t="n">
        <f aca="false">LOGINV(F412,2.64,1.139)</f>
        <v>6.3070541535636</v>
      </c>
      <c r="I412" s="0" t="n">
        <v>19.5</v>
      </c>
      <c r="J412" s="4" t="n">
        <f aca="true">-LN(RAND())/B412</f>
        <v>1.58792606393593</v>
      </c>
      <c r="K412" s="4" t="n">
        <f aca="false">K411+J412</f>
        <v>4092.42666567395</v>
      </c>
      <c r="L412" s="4" t="n">
        <f aca="false">(1/$J$4)*(1+AB411)</f>
        <v>10</v>
      </c>
      <c r="M412" s="4" t="n">
        <f aca="false">L412+MAX(K412,Y$10:Y411)</f>
        <v>4248.82985076217</v>
      </c>
      <c r="N412" s="4" t="n">
        <f aca="false">K412</f>
        <v>4092.42666567395</v>
      </c>
      <c r="O412" s="4" t="n">
        <f aca="false">M412-K412</f>
        <v>156.403185088226</v>
      </c>
      <c r="P412" s="4" t="n">
        <f aca="false">N412-K412</f>
        <v>0</v>
      </c>
      <c r="Q412" s="4" t="n">
        <f aca="false">A412-MATCH(K412,$M$9:M411,1)</f>
        <v>15</v>
      </c>
      <c r="R412" s="0" t="n">
        <f aca="false">-G412*(O412/3600)</f>
        <v>-0.44170041483235</v>
      </c>
      <c r="S412" s="0" t="n">
        <f aca="false">-1*I412-(H412*(P412/3600))</f>
        <v>-19.5</v>
      </c>
      <c r="T412" s="0" t="n">
        <f aca="false">-H412*(O412/3600)</f>
        <v>-0.274012043928132</v>
      </c>
      <c r="U412" s="0" t="n">
        <f aca="false">T412-S412</f>
        <v>19.2259879560719</v>
      </c>
      <c r="V412" s="0" t="n">
        <f aca="false">1/(1+EXP(U412))</f>
        <v>4.46950594827945E-009</v>
      </c>
      <c r="W412" s="0" t="n">
        <f aca="true">RAND()</f>
        <v>0.52689596385494</v>
      </c>
      <c r="X412" s="0" t="n">
        <f aca="false">IF(W412&lt;V412,1,0)</f>
        <v>0</v>
      </c>
      <c r="Y412" s="0" t="n">
        <f aca="false">(M412*(1-X412)+N412*X412)*D412+M412*E412</f>
        <v>4248.82985076217</v>
      </c>
      <c r="Z412" s="0" t="n">
        <f aca="false">((1-X412)*O412+X412*P412)*D412+E412*O412</f>
        <v>156.403185088226</v>
      </c>
      <c r="AA412" s="0" t="n">
        <f aca="false">IF(D412*X412&gt;0,AA411,Q412)</f>
        <v>15</v>
      </c>
      <c r="AB412" s="0" t="n">
        <f aca="false">(X412*D412)</f>
        <v>0</v>
      </c>
      <c r="AC412" s="0" t="n">
        <f aca="false">SUM(AB$10:AB411)/K412</f>
        <v>0</v>
      </c>
      <c r="AD412" s="0" t="n">
        <f aca="false">R412*E412+D412*(X412*S412+(1-X412)*T412)</f>
        <v>-0.44170041483235</v>
      </c>
      <c r="AE412" s="0" t="n">
        <f aca="false">Z412</f>
        <v>156.403185088226</v>
      </c>
      <c r="AF412" s="0" t="n">
        <f aca="false">E412*O412</f>
        <v>156.403185088226</v>
      </c>
      <c r="AG412" s="0" t="n">
        <f aca="false">((1-X412)*O412+X412*P412)*D412</f>
        <v>0</v>
      </c>
      <c r="AH412" s="0" t="n">
        <f aca="false">D412*(LN(EXP(S412)+EXP(T412)))</f>
        <v>-0</v>
      </c>
      <c r="AJ412" s="0" t="n">
        <f aca="false">$J$5</f>
        <v>10</v>
      </c>
      <c r="AK412" s="4" t="n">
        <f aca="false">AJ412+MAX(K412,AK$10:AK411)</f>
        <v>4248.82985076217</v>
      </c>
      <c r="AL412" s="5" t="n">
        <f aca="false">AK412-K412</f>
        <v>156.403185088226</v>
      </c>
      <c r="AM412" s="0" t="n">
        <f aca="false">-G412*AL412/3600</f>
        <v>-0.44170041483235</v>
      </c>
      <c r="AN412" s="0" t="n">
        <f aca="false">-H412*AL412/3600</f>
        <v>-0.274012043928131</v>
      </c>
      <c r="AO412" s="0" t="n">
        <f aca="false">AM412*E412+AN412*D412</f>
        <v>-0.44170041483235</v>
      </c>
      <c r="AP412" s="0" t="n">
        <f aca="false">AL412*D412</f>
        <v>0</v>
      </c>
      <c r="AR412" s="0" t="n">
        <f aca="false">AN412*D412</f>
        <v>-0</v>
      </c>
      <c r="AS412" s="0" t="n">
        <f aca="false">AH412-AR412</f>
        <v>0</v>
      </c>
    </row>
    <row r="413" customFormat="false" ht="12" hidden="false" customHeight="false" outlineLevel="0" collapsed="false">
      <c r="A413" s="3" t="n">
        <f aca="false">A412+1</f>
        <v>404</v>
      </c>
      <c r="B413" s="3" t="n">
        <f aca="false">IF(A413&lt;$N$4/3,0.1,(IF(A413&gt;2*$N$4/3,0.05,0.12)))</f>
        <v>0.12</v>
      </c>
      <c r="C413" s="4" t="n">
        <f aca="true">RAND()</f>
        <v>0.861478727000352</v>
      </c>
      <c r="D413" s="0" t="n">
        <f aca="false">IF((C413&gt;$M$2),1,0)</f>
        <v>0</v>
      </c>
      <c r="E413" s="0" t="n">
        <f aca="false">1-D413</f>
        <v>1</v>
      </c>
      <c r="F413" s="0" t="n">
        <f aca="true">RAND()</f>
        <v>0.695748481580155</v>
      </c>
      <c r="G413" s="0" t="n">
        <f aca="false">7.75+F413*10</f>
        <v>14.7074848158016</v>
      </c>
      <c r="H413" s="0" t="n">
        <f aca="false">LOGINV(F413,2.64,1.139)</f>
        <v>25.1135823979371</v>
      </c>
      <c r="I413" s="0" t="n">
        <v>19.5</v>
      </c>
      <c r="J413" s="4" t="n">
        <f aca="true">-LN(RAND())/B413</f>
        <v>17.4559700501123</v>
      </c>
      <c r="K413" s="4" t="n">
        <f aca="false">K412+J413</f>
        <v>4109.88263572406</v>
      </c>
      <c r="L413" s="4" t="n">
        <f aca="false">(1/$J$4)*(1+AB412)</f>
        <v>10</v>
      </c>
      <c r="M413" s="4" t="n">
        <f aca="false">L413+MAX(K413,Y$10:Y412)</f>
        <v>4258.82985076217</v>
      </c>
      <c r="N413" s="4" t="n">
        <f aca="false">K413</f>
        <v>4109.88263572406</v>
      </c>
      <c r="O413" s="4" t="n">
        <f aca="false">M413-K413</f>
        <v>148.947215038113</v>
      </c>
      <c r="P413" s="4" t="n">
        <f aca="false">N413-K413</f>
        <v>0</v>
      </c>
      <c r="Q413" s="4" t="n">
        <f aca="false">A413-MATCH(K413,$M$9:M412,1)</f>
        <v>14</v>
      </c>
      <c r="R413" s="0" t="n">
        <f aca="false">-G413*(O413/3600)</f>
        <v>-0.608510806535828</v>
      </c>
      <c r="S413" s="0" t="n">
        <f aca="false">-1*I413-(H413*(P413/3600))</f>
        <v>-19.5</v>
      </c>
      <c r="T413" s="0" t="n">
        <f aca="false">-H413*(O413/3600)</f>
        <v>-1.03905504383414</v>
      </c>
      <c r="U413" s="0" t="n">
        <f aca="false">T413-S413</f>
        <v>18.4609449561659</v>
      </c>
      <c r="V413" s="0" t="n">
        <f aca="false">1/(1+EXP(U413))</f>
        <v>9.60535611154105E-009</v>
      </c>
      <c r="W413" s="0" t="n">
        <f aca="true">RAND()</f>
        <v>0.132161300149293</v>
      </c>
      <c r="X413" s="0" t="n">
        <f aca="false">IF(W413&lt;V413,1,0)</f>
        <v>0</v>
      </c>
      <c r="Y413" s="0" t="n">
        <f aca="false">(M413*(1-X413)+N413*X413)*D413+M413*E413</f>
        <v>4258.82985076217</v>
      </c>
      <c r="Z413" s="0" t="n">
        <f aca="false">((1-X413)*O413+X413*P413)*D413+E413*O413</f>
        <v>148.947215038113</v>
      </c>
      <c r="AA413" s="0" t="n">
        <f aca="false">IF(D413*X413&gt;0,AA412,Q413)</f>
        <v>14</v>
      </c>
      <c r="AB413" s="0" t="n">
        <f aca="false">(X413*D413)</f>
        <v>0</v>
      </c>
      <c r="AC413" s="0" t="n">
        <f aca="false">SUM(AB$10:AB412)/K413</f>
        <v>0</v>
      </c>
      <c r="AD413" s="0" t="n">
        <f aca="false">R413*E413+D413*(X413*S413+(1-X413)*T413)</f>
        <v>-0.608510806535828</v>
      </c>
      <c r="AE413" s="0" t="n">
        <f aca="false">Z413</f>
        <v>148.947215038113</v>
      </c>
      <c r="AF413" s="0" t="n">
        <f aca="false">E413*O413</f>
        <v>148.947215038113</v>
      </c>
      <c r="AG413" s="0" t="n">
        <f aca="false">((1-X413)*O413+X413*P413)*D413</f>
        <v>0</v>
      </c>
      <c r="AH413" s="0" t="n">
        <f aca="false">D413*(LN(EXP(S413)+EXP(T413)))</f>
        <v>-0</v>
      </c>
      <c r="AJ413" s="0" t="n">
        <f aca="false">$J$5</f>
        <v>10</v>
      </c>
      <c r="AK413" s="4" t="n">
        <f aca="false">AJ413+MAX(K413,AK$10:AK412)</f>
        <v>4258.82985076217</v>
      </c>
      <c r="AL413" s="5" t="n">
        <f aca="false">AK413-K413</f>
        <v>148.947215038113</v>
      </c>
      <c r="AM413" s="0" t="n">
        <f aca="false">-G413*AL413/3600</f>
        <v>-0.608510806535828</v>
      </c>
      <c r="AN413" s="0" t="n">
        <f aca="false">-H413*AL413/3600</f>
        <v>-1.03905504383414</v>
      </c>
      <c r="AO413" s="0" t="n">
        <f aca="false">AM413*E413+AN413*D413</f>
        <v>-0.608510806535828</v>
      </c>
      <c r="AP413" s="0" t="n">
        <f aca="false">AL413*D413</f>
        <v>0</v>
      </c>
      <c r="AR413" s="0" t="n">
        <f aca="false">AN413*D413</f>
        <v>-0</v>
      </c>
      <c r="AS413" s="0" t="n">
        <f aca="false">AH413-AR413</f>
        <v>0</v>
      </c>
    </row>
    <row r="414" customFormat="false" ht="12" hidden="false" customHeight="false" outlineLevel="0" collapsed="false">
      <c r="A414" s="3" t="n">
        <f aca="false">A413+1</f>
        <v>405</v>
      </c>
      <c r="B414" s="3" t="n">
        <f aca="false">IF(A414&lt;$N$4/3,0.1,(IF(A414&gt;2*$N$4/3,0.05,0.12)))</f>
        <v>0.12</v>
      </c>
      <c r="C414" s="4" t="n">
        <f aca="true">RAND()</f>
        <v>0.110850034154665</v>
      </c>
      <c r="D414" s="0" t="n">
        <f aca="false">IF((C414&gt;$M$2),1,0)</f>
        <v>0</v>
      </c>
      <c r="E414" s="0" t="n">
        <f aca="false">1-D414</f>
        <v>1</v>
      </c>
      <c r="F414" s="0" t="n">
        <f aca="true">RAND()</f>
        <v>0.961067149240335</v>
      </c>
      <c r="G414" s="0" t="n">
        <f aca="false">7.75+F414*10</f>
        <v>17.3606714924034</v>
      </c>
      <c r="H414" s="0" t="n">
        <f aca="false">LOGINV(F414,2.64,1.139)</f>
        <v>104.406504421387</v>
      </c>
      <c r="I414" s="0" t="n">
        <v>19.5</v>
      </c>
      <c r="J414" s="4" t="n">
        <f aca="true">-LN(RAND())/B414</f>
        <v>9.18974201185166</v>
      </c>
      <c r="K414" s="4" t="n">
        <f aca="false">K413+J414</f>
        <v>4119.07237773591</v>
      </c>
      <c r="L414" s="4" t="n">
        <f aca="false">(1/$J$4)*(1+AB413)</f>
        <v>10</v>
      </c>
      <c r="M414" s="4" t="n">
        <f aca="false">L414+MAX(K414,Y$10:Y413)</f>
        <v>4268.82985076217</v>
      </c>
      <c r="N414" s="4" t="n">
        <f aca="false">K414</f>
        <v>4119.07237773591</v>
      </c>
      <c r="O414" s="4" t="n">
        <f aca="false">M414-K414</f>
        <v>149.757473026261</v>
      </c>
      <c r="P414" s="4" t="n">
        <f aca="false">N414-K414</f>
        <v>0</v>
      </c>
      <c r="Q414" s="4" t="n">
        <f aca="false">A414-MATCH(K414,$M$9:M413,1)</f>
        <v>14</v>
      </c>
      <c r="R414" s="0" t="n">
        <f aca="false">-G414*(O414/3600)</f>
        <v>-0.722191747983717</v>
      </c>
      <c r="S414" s="0" t="n">
        <f aca="false">-1*I414-(H414*(P414/3600))</f>
        <v>-19.5</v>
      </c>
      <c r="T414" s="0" t="n">
        <f aca="false">-H414*(O414/3600)</f>
        <v>-4.34323729712558</v>
      </c>
      <c r="U414" s="0" t="n">
        <f aca="false">T414-S414</f>
        <v>15.1567627028744</v>
      </c>
      <c r="V414" s="0" t="n">
        <f aca="false">1/(1+EXP(U414))</f>
        <v>2.61517936651446E-007</v>
      </c>
      <c r="W414" s="0" t="n">
        <f aca="true">RAND()</f>
        <v>0.0987734623811211</v>
      </c>
      <c r="X414" s="0" t="n">
        <f aca="false">IF(W414&lt;V414,1,0)</f>
        <v>0</v>
      </c>
      <c r="Y414" s="0" t="n">
        <f aca="false">(M414*(1-X414)+N414*X414)*D414+M414*E414</f>
        <v>4268.82985076217</v>
      </c>
      <c r="Z414" s="0" t="n">
        <f aca="false">((1-X414)*O414+X414*P414)*D414+E414*O414</f>
        <v>149.757473026261</v>
      </c>
      <c r="AA414" s="0" t="n">
        <f aca="false">IF(D414*X414&gt;0,AA413,Q414)</f>
        <v>14</v>
      </c>
      <c r="AB414" s="0" t="n">
        <f aca="false">(X414*D414)</f>
        <v>0</v>
      </c>
      <c r="AC414" s="0" t="n">
        <f aca="false">SUM(AB$10:AB413)/K414</f>
        <v>0</v>
      </c>
      <c r="AD414" s="0" t="n">
        <f aca="false">R414*E414+D414*(X414*S414+(1-X414)*T414)</f>
        <v>-0.722191747983717</v>
      </c>
      <c r="AE414" s="0" t="n">
        <f aca="false">Z414</f>
        <v>149.757473026261</v>
      </c>
      <c r="AF414" s="0" t="n">
        <f aca="false">E414*O414</f>
        <v>149.757473026261</v>
      </c>
      <c r="AG414" s="0" t="n">
        <f aca="false">((1-X414)*O414+X414*P414)*D414</f>
        <v>0</v>
      </c>
      <c r="AH414" s="0" t="n">
        <f aca="false">D414*(LN(EXP(S414)+EXP(T414)))</f>
        <v>-0</v>
      </c>
      <c r="AJ414" s="0" t="n">
        <f aca="false">$J$5</f>
        <v>10</v>
      </c>
      <c r="AK414" s="4" t="n">
        <f aca="false">AJ414+MAX(K414,AK$10:AK413)</f>
        <v>4268.82985076217</v>
      </c>
      <c r="AL414" s="5" t="n">
        <f aca="false">AK414-K414</f>
        <v>149.757473026261</v>
      </c>
      <c r="AM414" s="0" t="n">
        <f aca="false">-G414*AL414/3600</f>
        <v>-0.722191747983716</v>
      </c>
      <c r="AN414" s="0" t="n">
        <f aca="false">-H414*AL414/3600</f>
        <v>-4.34323729712558</v>
      </c>
      <c r="AO414" s="0" t="n">
        <f aca="false">AM414*E414+AN414*D414</f>
        <v>-0.722191747983716</v>
      </c>
      <c r="AP414" s="0" t="n">
        <f aca="false">AL414*D414</f>
        <v>0</v>
      </c>
      <c r="AR414" s="0" t="n">
        <f aca="false">AN414*D414</f>
        <v>-0</v>
      </c>
      <c r="AS414" s="0" t="n">
        <f aca="false">AH414-AR414</f>
        <v>0</v>
      </c>
    </row>
    <row r="415" customFormat="false" ht="12" hidden="false" customHeight="false" outlineLevel="0" collapsed="false">
      <c r="A415" s="3" t="n">
        <f aca="false">A414+1</f>
        <v>406</v>
      </c>
      <c r="B415" s="3" t="n">
        <f aca="false">IF(A415&lt;$N$4/3,0.1,(IF(A415&gt;2*$N$4/3,0.05,0.12)))</f>
        <v>0.12</v>
      </c>
      <c r="C415" s="4" t="n">
        <f aca="true">RAND()</f>
        <v>0.790340143284814</v>
      </c>
      <c r="D415" s="0" t="n">
        <f aca="false">IF((C415&gt;$M$2),1,0)</f>
        <v>0</v>
      </c>
      <c r="E415" s="0" t="n">
        <f aca="false">1-D415</f>
        <v>1</v>
      </c>
      <c r="F415" s="0" t="n">
        <f aca="true">RAND()</f>
        <v>0.178820205562756</v>
      </c>
      <c r="G415" s="0" t="n">
        <f aca="false">7.75+F415*10</f>
        <v>9.53820205562756</v>
      </c>
      <c r="H415" s="0" t="n">
        <f aca="false">LOGINV(F415,2.64,1.139)</f>
        <v>4.91488052661425</v>
      </c>
      <c r="I415" s="0" t="n">
        <v>19.5</v>
      </c>
      <c r="J415" s="4" t="n">
        <f aca="true">-LN(RAND())/B415</f>
        <v>0.178289327926862</v>
      </c>
      <c r="K415" s="4" t="n">
        <f aca="false">K414+J415</f>
        <v>4119.25066706384</v>
      </c>
      <c r="L415" s="4" t="n">
        <f aca="false">(1/$J$4)*(1+AB414)</f>
        <v>10</v>
      </c>
      <c r="M415" s="4" t="n">
        <f aca="false">L415+MAX(K415,Y$10:Y414)</f>
        <v>4278.82985076217</v>
      </c>
      <c r="N415" s="4" t="n">
        <f aca="false">K415</f>
        <v>4119.25066706384</v>
      </c>
      <c r="O415" s="4" t="n">
        <f aca="false">M415-K415</f>
        <v>159.579183698334</v>
      </c>
      <c r="P415" s="4" t="n">
        <f aca="false">N415-K415</f>
        <v>0</v>
      </c>
      <c r="Q415" s="4" t="n">
        <f aca="false">A415-MATCH(K415,$M$9:M414,1)</f>
        <v>15</v>
      </c>
      <c r="R415" s="0" t="n">
        <f aca="false">-G415*(O415/3600)</f>
        <v>-0.422805138329673</v>
      </c>
      <c r="S415" s="0" t="n">
        <f aca="false">-1*I415-(H415*(P415/3600))</f>
        <v>-19.5</v>
      </c>
      <c r="T415" s="0" t="n">
        <f aca="false">-H415*(O415/3600)</f>
        <v>-0.21786461733665</v>
      </c>
      <c r="U415" s="0" t="n">
        <f aca="false">T415-S415</f>
        <v>19.2821353826634</v>
      </c>
      <c r="V415" s="0" t="n">
        <f aca="false">1/(1+EXP(U415))</f>
        <v>4.22546980069263E-009</v>
      </c>
      <c r="W415" s="0" t="n">
        <f aca="true">RAND()</f>
        <v>0.0204888555982316</v>
      </c>
      <c r="X415" s="0" t="n">
        <f aca="false">IF(W415&lt;V415,1,0)</f>
        <v>0</v>
      </c>
      <c r="Y415" s="0" t="n">
        <f aca="false">(M415*(1-X415)+N415*X415)*D415+M415*E415</f>
        <v>4278.82985076217</v>
      </c>
      <c r="Z415" s="0" t="n">
        <f aca="false">((1-X415)*O415+X415*P415)*D415+E415*O415</f>
        <v>159.579183698334</v>
      </c>
      <c r="AA415" s="0" t="n">
        <f aca="false">IF(D415*X415&gt;0,AA414,Q415)</f>
        <v>15</v>
      </c>
      <c r="AB415" s="0" t="n">
        <f aca="false">(X415*D415)</f>
        <v>0</v>
      </c>
      <c r="AC415" s="0" t="n">
        <f aca="false">SUM(AB$10:AB414)/K415</f>
        <v>0</v>
      </c>
      <c r="AD415" s="0" t="n">
        <f aca="false">R415*E415+D415*(X415*S415+(1-X415)*T415)</f>
        <v>-0.422805138329673</v>
      </c>
      <c r="AE415" s="0" t="n">
        <f aca="false">Z415</f>
        <v>159.579183698334</v>
      </c>
      <c r="AF415" s="0" t="n">
        <f aca="false">E415*O415</f>
        <v>159.579183698334</v>
      </c>
      <c r="AG415" s="0" t="n">
        <f aca="false">((1-X415)*O415+X415*P415)*D415</f>
        <v>0</v>
      </c>
      <c r="AH415" s="0" t="n">
        <f aca="false">D415*(LN(EXP(S415)+EXP(T415)))</f>
        <v>-0</v>
      </c>
      <c r="AJ415" s="0" t="n">
        <f aca="false">$J$5</f>
        <v>10</v>
      </c>
      <c r="AK415" s="4" t="n">
        <f aca="false">AJ415+MAX(K415,AK$10:AK414)</f>
        <v>4278.82985076217</v>
      </c>
      <c r="AL415" s="5" t="n">
        <f aca="false">AK415-K415</f>
        <v>159.579183698334</v>
      </c>
      <c r="AM415" s="0" t="n">
        <f aca="false">-G415*AL415/3600</f>
        <v>-0.422805138329673</v>
      </c>
      <c r="AN415" s="0" t="n">
        <f aca="false">-H415*AL415/3600</f>
        <v>-0.21786461733665</v>
      </c>
      <c r="AO415" s="0" t="n">
        <f aca="false">AM415*E415+AN415*D415</f>
        <v>-0.422805138329673</v>
      </c>
      <c r="AP415" s="0" t="n">
        <f aca="false">AL415*D415</f>
        <v>0</v>
      </c>
      <c r="AR415" s="0" t="n">
        <f aca="false">AN415*D415</f>
        <v>-0</v>
      </c>
      <c r="AS415" s="0" t="n">
        <f aca="false">AH415-AR415</f>
        <v>0</v>
      </c>
    </row>
    <row r="416" customFormat="false" ht="12" hidden="false" customHeight="false" outlineLevel="0" collapsed="false">
      <c r="A416" s="3" t="n">
        <f aca="false">A415+1</f>
        <v>407</v>
      </c>
      <c r="B416" s="3" t="n">
        <f aca="false">IF(A416&lt;$N$4/3,0.1,(IF(A416&gt;2*$N$4/3,0.05,0.12)))</f>
        <v>0.12</v>
      </c>
      <c r="C416" s="4" t="n">
        <f aca="true">RAND()</f>
        <v>0.244216808135001</v>
      </c>
      <c r="D416" s="0" t="n">
        <f aca="false">IF((C416&gt;$M$2),1,0)</f>
        <v>0</v>
      </c>
      <c r="E416" s="0" t="n">
        <f aca="false">1-D416</f>
        <v>1</v>
      </c>
      <c r="F416" s="0" t="n">
        <f aca="true">RAND()</f>
        <v>0.828168288358161</v>
      </c>
      <c r="G416" s="0" t="n">
        <f aca="false">7.75+F416*10</f>
        <v>16.0316828835816</v>
      </c>
      <c r="H416" s="0" t="n">
        <f aca="false">LOGINV(F416,2.64,1.139)</f>
        <v>41.2057543519737</v>
      </c>
      <c r="I416" s="0" t="n">
        <v>19.5</v>
      </c>
      <c r="J416" s="4" t="n">
        <f aca="true">-LN(RAND())/B416</f>
        <v>10.2506842921598</v>
      </c>
      <c r="K416" s="4" t="n">
        <f aca="false">K415+J416</f>
        <v>4129.501351356</v>
      </c>
      <c r="L416" s="4" t="n">
        <f aca="false">(1/$J$4)*(1+AB415)</f>
        <v>10</v>
      </c>
      <c r="M416" s="4" t="n">
        <f aca="false">L416+MAX(K416,Y$10:Y415)</f>
        <v>4288.82985076217</v>
      </c>
      <c r="N416" s="4" t="n">
        <f aca="false">K416</f>
        <v>4129.501351356</v>
      </c>
      <c r="O416" s="4" t="n">
        <f aca="false">M416-K416</f>
        <v>159.328499406174</v>
      </c>
      <c r="P416" s="4" t="n">
        <f aca="false">N416-K416</f>
        <v>0</v>
      </c>
      <c r="Q416" s="4" t="n">
        <f aca="false">A416-MATCH(K416,$M$9:M415,1)</f>
        <v>15</v>
      </c>
      <c r="R416" s="0" t="n">
        <f aca="false">-G416*(O416/3600)</f>
        <v>-0.709528882443529</v>
      </c>
      <c r="S416" s="0" t="n">
        <f aca="false">-1*I416-(H416*(P416/3600))</f>
        <v>-19.5</v>
      </c>
      <c r="T416" s="0" t="n">
        <f aca="false">-H416*(O416/3600)</f>
        <v>-1.82368083549984</v>
      </c>
      <c r="U416" s="0" t="n">
        <f aca="false">T416-S416</f>
        <v>17.6763191645002</v>
      </c>
      <c r="V416" s="0" t="n">
        <f aca="false">1/(1+EXP(U416))</f>
        <v>2.10509702435277E-008</v>
      </c>
      <c r="W416" s="0" t="n">
        <f aca="true">RAND()</f>
        <v>0.663090790360958</v>
      </c>
      <c r="X416" s="0" t="n">
        <f aca="false">IF(W416&lt;V416,1,0)</f>
        <v>0</v>
      </c>
      <c r="Y416" s="0" t="n">
        <f aca="false">(M416*(1-X416)+N416*X416)*D416+M416*E416</f>
        <v>4288.82985076217</v>
      </c>
      <c r="Z416" s="0" t="n">
        <f aca="false">((1-X416)*O416+X416*P416)*D416+E416*O416</f>
        <v>159.328499406174</v>
      </c>
      <c r="AA416" s="0" t="n">
        <f aca="false">IF(D416*X416&gt;0,AA415,Q416)</f>
        <v>15</v>
      </c>
      <c r="AB416" s="0" t="n">
        <f aca="false">(X416*D416)</f>
        <v>0</v>
      </c>
      <c r="AC416" s="0" t="n">
        <f aca="false">SUM(AB$10:AB415)/K416</f>
        <v>0</v>
      </c>
      <c r="AD416" s="0" t="n">
        <f aca="false">R416*E416+D416*(X416*S416+(1-X416)*T416)</f>
        <v>-0.709528882443529</v>
      </c>
      <c r="AE416" s="0" t="n">
        <f aca="false">Z416</f>
        <v>159.328499406174</v>
      </c>
      <c r="AF416" s="0" t="n">
        <f aca="false">E416*O416</f>
        <v>159.328499406174</v>
      </c>
      <c r="AG416" s="0" t="n">
        <f aca="false">((1-X416)*O416+X416*P416)*D416</f>
        <v>0</v>
      </c>
      <c r="AH416" s="0" t="n">
        <f aca="false">D416*(LN(EXP(S416)+EXP(T416)))</f>
        <v>-0</v>
      </c>
      <c r="AJ416" s="0" t="n">
        <f aca="false">$J$5</f>
        <v>10</v>
      </c>
      <c r="AK416" s="4" t="n">
        <f aca="false">AJ416+MAX(K416,AK$10:AK415)</f>
        <v>4288.82985076217</v>
      </c>
      <c r="AL416" s="5" t="n">
        <f aca="false">AK416-K416</f>
        <v>159.328499406174</v>
      </c>
      <c r="AM416" s="0" t="n">
        <f aca="false">-G416*AL416/3600</f>
        <v>-0.709528882443529</v>
      </c>
      <c r="AN416" s="0" t="n">
        <f aca="false">-H416*AL416/3600</f>
        <v>-1.82368083549983</v>
      </c>
      <c r="AO416" s="0" t="n">
        <f aca="false">AM416*E416+AN416*D416</f>
        <v>-0.709528882443529</v>
      </c>
      <c r="AP416" s="0" t="n">
        <f aca="false">AL416*D416</f>
        <v>0</v>
      </c>
      <c r="AR416" s="0" t="n">
        <f aca="false">AN416*D416</f>
        <v>-0</v>
      </c>
      <c r="AS416" s="0" t="n">
        <f aca="false">AH416-AR416</f>
        <v>0</v>
      </c>
    </row>
    <row r="417" customFormat="false" ht="12" hidden="false" customHeight="false" outlineLevel="0" collapsed="false">
      <c r="A417" s="3" t="n">
        <f aca="false">A416+1</f>
        <v>408</v>
      </c>
      <c r="B417" s="3" t="n">
        <f aca="false">IF(A417&lt;$N$4/3,0.1,(IF(A417&gt;2*$N$4/3,0.05,0.12)))</f>
        <v>0.12</v>
      </c>
      <c r="C417" s="4" t="n">
        <f aca="true">RAND()</f>
        <v>0.245088555668521</v>
      </c>
      <c r="D417" s="0" t="n">
        <f aca="false">IF((C417&gt;$M$2),1,0)</f>
        <v>0</v>
      </c>
      <c r="E417" s="0" t="n">
        <f aca="false">1-D417</f>
        <v>1</v>
      </c>
      <c r="F417" s="0" t="n">
        <f aca="true">RAND()</f>
        <v>0.294873280815841</v>
      </c>
      <c r="G417" s="0" t="n">
        <f aca="false">7.75+F417*10</f>
        <v>10.6987328081584</v>
      </c>
      <c r="H417" s="0" t="n">
        <f aca="false">LOGINV(F417,2.64,1.139)</f>
        <v>7.5825337003631</v>
      </c>
      <c r="I417" s="0" t="n">
        <v>19.5</v>
      </c>
      <c r="J417" s="4" t="n">
        <f aca="true">-LN(RAND())/B417</f>
        <v>9.75413379115597</v>
      </c>
      <c r="K417" s="4" t="n">
        <f aca="false">K416+J417</f>
        <v>4139.25548514715</v>
      </c>
      <c r="L417" s="4" t="n">
        <f aca="false">(1/$J$4)*(1+AB416)</f>
        <v>10</v>
      </c>
      <c r="M417" s="4" t="n">
        <f aca="false">L417+MAX(K417,Y$10:Y416)</f>
        <v>4298.82985076217</v>
      </c>
      <c r="N417" s="4" t="n">
        <f aca="false">K417</f>
        <v>4139.25548514715</v>
      </c>
      <c r="O417" s="4" t="n">
        <f aca="false">M417-K417</f>
        <v>159.574365615018</v>
      </c>
      <c r="P417" s="4" t="n">
        <f aca="false">N417-K417</f>
        <v>0</v>
      </c>
      <c r="Q417" s="4" t="n">
        <f aca="false">A417-MATCH(K417,$M$9:M416,1)</f>
        <v>15</v>
      </c>
      <c r="R417" s="0" t="n">
        <f aca="false">-G417*(O417/3600)</f>
        <v>-0.474234305762905</v>
      </c>
      <c r="S417" s="0" t="n">
        <f aca="false">-1*I417-(H417*(P417/3600))</f>
        <v>-19.5</v>
      </c>
      <c r="T417" s="0" t="n">
        <f aca="false">-H417*(O417/3600)</f>
        <v>-0.336105001386093</v>
      </c>
      <c r="U417" s="0" t="n">
        <f aca="false">T417-S417</f>
        <v>19.1638949986139</v>
      </c>
      <c r="V417" s="0" t="n">
        <f aca="false">1/(1+EXP(U417))</f>
        <v>4.75582809628894E-009</v>
      </c>
      <c r="W417" s="0" t="n">
        <f aca="true">RAND()</f>
        <v>0.527097002751395</v>
      </c>
      <c r="X417" s="0" t="n">
        <f aca="false">IF(W417&lt;V417,1,0)</f>
        <v>0</v>
      </c>
      <c r="Y417" s="0" t="n">
        <f aca="false">(M417*(1-X417)+N417*X417)*D417+M417*E417</f>
        <v>4298.82985076217</v>
      </c>
      <c r="Z417" s="0" t="n">
        <f aca="false">((1-X417)*O417+X417*P417)*D417+E417*O417</f>
        <v>159.574365615018</v>
      </c>
      <c r="AA417" s="0" t="n">
        <f aca="false">IF(D417*X417&gt;0,AA416,Q417)</f>
        <v>15</v>
      </c>
      <c r="AB417" s="0" t="n">
        <f aca="false">(X417*D417)</f>
        <v>0</v>
      </c>
      <c r="AC417" s="0" t="n">
        <f aca="false">SUM(AB$10:AB416)/K417</f>
        <v>0</v>
      </c>
      <c r="AD417" s="0" t="n">
        <f aca="false">R417*E417+D417*(X417*S417+(1-X417)*T417)</f>
        <v>-0.474234305762905</v>
      </c>
      <c r="AE417" s="0" t="n">
        <f aca="false">Z417</f>
        <v>159.574365615018</v>
      </c>
      <c r="AF417" s="0" t="n">
        <f aca="false">E417*O417</f>
        <v>159.574365615018</v>
      </c>
      <c r="AG417" s="0" t="n">
        <f aca="false">((1-X417)*O417+X417*P417)*D417</f>
        <v>0</v>
      </c>
      <c r="AH417" s="0" t="n">
        <f aca="false">D417*(LN(EXP(S417)+EXP(T417)))</f>
        <v>-0</v>
      </c>
      <c r="AJ417" s="0" t="n">
        <f aca="false">$J$5</f>
        <v>10</v>
      </c>
      <c r="AK417" s="4" t="n">
        <f aca="false">AJ417+MAX(K417,AK$10:AK416)</f>
        <v>4298.82985076217</v>
      </c>
      <c r="AL417" s="5" t="n">
        <f aca="false">AK417-K417</f>
        <v>159.574365615018</v>
      </c>
      <c r="AM417" s="0" t="n">
        <f aca="false">-G417*AL417/3600</f>
        <v>-0.474234305762905</v>
      </c>
      <c r="AN417" s="0" t="n">
        <f aca="false">-H417*AL417/3600</f>
        <v>-0.336105001386093</v>
      </c>
      <c r="AO417" s="0" t="n">
        <f aca="false">AM417*E417+AN417*D417</f>
        <v>-0.474234305762905</v>
      </c>
      <c r="AP417" s="0" t="n">
        <f aca="false">AL417*D417</f>
        <v>0</v>
      </c>
      <c r="AR417" s="0" t="n">
        <f aca="false">AN417*D417</f>
        <v>-0</v>
      </c>
      <c r="AS417" s="0" t="n">
        <f aca="false">AH417-AR417</f>
        <v>0</v>
      </c>
    </row>
    <row r="418" customFormat="false" ht="12" hidden="false" customHeight="false" outlineLevel="0" collapsed="false">
      <c r="A418" s="3" t="n">
        <f aca="false">A417+1</f>
        <v>409</v>
      </c>
      <c r="B418" s="3" t="n">
        <f aca="false">IF(A418&lt;$N$4/3,0.1,(IF(A418&gt;2*$N$4/3,0.05,0.12)))</f>
        <v>0.12</v>
      </c>
      <c r="C418" s="4" t="n">
        <f aca="true">RAND()</f>
        <v>0.711507095637343</v>
      </c>
      <c r="D418" s="0" t="n">
        <f aca="false">IF((C418&gt;$M$2),1,0)</f>
        <v>0</v>
      </c>
      <c r="E418" s="0" t="n">
        <f aca="false">1-D418</f>
        <v>1</v>
      </c>
      <c r="F418" s="0" t="n">
        <f aca="true">RAND()</f>
        <v>0.662426674102881</v>
      </c>
      <c r="G418" s="0" t="n">
        <f aca="false">7.75+F418*10</f>
        <v>14.3742667410288</v>
      </c>
      <c r="H418" s="0" t="n">
        <f aca="false">LOGINV(F418,2.64,1.139)</f>
        <v>22.5864300904434</v>
      </c>
      <c r="I418" s="0" t="n">
        <v>19.5</v>
      </c>
      <c r="J418" s="4" t="n">
        <f aca="true">-LN(RAND())/B418</f>
        <v>37.6730801140833</v>
      </c>
      <c r="K418" s="4" t="n">
        <f aca="false">K417+J418</f>
        <v>4176.92856526124</v>
      </c>
      <c r="L418" s="4" t="n">
        <f aca="false">(1/$J$4)*(1+AB417)</f>
        <v>10</v>
      </c>
      <c r="M418" s="4" t="n">
        <f aca="false">L418+MAX(K418,Y$10:Y417)</f>
        <v>4308.82985076217</v>
      </c>
      <c r="N418" s="4" t="n">
        <f aca="false">K418</f>
        <v>4176.92856526124</v>
      </c>
      <c r="O418" s="4" t="n">
        <f aca="false">M418-K418</f>
        <v>131.901285500935</v>
      </c>
      <c r="P418" s="4" t="n">
        <f aca="false">N418-K418</f>
        <v>0</v>
      </c>
      <c r="Q418" s="4" t="n">
        <f aca="false">A418-MATCH(K418,$M$9:M417,1)</f>
        <v>13</v>
      </c>
      <c r="R418" s="0" t="n">
        <f aca="false">-G418*(O418/3600)</f>
        <v>-0.526662294798621</v>
      </c>
      <c r="S418" s="0" t="n">
        <f aca="false">-1*I418-(H418*(P418/3600))</f>
        <v>-19.5</v>
      </c>
      <c r="T418" s="0" t="n">
        <f aca="false">-H418*(O418/3600)</f>
        <v>-0.827549767724025</v>
      </c>
      <c r="U418" s="0" t="n">
        <f aca="false">T418-S418</f>
        <v>18.672450232276</v>
      </c>
      <c r="V418" s="0" t="n">
        <f aca="false">1/(1+EXP(U418))</f>
        <v>7.77423916663888E-009</v>
      </c>
      <c r="W418" s="0" t="n">
        <f aca="true">RAND()</f>
        <v>0.349872292866175</v>
      </c>
      <c r="X418" s="0" t="n">
        <f aca="false">IF(W418&lt;V418,1,0)</f>
        <v>0</v>
      </c>
      <c r="Y418" s="0" t="n">
        <f aca="false">(M418*(1-X418)+N418*X418)*D418+M418*E418</f>
        <v>4308.82985076217</v>
      </c>
      <c r="Z418" s="0" t="n">
        <f aca="false">((1-X418)*O418+X418*P418)*D418+E418*O418</f>
        <v>131.901285500935</v>
      </c>
      <c r="AA418" s="0" t="n">
        <f aca="false">IF(D418*X418&gt;0,AA417,Q418)</f>
        <v>13</v>
      </c>
      <c r="AB418" s="0" t="n">
        <f aca="false">(X418*D418)</f>
        <v>0</v>
      </c>
      <c r="AC418" s="0" t="n">
        <f aca="false">SUM(AB$10:AB417)/K418</f>
        <v>0</v>
      </c>
      <c r="AD418" s="0" t="n">
        <f aca="false">R418*E418+D418*(X418*S418+(1-X418)*T418)</f>
        <v>-0.526662294798621</v>
      </c>
      <c r="AE418" s="0" t="n">
        <f aca="false">Z418</f>
        <v>131.901285500935</v>
      </c>
      <c r="AF418" s="0" t="n">
        <f aca="false">E418*O418</f>
        <v>131.901285500935</v>
      </c>
      <c r="AG418" s="0" t="n">
        <f aca="false">((1-X418)*O418+X418*P418)*D418</f>
        <v>0</v>
      </c>
      <c r="AH418" s="0" t="n">
        <f aca="false">D418*(LN(EXP(S418)+EXP(T418)))</f>
        <v>-0</v>
      </c>
      <c r="AJ418" s="0" t="n">
        <f aca="false">$J$5</f>
        <v>10</v>
      </c>
      <c r="AK418" s="4" t="n">
        <f aca="false">AJ418+MAX(K418,AK$10:AK417)</f>
        <v>4308.82985076217</v>
      </c>
      <c r="AL418" s="5" t="n">
        <f aca="false">AK418-K418</f>
        <v>131.901285500935</v>
      </c>
      <c r="AM418" s="0" t="n">
        <f aca="false">-G418*AL418/3600</f>
        <v>-0.526662294798621</v>
      </c>
      <c r="AN418" s="0" t="n">
        <f aca="false">-H418*AL418/3600</f>
        <v>-0.827549767724025</v>
      </c>
      <c r="AO418" s="0" t="n">
        <f aca="false">AM418*E418+AN418*D418</f>
        <v>-0.526662294798621</v>
      </c>
      <c r="AP418" s="0" t="n">
        <f aca="false">AL418*D418</f>
        <v>0</v>
      </c>
      <c r="AR418" s="0" t="n">
        <f aca="false">AN418*D418</f>
        <v>-0</v>
      </c>
      <c r="AS418" s="0" t="n">
        <f aca="false">AH418-AR418</f>
        <v>0</v>
      </c>
    </row>
    <row r="419" customFormat="false" ht="12" hidden="false" customHeight="false" outlineLevel="0" collapsed="false">
      <c r="A419" s="3" t="n">
        <f aca="false">A418+1</f>
        <v>410</v>
      </c>
      <c r="B419" s="3" t="n">
        <f aca="false">IF(A419&lt;$N$4/3,0.1,(IF(A419&gt;2*$N$4/3,0.05,0.12)))</f>
        <v>0.12</v>
      </c>
      <c r="C419" s="4" t="n">
        <f aca="true">RAND()</f>
        <v>0.796438146597526</v>
      </c>
      <c r="D419" s="0" t="n">
        <f aca="false">IF((C419&gt;$M$2),1,0)</f>
        <v>0</v>
      </c>
      <c r="E419" s="0" t="n">
        <f aca="false">1-D419</f>
        <v>1</v>
      </c>
      <c r="F419" s="0" t="n">
        <f aca="true">RAND()</f>
        <v>0.381126568614161</v>
      </c>
      <c r="G419" s="0" t="n">
        <f aca="false">7.75+F419*10</f>
        <v>11.5612656861416</v>
      </c>
      <c r="H419" s="0" t="n">
        <f aca="false">LOGINV(F419,2.64,1.139)</f>
        <v>9.92866378953341</v>
      </c>
      <c r="I419" s="0" t="n">
        <v>19.5</v>
      </c>
      <c r="J419" s="4" t="n">
        <f aca="true">-LN(RAND())/B419</f>
        <v>11.5206655163024</v>
      </c>
      <c r="K419" s="4" t="n">
        <f aca="false">K418+J419</f>
        <v>4188.44923077754</v>
      </c>
      <c r="L419" s="4" t="n">
        <f aca="false">(1/$J$4)*(1+AB418)</f>
        <v>10</v>
      </c>
      <c r="M419" s="4" t="n">
        <f aca="false">L419+MAX(K419,Y$10:Y418)</f>
        <v>4318.82985076217</v>
      </c>
      <c r="N419" s="4" t="n">
        <f aca="false">K419</f>
        <v>4188.44923077754</v>
      </c>
      <c r="O419" s="4" t="n">
        <f aca="false">M419-K419</f>
        <v>130.380619984633</v>
      </c>
      <c r="P419" s="4" t="n">
        <f aca="false">N419-K419</f>
        <v>0</v>
      </c>
      <c r="Q419" s="4" t="n">
        <f aca="false">A419-MATCH(K419,$M$9:M418,1)</f>
        <v>13</v>
      </c>
      <c r="R419" s="0" t="n">
        <f aca="false">-G419*(O419/3600)</f>
        <v>-0.41871249665728</v>
      </c>
      <c r="S419" s="0" t="n">
        <f aca="false">-1*I419-(H419*(P419/3600))</f>
        <v>-19.5</v>
      </c>
      <c r="T419" s="0" t="n">
        <f aca="false">-H419*(O419/3600)</f>
        <v>-0.359584816805095</v>
      </c>
      <c r="U419" s="0" t="n">
        <f aca="false">T419-S419</f>
        <v>19.1404151831949</v>
      </c>
      <c r="V419" s="0" t="n">
        <f aca="false">1/(1+EXP(U419))</f>
        <v>4.86881533052241E-009</v>
      </c>
      <c r="W419" s="0" t="n">
        <f aca="true">RAND()</f>
        <v>0.0296012658224608</v>
      </c>
      <c r="X419" s="0" t="n">
        <f aca="false">IF(W419&lt;V419,1,0)</f>
        <v>0</v>
      </c>
      <c r="Y419" s="0" t="n">
        <f aca="false">(M419*(1-X419)+N419*X419)*D419+M419*E419</f>
        <v>4318.82985076217</v>
      </c>
      <c r="Z419" s="0" t="n">
        <f aca="false">((1-X419)*O419+X419*P419)*D419+E419*O419</f>
        <v>130.380619984633</v>
      </c>
      <c r="AA419" s="0" t="n">
        <f aca="false">IF(D419*X419&gt;0,AA418,Q419)</f>
        <v>13</v>
      </c>
      <c r="AB419" s="0" t="n">
        <f aca="false">(X419*D419)</f>
        <v>0</v>
      </c>
      <c r="AC419" s="0" t="n">
        <f aca="false">SUM(AB$10:AB418)/K419</f>
        <v>0</v>
      </c>
      <c r="AD419" s="0" t="n">
        <f aca="false">R419*E419+D419*(X419*S419+(1-X419)*T419)</f>
        <v>-0.41871249665728</v>
      </c>
      <c r="AE419" s="0" t="n">
        <f aca="false">Z419</f>
        <v>130.380619984633</v>
      </c>
      <c r="AF419" s="0" t="n">
        <f aca="false">E419*O419</f>
        <v>130.380619984633</v>
      </c>
      <c r="AG419" s="0" t="n">
        <f aca="false">((1-X419)*O419+X419*P419)*D419</f>
        <v>0</v>
      </c>
      <c r="AH419" s="0" t="n">
        <f aca="false">D419*(LN(EXP(S419)+EXP(T419)))</f>
        <v>-0</v>
      </c>
      <c r="AJ419" s="0" t="n">
        <f aca="false">$J$5</f>
        <v>10</v>
      </c>
      <c r="AK419" s="4" t="n">
        <f aca="false">AJ419+MAX(K419,AK$10:AK418)</f>
        <v>4318.82985076217</v>
      </c>
      <c r="AL419" s="5" t="n">
        <f aca="false">AK419-K419</f>
        <v>130.380619984633</v>
      </c>
      <c r="AM419" s="0" t="n">
        <f aca="false">-G419*AL419/3600</f>
        <v>-0.41871249665728</v>
      </c>
      <c r="AN419" s="0" t="n">
        <f aca="false">-H419*AL419/3600</f>
        <v>-0.359584816805095</v>
      </c>
      <c r="AO419" s="0" t="n">
        <f aca="false">AM419*E419+AN419*D419</f>
        <v>-0.41871249665728</v>
      </c>
      <c r="AP419" s="0" t="n">
        <f aca="false">AL419*D419</f>
        <v>0</v>
      </c>
      <c r="AR419" s="0" t="n">
        <f aca="false">AN419*D419</f>
        <v>-0</v>
      </c>
      <c r="AS419" s="0" t="n">
        <f aca="false">AH419-AR419</f>
        <v>0</v>
      </c>
    </row>
    <row r="420" customFormat="false" ht="12" hidden="false" customHeight="false" outlineLevel="0" collapsed="false">
      <c r="A420" s="3" t="n">
        <f aca="false">A419+1</f>
        <v>411</v>
      </c>
      <c r="B420" s="3" t="n">
        <f aca="false">IF(A420&lt;$N$4/3,0.1,(IF(A420&gt;2*$N$4/3,0.05,0.12)))</f>
        <v>0.12</v>
      </c>
      <c r="C420" s="4" t="n">
        <f aca="true">RAND()</f>
        <v>0.4525013721859</v>
      </c>
      <c r="D420" s="0" t="n">
        <f aca="false">IF((C420&gt;$M$2),1,0)</f>
        <v>0</v>
      </c>
      <c r="E420" s="0" t="n">
        <f aca="false">1-D420</f>
        <v>1</v>
      </c>
      <c r="F420" s="0" t="n">
        <f aca="true">RAND()</f>
        <v>0.396799016011119</v>
      </c>
      <c r="G420" s="0" t="n">
        <f aca="false">7.75+F420*10</f>
        <v>11.7179901601112</v>
      </c>
      <c r="H420" s="0" t="n">
        <f aca="false">LOGINV(F420,2.64,1.139)</f>
        <v>10.4019221018396</v>
      </c>
      <c r="I420" s="0" t="n">
        <v>19.5</v>
      </c>
      <c r="J420" s="4" t="n">
        <f aca="true">-LN(RAND())/B420</f>
        <v>25.2026802948641</v>
      </c>
      <c r="K420" s="4" t="n">
        <f aca="false">K419+J420</f>
        <v>4213.6519110724</v>
      </c>
      <c r="L420" s="4" t="n">
        <f aca="false">(1/$J$4)*(1+AB419)</f>
        <v>10</v>
      </c>
      <c r="M420" s="4" t="n">
        <f aca="false">L420+MAX(K420,Y$10:Y419)</f>
        <v>4328.82985076217</v>
      </c>
      <c r="N420" s="4" t="n">
        <f aca="false">K420</f>
        <v>4213.6519110724</v>
      </c>
      <c r="O420" s="4" t="n">
        <f aca="false">M420-K420</f>
        <v>115.177939689769</v>
      </c>
      <c r="P420" s="4" t="n">
        <f aca="false">N420-K420</f>
        <v>0</v>
      </c>
      <c r="Q420" s="4" t="n">
        <f aca="false">A420-MATCH(K420,$M$9:M419,1)</f>
        <v>11</v>
      </c>
      <c r="R420" s="0" t="n">
        <f aca="false">-G420*(O420/3600)</f>
        <v>-0.374903878874054</v>
      </c>
      <c r="S420" s="0" t="n">
        <f aca="false">-1*I420-(H420*(P420/3600))</f>
        <v>-19.5</v>
      </c>
      <c r="T420" s="0" t="n">
        <f aca="false">-H420*(O420/3600)</f>
        <v>-0.332797765695378</v>
      </c>
      <c r="U420" s="0" t="n">
        <f aca="false">T420-S420</f>
        <v>19.1672022343046</v>
      </c>
      <c r="V420" s="0" t="n">
        <f aca="false">1/(1+EXP(U420))</f>
        <v>4.74012543246238E-009</v>
      </c>
      <c r="W420" s="0" t="n">
        <f aca="true">RAND()</f>
        <v>0.339558716061776</v>
      </c>
      <c r="X420" s="0" t="n">
        <f aca="false">IF(W420&lt;V420,1,0)</f>
        <v>0</v>
      </c>
      <c r="Y420" s="0" t="n">
        <f aca="false">(M420*(1-X420)+N420*X420)*D420+M420*E420</f>
        <v>4328.82985076217</v>
      </c>
      <c r="Z420" s="0" t="n">
        <f aca="false">((1-X420)*O420+X420*P420)*D420+E420*O420</f>
        <v>115.177939689769</v>
      </c>
      <c r="AA420" s="0" t="n">
        <f aca="false">IF(D420*X420&gt;0,AA419,Q420)</f>
        <v>11</v>
      </c>
      <c r="AB420" s="0" t="n">
        <f aca="false">(X420*D420)</f>
        <v>0</v>
      </c>
      <c r="AC420" s="0" t="n">
        <f aca="false">SUM(AB$10:AB419)/K420</f>
        <v>0</v>
      </c>
      <c r="AD420" s="0" t="n">
        <f aca="false">R420*E420+D420*(X420*S420+(1-X420)*T420)</f>
        <v>-0.374903878874054</v>
      </c>
      <c r="AE420" s="0" t="n">
        <f aca="false">Z420</f>
        <v>115.177939689769</v>
      </c>
      <c r="AF420" s="0" t="n">
        <f aca="false">E420*O420</f>
        <v>115.177939689769</v>
      </c>
      <c r="AG420" s="0" t="n">
        <f aca="false">((1-X420)*O420+X420*P420)*D420</f>
        <v>0</v>
      </c>
      <c r="AH420" s="0" t="n">
        <f aca="false">D420*(LN(EXP(S420)+EXP(T420)))</f>
        <v>-0</v>
      </c>
      <c r="AJ420" s="0" t="n">
        <f aca="false">$J$5</f>
        <v>10</v>
      </c>
      <c r="AK420" s="4" t="n">
        <f aca="false">AJ420+MAX(K420,AK$10:AK419)</f>
        <v>4328.82985076217</v>
      </c>
      <c r="AL420" s="5" t="n">
        <f aca="false">AK420-K420</f>
        <v>115.177939689769</v>
      </c>
      <c r="AM420" s="0" t="n">
        <f aca="false">-G420*AL420/3600</f>
        <v>-0.374903878874054</v>
      </c>
      <c r="AN420" s="0" t="n">
        <f aca="false">-H420*AL420/3600</f>
        <v>-0.332797765695378</v>
      </c>
      <c r="AO420" s="0" t="n">
        <f aca="false">AM420*E420+AN420*D420</f>
        <v>-0.374903878874054</v>
      </c>
      <c r="AP420" s="0" t="n">
        <f aca="false">AL420*D420</f>
        <v>0</v>
      </c>
      <c r="AR420" s="0" t="n">
        <f aca="false">AN420*D420</f>
        <v>-0</v>
      </c>
      <c r="AS420" s="0" t="n">
        <f aca="false">AH420-AR420</f>
        <v>0</v>
      </c>
    </row>
    <row r="421" customFormat="false" ht="12" hidden="false" customHeight="false" outlineLevel="0" collapsed="false">
      <c r="A421" s="3" t="n">
        <f aca="false">A420+1</f>
        <v>412</v>
      </c>
      <c r="B421" s="3" t="n">
        <f aca="false">IF(A421&lt;$N$4/3,0.1,(IF(A421&gt;2*$N$4/3,0.05,0.12)))</f>
        <v>0.12</v>
      </c>
      <c r="C421" s="4" t="n">
        <f aca="true">RAND()</f>
        <v>0.694673715788365</v>
      </c>
      <c r="D421" s="0" t="n">
        <f aca="false">IF((C421&gt;$M$2),1,0)</f>
        <v>0</v>
      </c>
      <c r="E421" s="0" t="n">
        <f aca="false">1-D421</f>
        <v>1</v>
      </c>
      <c r="F421" s="0" t="n">
        <f aca="true">RAND()</f>
        <v>0.491948003807783</v>
      </c>
      <c r="G421" s="0" t="n">
        <f aca="false">7.75+F421*10</f>
        <v>12.6694800380778</v>
      </c>
      <c r="H421" s="0" t="n">
        <f aca="false">LOGINV(F421,2.64,1.139)</f>
        <v>13.6947095005697</v>
      </c>
      <c r="I421" s="0" t="n">
        <v>19.5</v>
      </c>
      <c r="J421" s="4" t="n">
        <f aca="true">-LN(RAND())/B421</f>
        <v>0.933477095452679</v>
      </c>
      <c r="K421" s="4" t="n">
        <f aca="false">K420+J421</f>
        <v>4214.58538816786</v>
      </c>
      <c r="L421" s="4" t="n">
        <f aca="false">(1/$J$4)*(1+AB420)</f>
        <v>10</v>
      </c>
      <c r="M421" s="4" t="n">
        <f aca="false">L421+MAX(K421,Y$10:Y420)</f>
        <v>4338.82985076217</v>
      </c>
      <c r="N421" s="4" t="n">
        <f aca="false">K421</f>
        <v>4214.58538816786</v>
      </c>
      <c r="O421" s="4" t="n">
        <f aca="false">M421-K421</f>
        <v>124.244462594316</v>
      </c>
      <c r="P421" s="4" t="n">
        <f aca="false">N421-K421</f>
        <v>0</v>
      </c>
      <c r="Q421" s="4" t="n">
        <f aca="false">A421-MATCH(K421,$M$9:M420,1)</f>
        <v>12</v>
      </c>
      <c r="R421" s="0" t="n">
        <f aca="false">-G421*(O421/3600)</f>
        <v>-0.437253538522333</v>
      </c>
      <c r="S421" s="0" t="n">
        <f aca="false">-1*I421-(H421*(P421/3600))</f>
        <v>-19.5</v>
      </c>
      <c r="T421" s="0" t="n">
        <f aca="false">-H421*(O421/3600)</f>
        <v>-0.472636617300989</v>
      </c>
      <c r="U421" s="0" t="n">
        <f aca="false">T421-S421</f>
        <v>19.027363382699</v>
      </c>
      <c r="V421" s="0" t="n">
        <f aca="false">1/(1+EXP(U421))</f>
        <v>5.45156350288468E-009</v>
      </c>
      <c r="W421" s="0" t="n">
        <f aca="true">RAND()</f>
        <v>0.0490618983547405</v>
      </c>
      <c r="X421" s="0" t="n">
        <f aca="false">IF(W421&lt;V421,1,0)</f>
        <v>0</v>
      </c>
      <c r="Y421" s="0" t="n">
        <f aca="false">(M421*(1-X421)+N421*X421)*D421+M421*E421</f>
        <v>4338.82985076217</v>
      </c>
      <c r="Z421" s="0" t="n">
        <f aca="false">((1-X421)*O421+X421*P421)*D421+E421*O421</f>
        <v>124.244462594316</v>
      </c>
      <c r="AA421" s="0" t="n">
        <f aca="false">IF(D421*X421&gt;0,AA420,Q421)</f>
        <v>12</v>
      </c>
      <c r="AB421" s="0" t="n">
        <f aca="false">(X421*D421)</f>
        <v>0</v>
      </c>
      <c r="AC421" s="0" t="n">
        <f aca="false">SUM(AB$10:AB420)/K421</f>
        <v>0</v>
      </c>
      <c r="AD421" s="0" t="n">
        <f aca="false">R421*E421+D421*(X421*S421+(1-X421)*T421)</f>
        <v>-0.437253538522333</v>
      </c>
      <c r="AE421" s="0" t="n">
        <f aca="false">Z421</f>
        <v>124.244462594316</v>
      </c>
      <c r="AF421" s="0" t="n">
        <f aca="false">E421*O421</f>
        <v>124.244462594316</v>
      </c>
      <c r="AG421" s="0" t="n">
        <f aca="false">((1-X421)*O421+X421*P421)*D421</f>
        <v>0</v>
      </c>
      <c r="AH421" s="0" t="n">
        <f aca="false">D421*(LN(EXP(S421)+EXP(T421)))</f>
        <v>-0</v>
      </c>
      <c r="AJ421" s="0" t="n">
        <f aca="false">$J$5</f>
        <v>10</v>
      </c>
      <c r="AK421" s="4" t="n">
        <f aca="false">AJ421+MAX(K421,AK$10:AK420)</f>
        <v>4338.82985076217</v>
      </c>
      <c r="AL421" s="5" t="n">
        <f aca="false">AK421-K421</f>
        <v>124.244462594316</v>
      </c>
      <c r="AM421" s="0" t="n">
        <f aca="false">-G421*AL421/3600</f>
        <v>-0.437253538522333</v>
      </c>
      <c r="AN421" s="0" t="n">
        <f aca="false">-H421*AL421/3600</f>
        <v>-0.472636617300989</v>
      </c>
      <c r="AO421" s="0" t="n">
        <f aca="false">AM421*E421+AN421*D421</f>
        <v>-0.437253538522333</v>
      </c>
      <c r="AP421" s="0" t="n">
        <f aca="false">AL421*D421</f>
        <v>0</v>
      </c>
      <c r="AR421" s="0" t="n">
        <f aca="false">AN421*D421</f>
        <v>-0</v>
      </c>
      <c r="AS421" s="0" t="n">
        <f aca="false">AH421-AR421</f>
        <v>0</v>
      </c>
    </row>
    <row r="422" customFormat="false" ht="12" hidden="false" customHeight="false" outlineLevel="0" collapsed="false">
      <c r="A422" s="3" t="n">
        <f aca="false">A421+1</f>
        <v>413</v>
      </c>
      <c r="B422" s="3" t="n">
        <f aca="false">IF(A422&lt;$N$4/3,0.1,(IF(A422&gt;2*$N$4/3,0.05,0.12)))</f>
        <v>0.12</v>
      </c>
      <c r="C422" s="4" t="n">
        <f aca="true">RAND()</f>
        <v>0.0932552893428132</v>
      </c>
      <c r="D422" s="0" t="n">
        <f aca="false">IF((C422&gt;$M$2),1,0)</f>
        <v>0</v>
      </c>
      <c r="E422" s="0" t="n">
        <f aca="false">1-D422</f>
        <v>1</v>
      </c>
      <c r="F422" s="0" t="n">
        <f aca="true">RAND()</f>
        <v>0.0356377600594252</v>
      </c>
      <c r="G422" s="0" t="n">
        <f aca="false">7.75+F422*10</f>
        <v>8.10637760059425</v>
      </c>
      <c r="H422" s="0" t="n">
        <f aca="false">LOGINV(F422,2.64,1.139)</f>
        <v>1.79600571729855</v>
      </c>
      <c r="I422" s="0" t="n">
        <v>19.5</v>
      </c>
      <c r="J422" s="4" t="n">
        <f aca="true">-LN(RAND())/B422</f>
        <v>3.41983962718147</v>
      </c>
      <c r="K422" s="4" t="n">
        <f aca="false">K421+J422</f>
        <v>4218.00522779504</v>
      </c>
      <c r="L422" s="4" t="n">
        <f aca="false">(1/$J$4)*(1+AB421)</f>
        <v>10</v>
      </c>
      <c r="M422" s="4" t="n">
        <f aca="false">L422+MAX(K422,Y$10:Y421)</f>
        <v>4348.82985076217</v>
      </c>
      <c r="N422" s="4" t="n">
        <f aca="false">K422</f>
        <v>4218.00522779504</v>
      </c>
      <c r="O422" s="4" t="n">
        <f aca="false">M422-K422</f>
        <v>130.824622967135</v>
      </c>
      <c r="P422" s="4" t="n">
        <f aca="false">N422-K422</f>
        <v>0</v>
      </c>
      <c r="Q422" s="4" t="n">
        <f aca="false">A422-MATCH(K422,$M$9:M421,1)</f>
        <v>13</v>
      </c>
      <c r="R422" s="0" t="n">
        <f aca="false">-G422*(O422/3600)</f>
        <v>-0.29458716478527</v>
      </c>
      <c r="S422" s="0" t="n">
        <f aca="false">-1*I422-(H422*(P422/3600))</f>
        <v>-19.5</v>
      </c>
      <c r="T422" s="0" t="n">
        <f aca="false">-H422*(O422/3600)</f>
        <v>-0.0652671585590005</v>
      </c>
      <c r="U422" s="0" t="n">
        <f aca="false">T422-S422</f>
        <v>19.434732841441</v>
      </c>
      <c r="V422" s="0" t="n">
        <f aca="false">1/(1+EXP(U422))</f>
        <v>3.62746113554227E-009</v>
      </c>
      <c r="W422" s="0" t="n">
        <f aca="true">RAND()</f>
        <v>0.979384022267833</v>
      </c>
      <c r="X422" s="0" t="n">
        <f aca="false">IF(W422&lt;V422,1,0)</f>
        <v>0</v>
      </c>
      <c r="Y422" s="0" t="n">
        <f aca="false">(M422*(1-X422)+N422*X422)*D422+M422*E422</f>
        <v>4348.82985076217</v>
      </c>
      <c r="Z422" s="0" t="n">
        <f aca="false">((1-X422)*O422+X422*P422)*D422+E422*O422</f>
        <v>130.824622967135</v>
      </c>
      <c r="AA422" s="0" t="n">
        <f aca="false">IF(D422*X422&gt;0,AA421,Q422)</f>
        <v>13</v>
      </c>
      <c r="AB422" s="0" t="n">
        <f aca="false">(X422*D422)</f>
        <v>0</v>
      </c>
      <c r="AC422" s="0" t="n">
        <f aca="false">SUM(AB$10:AB421)/K422</f>
        <v>0</v>
      </c>
      <c r="AD422" s="0" t="n">
        <f aca="false">R422*E422+D422*(X422*S422+(1-X422)*T422)</f>
        <v>-0.29458716478527</v>
      </c>
      <c r="AE422" s="0" t="n">
        <f aca="false">Z422</f>
        <v>130.824622967135</v>
      </c>
      <c r="AF422" s="0" t="n">
        <f aca="false">E422*O422</f>
        <v>130.824622967135</v>
      </c>
      <c r="AG422" s="0" t="n">
        <f aca="false">((1-X422)*O422+X422*P422)*D422</f>
        <v>0</v>
      </c>
      <c r="AH422" s="0" t="n">
        <f aca="false">D422*(LN(EXP(S422)+EXP(T422)))</f>
        <v>-0</v>
      </c>
      <c r="AJ422" s="0" t="n">
        <f aca="false">$J$5</f>
        <v>10</v>
      </c>
      <c r="AK422" s="4" t="n">
        <f aca="false">AJ422+MAX(K422,AK$10:AK421)</f>
        <v>4348.82985076217</v>
      </c>
      <c r="AL422" s="5" t="n">
        <f aca="false">AK422-K422</f>
        <v>130.824622967135</v>
      </c>
      <c r="AM422" s="0" t="n">
        <f aca="false">-G422*AL422/3600</f>
        <v>-0.29458716478527</v>
      </c>
      <c r="AN422" s="0" t="n">
        <f aca="false">-H422*AL422/3600</f>
        <v>-0.0652671585590005</v>
      </c>
      <c r="AO422" s="0" t="n">
        <f aca="false">AM422*E422+AN422*D422</f>
        <v>-0.29458716478527</v>
      </c>
      <c r="AP422" s="0" t="n">
        <f aca="false">AL422*D422</f>
        <v>0</v>
      </c>
      <c r="AR422" s="0" t="n">
        <f aca="false">AN422*D422</f>
        <v>-0</v>
      </c>
      <c r="AS422" s="0" t="n">
        <f aca="false">AH422-AR422</f>
        <v>0</v>
      </c>
    </row>
    <row r="423" customFormat="false" ht="12" hidden="false" customHeight="false" outlineLevel="0" collapsed="false">
      <c r="A423" s="3" t="n">
        <f aca="false">A422+1</f>
        <v>414</v>
      </c>
      <c r="B423" s="3" t="n">
        <f aca="false">IF(A423&lt;$N$4/3,0.1,(IF(A423&gt;2*$N$4/3,0.05,0.12)))</f>
        <v>0.12</v>
      </c>
      <c r="C423" s="4" t="n">
        <f aca="true">RAND()</f>
        <v>0.553035037772701</v>
      </c>
      <c r="D423" s="0" t="n">
        <f aca="false">IF((C423&gt;$M$2),1,0)</f>
        <v>0</v>
      </c>
      <c r="E423" s="0" t="n">
        <f aca="false">1-D423</f>
        <v>1</v>
      </c>
      <c r="F423" s="0" t="n">
        <f aca="true">RAND()</f>
        <v>0.881182108890607</v>
      </c>
      <c r="G423" s="0" t="n">
        <f aca="false">7.75+F423*10</f>
        <v>16.5618210889061</v>
      </c>
      <c r="H423" s="0" t="n">
        <f aca="false">LOGINV(F423,2.64,1.139)</f>
        <v>53.7887436482411</v>
      </c>
      <c r="I423" s="0" t="n">
        <v>19.5</v>
      </c>
      <c r="J423" s="4" t="n">
        <f aca="true">-LN(RAND())/B423</f>
        <v>6.30792191262933</v>
      </c>
      <c r="K423" s="4" t="n">
        <f aca="false">K422+J423</f>
        <v>4224.31314970767</v>
      </c>
      <c r="L423" s="4" t="n">
        <f aca="false">(1/$J$4)*(1+AB422)</f>
        <v>10</v>
      </c>
      <c r="M423" s="4" t="n">
        <f aca="false">L423+MAX(K423,Y$10:Y422)</f>
        <v>4358.82985076217</v>
      </c>
      <c r="N423" s="4" t="n">
        <f aca="false">K423</f>
        <v>4224.31314970767</v>
      </c>
      <c r="O423" s="4" t="n">
        <f aca="false">M423-K423</f>
        <v>134.516701054506</v>
      </c>
      <c r="P423" s="4" t="n">
        <f aca="false">N423-K423</f>
        <v>0</v>
      </c>
      <c r="Q423" s="4" t="n">
        <f aca="false">A423-MATCH(K423,$M$9:M422,1)</f>
        <v>13</v>
      </c>
      <c r="R423" s="0" t="n">
        <f aca="false">-G423*(O423/3600)</f>
        <v>-0.618844871204051</v>
      </c>
      <c r="S423" s="0" t="n">
        <f aca="false">-1*I423-(H423*(P423/3600))</f>
        <v>-19.5</v>
      </c>
      <c r="T423" s="0" t="n">
        <f aca="false">-H423*(O423/3600)</f>
        <v>-2.00985676372997</v>
      </c>
      <c r="U423" s="0" t="n">
        <f aca="false">T423-S423</f>
        <v>17.49014323627</v>
      </c>
      <c r="V423" s="0" t="n">
        <f aca="false">1/(1+EXP(U423))</f>
        <v>2.53587179765915E-008</v>
      </c>
      <c r="W423" s="0" t="n">
        <f aca="true">RAND()</f>
        <v>0.222317628088259</v>
      </c>
      <c r="X423" s="0" t="n">
        <f aca="false">IF(W423&lt;V423,1,0)</f>
        <v>0</v>
      </c>
      <c r="Y423" s="0" t="n">
        <f aca="false">(M423*(1-X423)+N423*X423)*D423+M423*E423</f>
        <v>4358.82985076217</v>
      </c>
      <c r="Z423" s="0" t="n">
        <f aca="false">((1-X423)*O423+X423*P423)*D423+E423*O423</f>
        <v>134.516701054506</v>
      </c>
      <c r="AA423" s="0" t="n">
        <f aca="false">IF(D423*X423&gt;0,AA422,Q423)</f>
        <v>13</v>
      </c>
      <c r="AB423" s="0" t="n">
        <f aca="false">(X423*D423)</f>
        <v>0</v>
      </c>
      <c r="AC423" s="0" t="n">
        <f aca="false">SUM(AB$10:AB422)/K423</f>
        <v>0</v>
      </c>
      <c r="AD423" s="0" t="n">
        <f aca="false">R423*E423+D423*(X423*S423+(1-X423)*T423)</f>
        <v>-0.618844871204051</v>
      </c>
      <c r="AE423" s="0" t="n">
        <f aca="false">Z423</f>
        <v>134.516701054506</v>
      </c>
      <c r="AF423" s="0" t="n">
        <f aca="false">E423*O423</f>
        <v>134.516701054506</v>
      </c>
      <c r="AG423" s="0" t="n">
        <f aca="false">((1-X423)*O423+X423*P423)*D423</f>
        <v>0</v>
      </c>
      <c r="AH423" s="0" t="n">
        <f aca="false">D423*(LN(EXP(S423)+EXP(T423)))</f>
        <v>-0</v>
      </c>
      <c r="AJ423" s="0" t="n">
        <f aca="false">$J$5</f>
        <v>10</v>
      </c>
      <c r="AK423" s="4" t="n">
        <f aca="false">AJ423+MAX(K423,AK$10:AK422)</f>
        <v>4358.82985076217</v>
      </c>
      <c r="AL423" s="5" t="n">
        <f aca="false">AK423-K423</f>
        <v>134.516701054506</v>
      </c>
      <c r="AM423" s="0" t="n">
        <f aca="false">-G423*AL423/3600</f>
        <v>-0.618844871204051</v>
      </c>
      <c r="AN423" s="0" t="n">
        <f aca="false">-H423*AL423/3600</f>
        <v>-2.00985676372997</v>
      </c>
      <c r="AO423" s="0" t="n">
        <f aca="false">AM423*E423+AN423*D423</f>
        <v>-0.618844871204051</v>
      </c>
      <c r="AP423" s="0" t="n">
        <f aca="false">AL423*D423</f>
        <v>0</v>
      </c>
      <c r="AR423" s="0" t="n">
        <f aca="false">AN423*D423</f>
        <v>-0</v>
      </c>
      <c r="AS423" s="0" t="n">
        <f aca="false">AH423-AR423</f>
        <v>0</v>
      </c>
    </row>
    <row r="424" customFormat="false" ht="12" hidden="false" customHeight="false" outlineLevel="0" collapsed="false">
      <c r="A424" s="3" t="n">
        <f aca="false">A423+1</f>
        <v>415</v>
      </c>
      <c r="B424" s="3" t="n">
        <f aca="false">IF(A424&lt;$N$4/3,0.1,(IF(A424&gt;2*$N$4/3,0.05,0.12)))</f>
        <v>0.12</v>
      </c>
      <c r="C424" s="4" t="n">
        <f aca="true">RAND()</f>
        <v>0.00437820696539088</v>
      </c>
      <c r="D424" s="0" t="n">
        <f aca="false">IF((C424&gt;$M$2),1,0)</f>
        <v>0</v>
      </c>
      <c r="E424" s="0" t="n">
        <f aca="false">1-D424</f>
        <v>1</v>
      </c>
      <c r="F424" s="0" t="n">
        <f aca="true">RAND()</f>
        <v>0.270625169696606</v>
      </c>
      <c r="G424" s="0" t="n">
        <f aca="false">7.75+F424*10</f>
        <v>10.4562516969661</v>
      </c>
      <c r="H424" s="0" t="n">
        <f aca="false">LOGINV(F424,2.64,1.139)</f>
        <v>6.98774798645889</v>
      </c>
      <c r="I424" s="0" t="n">
        <v>19.5</v>
      </c>
      <c r="J424" s="4" t="n">
        <f aca="true">-LN(RAND())/B424</f>
        <v>10.7917130482056</v>
      </c>
      <c r="K424" s="4" t="n">
        <f aca="false">K423+J424</f>
        <v>4235.10486275587</v>
      </c>
      <c r="L424" s="4" t="n">
        <f aca="false">(1/$J$4)*(1+AB423)</f>
        <v>10</v>
      </c>
      <c r="M424" s="4" t="n">
        <f aca="false">L424+MAX(K424,Y$10:Y423)</f>
        <v>4368.82985076217</v>
      </c>
      <c r="N424" s="4" t="n">
        <f aca="false">K424</f>
        <v>4235.10486275587</v>
      </c>
      <c r="O424" s="4" t="n">
        <f aca="false">M424-K424</f>
        <v>133.7249880063</v>
      </c>
      <c r="P424" s="4" t="n">
        <f aca="false">N424-K424</f>
        <v>0</v>
      </c>
      <c r="Q424" s="4" t="n">
        <f aca="false">A424-MATCH(K424,$M$9:M423,1)</f>
        <v>13</v>
      </c>
      <c r="R424" s="0" t="n">
        <f aca="false">-G424*(O424/3600)</f>
        <v>-0.388406147991011</v>
      </c>
      <c r="S424" s="0" t="n">
        <f aca="false">-1*I424-(H424*(P424/3600))</f>
        <v>-19.5</v>
      </c>
      <c r="T424" s="0" t="n">
        <f aca="false">-H424*(O424/3600)</f>
        <v>-0.259565698800073</v>
      </c>
      <c r="U424" s="0" t="n">
        <f aca="false">T424-S424</f>
        <v>19.2404343011999</v>
      </c>
      <c r="V424" s="0" t="n">
        <f aca="false">1/(1+EXP(U424))</f>
        <v>4.40540207130134E-009</v>
      </c>
      <c r="W424" s="0" t="n">
        <f aca="true">RAND()</f>
        <v>0.913328309459142</v>
      </c>
      <c r="X424" s="0" t="n">
        <f aca="false">IF(W424&lt;V424,1,0)</f>
        <v>0</v>
      </c>
      <c r="Y424" s="0" t="n">
        <f aca="false">(M424*(1-X424)+N424*X424)*D424+M424*E424</f>
        <v>4368.82985076217</v>
      </c>
      <c r="Z424" s="0" t="n">
        <f aca="false">((1-X424)*O424+X424*P424)*D424+E424*O424</f>
        <v>133.7249880063</v>
      </c>
      <c r="AA424" s="0" t="n">
        <f aca="false">IF(D424*X424&gt;0,AA423,Q424)</f>
        <v>13</v>
      </c>
      <c r="AB424" s="0" t="n">
        <f aca="false">(X424*D424)</f>
        <v>0</v>
      </c>
      <c r="AC424" s="0" t="n">
        <f aca="false">SUM(AB$10:AB423)/K424</f>
        <v>0</v>
      </c>
      <c r="AD424" s="0" t="n">
        <f aca="false">R424*E424+D424*(X424*S424+(1-X424)*T424)</f>
        <v>-0.388406147991011</v>
      </c>
      <c r="AE424" s="0" t="n">
        <f aca="false">Z424</f>
        <v>133.7249880063</v>
      </c>
      <c r="AF424" s="0" t="n">
        <f aca="false">E424*O424</f>
        <v>133.7249880063</v>
      </c>
      <c r="AG424" s="0" t="n">
        <f aca="false">((1-X424)*O424+X424*P424)*D424</f>
        <v>0</v>
      </c>
      <c r="AH424" s="0" t="n">
        <f aca="false">D424*(LN(EXP(S424)+EXP(T424)))</f>
        <v>-0</v>
      </c>
      <c r="AJ424" s="0" t="n">
        <f aca="false">$J$5</f>
        <v>10</v>
      </c>
      <c r="AK424" s="4" t="n">
        <f aca="false">AJ424+MAX(K424,AK$10:AK423)</f>
        <v>4368.82985076217</v>
      </c>
      <c r="AL424" s="5" t="n">
        <f aca="false">AK424-K424</f>
        <v>133.7249880063</v>
      </c>
      <c r="AM424" s="0" t="n">
        <f aca="false">-G424*AL424/3600</f>
        <v>-0.388406147991011</v>
      </c>
      <c r="AN424" s="0" t="n">
        <f aca="false">-H424*AL424/3600</f>
        <v>-0.259565698800073</v>
      </c>
      <c r="AO424" s="0" t="n">
        <f aca="false">AM424*E424+AN424*D424</f>
        <v>-0.388406147991011</v>
      </c>
      <c r="AP424" s="0" t="n">
        <f aca="false">AL424*D424</f>
        <v>0</v>
      </c>
      <c r="AR424" s="0" t="n">
        <f aca="false">AN424*D424</f>
        <v>-0</v>
      </c>
      <c r="AS424" s="0" t="n">
        <f aca="false">AH424-AR424</f>
        <v>0</v>
      </c>
    </row>
    <row r="425" customFormat="false" ht="12" hidden="false" customHeight="false" outlineLevel="0" collapsed="false">
      <c r="A425" s="3" t="n">
        <f aca="false">A424+1</f>
        <v>416</v>
      </c>
      <c r="B425" s="3" t="n">
        <f aca="false">IF(A425&lt;$N$4/3,0.1,(IF(A425&gt;2*$N$4/3,0.05,0.12)))</f>
        <v>0.12</v>
      </c>
      <c r="C425" s="4" t="n">
        <f aca="true">RAND()</f>
        <v>0.901689444650675</v>
      </c>
      <c r="D425" s="0" t="n">
        <f aca="false">IF((C425&gt;$M$2),1,0)</f>
        <v>1</v>
      </c>
      <c r="E425" s="0" t="n">
        <f aca="false">1-D425</f>
        <v>0</v>
      </c>
      <c r="F425" s="0" t="n">
        <f aca="true">RAND()</f>
        <v>0.580805265896468</v>
      </c>
      <c r="G425" s="0" t="n">
        <f aca="false">7.75+F425*10</f>
        <v>13.5580526589647</v>
      </c>
      <c r="H425" s="0" t="n">
        <f aca="false">LOGINV(F425,2.64,1.139)</f>
        <v>17.6776931995729</v>
      </c>
      <c r="I425" s="0" t="n">
        <v>19.5</v>
      </c>
      <c r="J425" s="4" t="n">
        <f aca="true">-LN(RAND())/B425</f>
        <v>4.55183387968571</v>
      </c>
      <c r="K425" s="4" t="n">
        <f aca="false">K424+J425</f>
        <v>4239.65669663556</v>
      </c>
      <c r="L425" s="4" t="n">
        <f aca="false">(1/$J$4)*(1+AB424)</f>
        <v>10</v>
      </c>
      <c r="M425" s="4" t="n">
        <f aca="false">L425+MAX(K425,Y$10:Y424)</f>
        <v>4378.82985076217</v>
      </c>
      <c r="N425" s="4" t="n">
        <f aca="false">K425</f>
        <v>4239.65669663556</v>
      </c>
      <c r="O425" s="4" t="n">
        <f aca="false">M425-K425</f>
        <v>139.173154126614</v>
      </c>
      <c r="P425" s="4" t="n">
        <f aca="false">N425-K425</f>
        <v>0</v>
      </c>
      <c r="Q425" s="4" t="n">
        <f aca="false">A425-MATCH(K425,$M$9:M424,1)</f>
        <v>13</v>
      </c>
      <c r="R425" s="0" t="n">
        <f aca="false">-G425*(O425/3600)</f>
        <v>-0.524143597878569</v>
      </c>
      <c r="S425" s="0" t="n">
        <f aca="false">-1*I425-(H425*(P425/3600))</f>
        <v>-19.5</v>
      </c>
      <c r="T425" s="0" t="n">
        <f aca="false">-H425*(O425/3600)</f>
        <v>-0.683405644518655</v>
      </c>
      <c r="U425" s="0" t="n">
        <f aca="false">T425-S425</f>
        <v>18.8165943554813</v>
      </c>
      <c r="V425" s="0" t="n">
        <f aca="false">1/(1+EXP(U425))</f>
        <v>6.73064833938058E-009</v>
      </c>
      <c r="W425" s="0" t="n">
        <f aca="true">RAND()</f>
        <v>0.735412216740592</v>
      </c>
      <c r="X425" s="0" t="n">
        <f aca="false">IF(W425&lt;V425,1,0)</f>
        <v>0</v>
      </c>
      <c r="Y425" s="0" t="n">
        <f aca="false">(M425*(1-X425)+N425*X425)*D425+M425*E425</f>
        <v>4378.82985076217</v>
      </c>
      <c r="Z425" s="0" t="n">
        <f aca="false">((1-X425)*O425+X425*P425)*D425+E425*O425</f>
        <v>139.173154126614</v>
      </c>
      <c r="AA425" s="0" t="n">
        <f aca="false">IF(D425*X425&gt;0,AA424,Q425)</f>
        <v>13</v>
      </c>
      <c r="AB425" s="0" t="n">
        <f aca="false">(X425*D425)</f>
        <v>0</v>
      </c>
      <c r="AC425" s="0" t="n">
        <f aca="false">SUM(AB$10:AB424)/K425</f>
        <v>0</v>
      </c>
      <c r="AD425" s="0" t="n">
        <f aca="false">R425*E425+D425*(X425*S425+(1-X425)*T425)</f>
        <v>-0.683405644518655</v>
      </c>
      <c r="AE425" s="0" t="n">
        <f aca="false">Z425</f>
        <v>139.173154126614</v>
      </c>
      <c r="AF425" s="0" t="n">
        <f aca="false">E425*O425</f>
        <v>0</v>
      </c>
      <c r="AG425" s="0" t="n">
        <f aca="false">((1-X425)*O425+X425*P425)*D425</f>
        <v>139.173154126614</v>
      </c>
      <c r="AH425" s="0" t="n">
        <f aca="false">D425*(LN(EXP(S425)+EXP(T425)))</f>
        <v>-0.683405637788006</v>
      </c>
      <c r="AJ425" s="0" t="n">
        <f aca="false">$J$5</f>
        <v>10</v>
      </c>
      <c r="AK425" s="4" t="n">
        <f aca="false">AJ425+MAX(K425,AK$10:AK424)</f>
        <v>4378.82985076217</v>
      </c>
      <c r="AL425" s="5" t="n">
        <f aca="false">AK425-K425</f>
        <v>139.173154126614</v>
      </c>
      <c r="AM425" s="0" t="n">
        <f aca="false">-G425*AL425/3600</f>
        <v>-0.524143597878569</v>
      </c>
      <c r="AN425" s="0" t="n">
        <f aca="false">-H425*AL425/3600</f>
        <v>-0.683405644518655</v>
      </c>
      <c r="AO425" s="0" t="n">
        <f aca="false">AM425*E425+AN425*D425</f>
        <v>-0.683405644518655</v>
      </c>
      <c r="AP425" s="0" t="n">
        <f aca="false">AL425*D425</f>
        <v>139.173154126614</v>
      </c>
      <c r="AR425" s="0" t="n">
        <f aca="false">AN425*D425</f>
        <v>-0.683405644518655</v>
      </c>
      <c r="AS425" s="0" t="n">
        <f aca="false">AH425-AR425</f>
        <v>6.73064837197757E-009</v>
      </c>
    </row>
    <row r="426" customFormat="false" ht="12" hidden="false" customHeight="false" outlineLevel="0" collapsed="false">
      <c r="A426" s="3" t="n">
        <f aca="false">A425+1</f>
        <v>417</v>
      </c>
      <c r="B426" s="3" t="n">
        <f aca="false">IF(A426&lt;$N$4/3,0.1,(IF(A426&gt;2*$N$4/3,0.05,0.12)))</f>
        <v>0.12</v>
      </c>
      <c r="C426" s="4" t="n">
        <f aca="true">RAND()</f>
        <v>0.403145832696623</v>
      </c>
      <c r="D426" s="0" t="n">
        <f aca="false">IF((C426&gt;$M$2),1,0)</f>
        <v>0</v>
      </c>
      <c r="E426" s="0" t="n">
        <f aca="false">1-D426</f>
        <v>1</v>
      </c>
      <c r="F426" s="0" t="n">
        <f aca="true">RAND()</f>
        <v>0.489018257256034</v>
      </c>
      <c r="G426" s="0" t="n">
        <f aca="false">7.75+F426*10</f>
        <v>12.6401825725603</v>
      </c>
      <c r="H426" s="0" t="n">
        <f aca="false">LOGINV(F426,2.64,1.139)</f>
        <v>13.5806042812696</v>
      </c>
      <c r="I426" s="0" t="n">
        <v>19.5</v>
      </c>
      <c r="J426" s="4" t="n">
        <f aca="true">-LN(RAND())/B426</f>
        <v>2.41013916075259</v>
      </c>
      <c r="K426" s="4" t="n">
        <f aca="false">K425+J426</f>
        <v>4242.06683579631</v>
      </c>
      <c r="L426" s="4" t="n">
        <f aca="false">(1/$J$4)*(1+AB425)</f>
        <v>10</v>
      </c>
      <c r="M426" s="4" t="n">
        <f aca="false">L426+MAX(K426,Y$10:Y425)</f>
        <v>4388.82985076217</v>
      </c>
      <c r="N426" s="4" t="n">
        <f aca="false">K426</f>
        <v>4242.06683579631</v>
      </c>
      <c r="O426" s="4" t="n">
        <f aca="false">M426-K426</f>
        <v>146.763014965862</v>
      </c>
      <c r="P426" s="4" t="n">
        <f aca="false">N426-K426</f>
        <v>0</v>
      </c>
      <c r="Q426" s="4" t="n">
        <f aca="false">A426-MATCH(K426,$M$9:M425,1)</f>
        <v>14</v>
      </c>
      <c r="R426" s="0" t="n">
        <f aca="false">-G426*(O426/3600)</f>
        <v>-0.515308695574416</v>
      </c>
      <c r="S426" s="0" t="n">
        <f aca="false">-1*I426-(H426*(P426/3600))</f>
        <v>-19.5</v>
      </c>
      <c r="T426" s="0" t="n">
        <f aca="false">-H426*(O426/3600)</f>
        <v>-0.553647341493728</v>
      </c>
      <c r="U426" s="0" t="n">
        <f aca="false">T426-S426</f>
        <v>18.9463526585063</v>
      </c>
      <c r="V426" s="0" t="n">
        <f aca="false">1/(1+EXP(U426))</f>
        <v>5.91158019717979E-009</v>
      </c>
      <c r="W426" s="0" t="n">
        <f aca="true">RAND()</f>
        <v>0.134704351077191</v>
      </c>
      <c r="X426" s="0" t="n">
        <f aca="false">IF(W426&lt;V426,1,0)</f>
        <v>0</v>
      </c>
      <c r="Y426" s="0" t="n">
        <f aca="false">(M426*(1-X426)+N426*X426)*D426+M426*E426</f>
        <v>4388.82985076217</v>
      </c>
      <c r="Z426" s="0" t="n">
        <f aca="false">((1-X426)*O426+X426*P426)*D426+E426*O426</f>
        <v>146.763014965862</v>
      </c>
      <c r="AA426" s="0" t="n">
        <f aca="false">IF(D426*X426&gt;0,AA425,Q426)</f>
        <v>14</v>
      </c>
      <c r="AB426" s="0" t="n">
        <f aca="false">(X426*D426)</f>
        <v>0</v>
      </c>
      <c r="AC426" s="0" t="n">
        <f aca="false">SUM(AB$10:AB425)/K426</f>
        <v>0</v>
      </c>
      <c r="AD426" s="0" t="n">
        <f aca="false">R426*E426+D426*(X426*S426+(1-X426)*T426)</f>
        <v>-0.515308695574416</v>
      </c>
      <c r="AE426" s="0" t="n">
        <f aca="false">Z426</f>
        <v>146.763014965862</v>
      </c>
      <c r="AF426" s="0" t="n">
        <f aca="false">E426*O426</f>
        <v>146.763014965862</v>
      </c>
      <c r="AG426" s="0" t="n">
        <f aca="false">((1-X426)*O426+X426*P426)*D426</f>
        <v>0</v>
      </c>
      <c r="AH426" s="0" t="n">
        <f aca="false">D426*(LN(EXP(S426)+EXP(T426)))</f>
        <v>-0</v>
      </c>
      <c r="AJ426" s="0" t="n">
        <f aca="false">$J$5</f>
        <v>10</v>
      </c>
      <c r="AK426" s="4" t="n">
        <f aca="false">AJ426+MAX(K426,AK$10:AK425)</f>
        <v>4388.82985076217</v>
      </c>
      <c r="AL426" s="5" t="n">
        <f aca="false">AK426-K426</f>
        <v>146.763014965862</v>
      </c>
      <c r="AM426" s="0" t="n">
        <f aca="false">-G426*AL426/3600</f>
        <v>-0.515308695574416</v>
      </c>
      <c r="AN426" s="0" t="n">
        <f aca="false">-H426*AL426/3600</f>
        <v>-0.553647341493728</v>
      </c>
      <c r="AO426" s="0" t="n">
        <f aca="false">AM426*E426+AN426*D426</f>
        <v>-0.515308695574416</v>
      </c>
      <c r="AP426" s="0" t="n">
        <f aca="false">AL426*D426</f>
        <v>0</v>
      </c>
      <c r="AR426" s="0" t="n">
        <f aca="false">AN426*D426</f>
        <v>-0</v>
      </c>
      <c r="AS426" s="0" t="n">
        <f aca="false">AH426-AR426</f>
        <v>0</v>
      </c>
    </row>
    <row r="427" customFormat="false" ht="12" hidden="false" customHeight="false" outlineLevel="0" collapsed="false">
      <c r="A427" s="3" t="n">
        <f aca="false">A426+1</f>
        <v>418</v>
      </c>
      <c r="B427" s="3" t="n">
        <f aca="false">IF(A427&lt;$N$4/3,0.1,(IF(A427&gt;2*$N$4/3,0.05,0.12)))</f>
        <v>0.12</v>
      </c>
      <c r="C427" s="4" t="n">
        <f aca="true">RAND()</f>
        <v>0.998265398643204</v>
      </c>
      <c r="D427" s="0" t="n">
        <f aca="false">IF((C427&gt;$M$2),1,0)</f>
        <v>1</v>
      </c>
      <c r="E427" s="0" t="n">
        <f aca="false">1-D427</f>
        <v>0</v>
      </c>
      <c r="F427" s="0" t="n">
        <f aca="true">RAND()</f>
        <v>0.879539220176206</v>
      </c>
      <c r="G427" s="0" t="n">
        <f aca="false">7.75+F427*10</f>
        <v>16.5453922017621</v>
      </c>
      <c r="H427" s="0" t="n">
        <f aca="false">LOGINV(F427,2.64,1.139)</f>
        <v>53.2868661887104</v>
      </c>
      <c r="I427" s="0" t="n">
        <v>19.5</v>
      </c>
      <c r="J427" s="4" t="n">
        <f aca="true">-LN(RAND())/B427</f>
        <v>1.00527127108032</v>
      </c>
      <c r="K427" s="4" t="n">
        <f aca="false">K426+J427</f>
        <v>4243.07210706739</v>
      </c>
      <c r="L427" s="4" t="n">
        <f aca="false">(1/$J$4)*(1+AB426)</f>
        <v>10</v>
      </c>
      <c r="M427" s="4" t="n">
        <f aca="false">L427+MAX(K427,Y$10:Y426)</f>
        <v>4398.82985076217</v>
      </c>
      <c r="N427" s="4" t="n">
        <f aca="false">K427</f>
        <v>4243.07210706739</v>
      </c>
      <c r="O427" s="4" t="n">
        <f aca="false">M427-K427</f>
        <v>155.757743694781</v>
      </c>
      <c r="P427" s="4" t="n">
        <f aca="false">N427-K427</f>
        <v>0</v>
      </c>
      <c r="Q427" s="4" t="n">
        <f aca="false">A427-MATCH(K427,$M$9:M426,1)</f>
        <v>15</v>
      </c>
      <c r="R427" s="0" t="n">
        <f aca="false">-G427*(O427/3600)</f>
        <v>-0.715853599414358</v>
      </c>
      <c r="S427" s="0" t="n">
        <f aca="false">-1*I427-(H427*(P427/3600))</f>
        <v>-19.5</v>
      </c>
      <c r="T427" s="0" t="n">
        <f aca="false">-H427*(O427/3600)</f>
        <v>-2.30551167947757</v>
      </c>
      <c r="U427" s="0" t="n">
        <f aca="false">T427-S427</f>
        <v>17.1944883205224</v>
      </c>
      <c r="V427" s="0" t="n">
        <f aca="false">1/(1+EXP(U427))</f>
        <v>3.40822759513642E-008</v>
      </c>
      <c r="W427" s="0" t="n">
        <f aca="true">RAND()</f>
        <v>0.580524387511916</v>
      </c>
      <c r="X427" s="0" t="n">
        <f aca="false">IF(W427&lt;V427,1,0)</f>
        <v>0</v>
      </c>
      <c r="Y427" s="0" t="n">
        <f aca="false">(M427*(1-X427)+N427*X427)*D427+M427*E427</f>
        <v>4398.82985076217</v>
      </c>
      <c r="Z427" s="0" t="n">
        <f aca="false">((1-X427)*O427+X427*P427)*D427+E427*O427</f>
        <v>155.757743694781</v>
      </c>
      <c r="AA427" s="0" t="n">
        <f aca="false">IF(D427*X427&gt;0,AA426,Q427)</f>
        <v>15</v>
      </c>
      <c r="AB427" s="0" t="n">
        <f aca="false">(X427*D427)</f>
        <v>0</v>
      </c>
      <c r="AC427" s="0" t="n">
        <f aca="false">SUM(AB$10:AB426)/K427</f>
        <v>0</v>
      </c>
      <c r="AD427" s="0" t="n">
        <f aca="false">R427*E427+D427*(X427*S427+(1-X427)*T427)</f>
        <v>-2.30551167947757</v>
      </c>
      <c r="AE427" s="0" t="n">
        <f aca="false">Z427</f>
        <v>155.757743694781</v>
      </c>
      <c r="AF427" s="0" t="n">
        <f aca="false">E427*O427</f>
        <v>0</v>
      </c>
      <c r="AG427" s="0" t="n">
        <f aca="false">((1-X427)*O427+X427*P427)*D427</f>
        <v>155.757743694781</v>
      </c>
      <c r="AH427" s="0" t="n">
        <f aca="false">D427*(LN(EXP(S427)+EXP(T427)))</f>
        <v>-2.3055116453953</v>
      </c>
      <c r="AJ427" s="0" t="n">
        <f aca="false">$J$5</f>
        <v>10</v>
      </c>
      <c r="AK427" s="4" t="n">
        <f aca="false">AJ427+MAX(K427,AK$10:AK426)</f>
        <v>4398.82985076217</v>
      </c>
      <c r="AL427" s="5" t="n">
        <f aca="false">AK427-K427</f>
        <v>155.757743694781</v>
      </c>
      <c r="AM427" s="0" t="n">
        <f aca="false">-G427*AL427/3600</f>
        <v>-0.715853599414358</v>
      </c>
      <c r="AN427" s="0" t="n">
        <f aca="false">-H427*AL427/3600</f>
        <v>-2.30551167947757</v>
      </c>
      <c r="AO427" s="0" t="n">
        <f aca="false">AM427*E427+AN427*D427</f>
        <v>-2.30551167947757</v>
      </c>
      <c r="AP427" s="0" t="n">
        <f aca="false">AL427*D427</f>
        <v>155.757743694781</v>
      </c>
      <c r="AR427" s="0" t="n">
        <f aca="false">AN427*D427</f>
        <v>-2.30551167947757</v>
      </c>
      <c r="AS427" s="0" t="n">
        <f aca="false">AH427-AR427</f>
        <v>3.40822765565463E-008</v>
      </c>
    </row>
    <row r="428" customFormat="false" ht="12" hidden="false" customHeight="false" outlineLevel="0" collapsed="false">
      <c r="A428" s="3" t="n">
        <f aca="false">A427+1</f>
        <v>419</v>
      </c>
      <c r="B428" s="3" t="n">
        <f aca="false">IF(A428&lt;$N$4/3,0.1,(IF(A428&gt;2*$N$4/3,0.05,0.12)))</f>
        <v>0.12</v>
      </c>
      <c r="C428" s="4" t="n">
        <f aca="true">RAND()</f>
        <v>0.377796867482603</v>
      </c>
      <c r="D428" s="0" t="n">
        <f aca="false">IF((C428&gt;$M$2),1,0)</f>
        <v>0</v>
      </c>
      <c r="E428" s="0" t="n">
        <f aca="false">1-D428</f>
        <v>1</v>
      </c>
      <c r="F428" s="0" t="n">
        <f aca="true">RAND()</f>
        <v>0.0126166208069143</v>
      </c>
      <c r="G428" s="0" t="n">
        <f aca="false">7.75+F428*10</f>
        <v>7.87616620806914</v>
      </c>
      <c r="H428" s="0" t="n">
        <f aca="false">LOGINV(F428,2.64,1.139)</f>
        <v>1.09541228279742</v>
      </c>
      <c r="I428" s="0" t="n">
        <v>19.5</v>
      </c>
      <c r="J428" s="4" t="n">
        <f aca="true">-LN(RAND())/B428</f>
        <v>10.1015589925811</v>
      </c>
      <c r="K428" s="4" t="n">
        <f aca="false">K427+J428</f>
        <v>4253.17366605997</v>
      </c>
      <c r="L428" s="4" t="n">
        <f aca="false">(1/$J$4)*(1+AB427)</f>
        <v>10</v>
      </c>
      <c r="M428" s="4" t="n">
        <f aca="false">L428+MAX(K428,Y$10:Y427)</f>
        <v>4408.82985076217</v>
      </c>
      <c r="N428" s="4" t="n">
        <f aca="false">K428</f>
        <v>4253.17366605997</v>
      </c>
      <c r="O428" s="4" t="n">
        <f aca="false">M428-K428</f>
        <v>155.6561847022</v>
      </c>
      <c r="P428" s="4" t="n">
        <f aca="false">N428-K428</f>
        <v>0</v>
      </c>
      <c r="Q428" s="4" t="n">
        <f aca="false">A428-MATCH(K428,$M$9:M427,1)</f>
        <v>15</v>
      </c>
      <c r="R428" s="0" t="n">
        <f aca="false">-G428*(O428/3600)</f>
        <v>-0.340548328341233</v>
      </c>
      <c r="S428" s="0" t="n">
        <f aca="false">-1*I428-(H428*(P428/3600))</f>
        <v>-19.5</v>
      </c>
      <c r="T428" s="0" t="n">
        <f aca="false">-H428*(O428/3600)</f>
        <v>-0.0473632490600485</v>
      </c>
      <c r="U428" s="0" t="n">
        <f aca="false">T428-S428</f>
        <v>19.45263675094</v>
      </c>
      <c r="V428" s="0" t="n">
        <f aca="false">1/(1+EXP(U428))</f>
        <v>3.56309333692799E-009</v>
      </c>
      <c r="W428" s="0" t="n">
        <f aca="true">RAND()</f>
        <v>0.633455771260494</v>
      </c>
      <c r="X428" s="0" t="n">
        <f aca="false">IF(W428&lt;V428,1,0)</f>
        <v>0</v>
      </c>
      <c r="Y428" s="0" t="n">
        <f aca="false">(M428*(1-X428)+N428*X428)*D428+M428*E428</f>
        <v>4408.82985076217</v>
      </c>
      <c r="Z428" s="0" t="n">
        <f aca="false">((1-X428)*O428+X428*P428)*D428+E428*O428</f>
        <v>155.6561847022</v>
      </c>
      <c r="AA428" s="0" t="n">
        <f aca="false">IF(D428*X428&gt;0,AA427,Q428)</f>
        <v>15</v>
      </c>
      <c r="AB428" s="0" t="n">
        <f aca="false">(X428*D428)</f>
        <v>0</v>
      </c>
      <c r="AC428" s="0" t="n">
        <f aca="false">SUM(AB$10:AB427)/K428</f>
        <v>0</v>
      </c>
      <c r="AD428" s="0" t="n">
        <f aca="false">R428*E428+D428*(X428*S428+(1-X428)*T428)</f>
        <v>-0.340548328341233</v>
      </c>
      <c r="AE428" s="0" t="n">
        <f aca="false">Z428</f>
        <v>155.6561847022</v>
      </c>
      <c r="AF428" s="0" t="n">
        <f aca="false">E428*O428</f>
        <v>155.6561847022</v>
      </c>
      <c r="AG428" s="0" t="n">
        <f aca="false">((1-X428)*O428+X428*P428)*D428</f>
        <v>0</v>
      </c>
      <c r="AH428" s="0" t="n">
        <f aca="false">D428*(LN(EXP(S428)+EXP(T428)))</f>
        <v>-0</v>
      </c>
      <c r="AJ428" s="0" t="n">
        <f aca="false">$J$5</f>
        <v>10</v>
      </c>
      <c r="AK428" s="4" t="n">
        <f aca="false">AJ428+MAX(K428,AK$10:AK427)</f>
        <v>4408.82985076217</v>
      </c>
      <c r="AL428" s="5" t="n">
        <f aca="false">AK428-K428</f>
        <v>155.6561847022</v>
      </c>
      <c r="AM428" s="0" t="n">
        <f aca="false">-G428*AL428/3600</f>
        <v>-0.340548328341233</v>
      </c>
      <c r="AN428" s="0" t="n">
        <f aca="false">-H428*AL428/3600</f>
        <v>-0.0473632490600485</v>
      </c>
      <c r="AO428" s="0" t="n">
        <f aca="false">AM428*E428+AN428*D428</f>
        <v>-0.340548328341233</v>
      </c>
      <c r="AP428" s="0" t="n">
        <f aca="false">AL428*D428</f>
        <v>0</v>
      </c>
      <c r="AR428" s="0" t="n">
        <f aca="false">AN428*D428</f>
        <v>-0</v>
      </c>
      <c r="AS428" s="0" t="n">
        <f aca="false">AH428-AR428</f>
        <v>0</v>
      </c>
    </row>
    <row r="429" customFormat="false" ht="12" hidden="false" customHeight="false" outlineLevel="0" collapsed="false">
      <c r="A429" s="3" t="n">
        <f aca="false">A428+1</f>
        <v>420</v>
      </c>
      <c r="B429" s="3" t="n">
        <f aca="false">IF(A429&lt;$N$4/3,0.1,(IF(A429&gt;2*$N$4/3,0.05,0.12)))</f>
        <v>0.12</v>
      </c>
      <c r="C429" s="4" t="n">
        <f aca="true">RAND()</f>
        <v>0.697980774059176</v>
      </c>
      <c r="D429" s="0" t="n">
        <f aca="false">IF((C429&gt;$M$2),1,0)</f>
        <v>0</v>
      </c>
      <c r="E429" s="0" t="n">
        <f aca="false">1-D429</f>
        <v>1</v>
      </c>
      <c r="F429" s="0" t="n">
        <f aca="true">RAND()</f>
        <v>0.68651002294361</v>
      </c>
      <c r="G429" s="0" t="n">
        <f aca="false">7.75+F429*10</f>
        <v>14.6151002294361</v>
      </c>
      <c r="H429" s="0" t="n">
        <f aca="false">LOGINV(F429,2.64,1.139)</f>
        <v>24.3744013421529</v>
      </c>
      <c r="I429" s="0" t="n">
        <v>19.5</v>
      </c>
      <c r="J429" s="4" t="n">
        <f aca="true">-LN(RAND())/B429</f>
        <v>0.0189380788330617</v>
      </c>
      <c r="K429" s="4" t="n">
        <f aca="false">K428+J429</f>
        <v>4253.1926041388</v>
      </c>
      <c r="L429" s="4" t="n">
        <f aca="false">(1/$J$4)*(1+AB428)</f>
        <v>10</v>
      </c>
      <c r="M429" s="4" t="n">
        <f aca="false">L429+MAX(K429,Y$10:Y428)</f>
        <v>4418.82985076217</v>
      </c>
      <c r="N429" s="4" t="n">
        <f aca="false">K429</f>
        <v>4253.1926041388</v>
      </c>
      <c r="O429" s="4" t="n">
        <f aca="false">M429-K429</f>
        <v>165.637246623367</v>
      </c>
      <c r="P429" s="4" t="n">
        <f aca="false">N429-K429</f>
        <v>0</v>
      </c>
      <c r="Q429" s="4" t="n">
        <f aca="false">A429-MATCH(K429,$M$9:M428,1)</f>
        <v>16</v>
      </c>
      <c r="R429" s="0" t="n">
        <f aca="false">-G429*(O429/3600)</f>
        <v>-0.672445822535648</v>
      </c>
      <c r="S429" s="0" t="n">
        <f aca="false">-1*I429-(H429*(P429/3600))</f>
        <v>-19.5</v>
      </c>
      <c r="T429" s="0" t="n">
        <f aca="false">-H429*(O429/3600)</f>
        <v>-1.1214746462242</v>
      </c>
      <c r="U429" s="0" t="n">
        <f aca="false">T429-S429</f>
        <v>18.3785253537758</v>
      </c>
      <c r="V429" s="0" t="n">
        <f aca="false">1/(1+EXP(U429))</f>
        <v>1.04305653601986E-008</v>
      </c>
      <c r="W429" s="0" t="n">
        <f aca="true">RAND()</f>
        <v>0.196391438914008</v>
      </c>
      <c r="X429" s="0" t="n">
        <f aca="false">IF(W429&lt;V429,1,0)</f>
        <v>0</v>
      </c>
      <c r="Y429" s="0" t="n">
        <f aca="false">(M429*(1-X429)+N429*X429)*D429+M429*E429</f>
        <v>4418.82985076217</v>
      </c>
      <c r="Z429" s="0" t="n">
        <f aca="false">((1-X429)*O429+X429*P429)*D429+E429*O429</f>
        <v>165.637246623367</v>
      </c>
      <c r="AA429" s="0" t="n">
        <f aca="false">IF(D429*X429&gt;0,AA428,Q429)</f>
        <v>16</v>
      </c>
      <c r="AB429" s="0" t="n">
        <f aca="false">(X429*D429)</f>
        <v>0</v>
      </c>
      <c r="AC429" s="0" t="n">
        <f aca="false">SUM(AB$10:AB428)/K429</f>
        <v>0</v>
      </c>
      <c r="AD429" s="0" t="n">
        <f aca="false">R429*E429+D429*(X429*S429+(1-X429)*T429)</f>
        <v>-0.672445822535648</v>
      </c>
      <c r="AE429" s="0" t="n">
        <f aca="false">Z429</f>
        <v>165.637246623367</v>
      </c>
      <c r="AF429" s="0" t="n">
        <f aca="false">E429*O429</f>
        <v>165.637246623367</v>
      </c>
      <c r="AG429" s="0" t="n">
        <f aca="false">((1-X429)*O429+X429*P429)*D429</f>
        <v>0</v>
      </c>
      <c r="AH429" s="0" t="n">
        <f aca="false">D429*(LN(EXP(S429)+EXP(T429)))</f>
        <v>-0</v>
      </c>
      <c r="AJ429" s="0" t="n">
        <f aca="false">$J$5</f>
        <v>10</v>
      </c>
      <c r="AK429" s="4" t="n">
        <f aca="false">AJ429+MAX(K429,AK$10:AK428)</f>
        <v>4418.82985076217</v>
      </c>
      <c r="AL429" s="5" t="n">
        <f aca="false">AK429-K429</f>
        <v>165.637246623367</v>
      </c>
      <c r="AM429" s="0" t="n">
        <f aca="false">-G429*AL429/3600</f>
        <v>-0.672445822535648</v>
      </c>
      <c r="AN429" s="0" t="n">
        <f aca="false">-H429*AL429/3600</f>
        <v>-1.1214746462242</v>
      </c>
      <c r="AO429" s="0" t="n">
        <f aca="false">AM429*E429+AN429*D429</f>
        <v>-0.672445822535648</v>
      </c>
      <c r="AP429" s="0" t="n">
        <f aca="false">AL429*D429</f>
        <v>0</v>
      </c>
      <c r="AR429" s="0" t="n">
        <f aca="false">AN429*D429</f>
        <v>-0</v>
      </c>
      <c r="AS429" s="0" t="n">
        <f aca="false">AH429-AR429</f>
        <v>0</v>
      </c>
    </row>
    <row r="430" customFormat="false" ht="12" hidden="false" customHeight="false" outlineLevel="0" collapsed="false">
      <c r="A430" s="3" t="n">
        <f aca="false">A429+1</f>
        <v>421</v>
      </c>
      <c r="B430" s="3" t="n">
        <f aca="false">IF(A430&lt;$N$4/3,0.1,(IF(A430&gt;2*$N$4/3,0.05,0.12)))</f>
        <v>0.12</v>
      </c>
      <c r="C430" s="4" t="n">
        <f aca="true">RAND()</f>
        <v>0.599192994480083</v>
      </c>
      <c r="D430" s="0" t="n">
        <f aca="false">IF((C430&gt;$M$2),1,0)</f>
        <v>0</v>
      </c>
      <c r="E430" s="0" t="n">
        <f aca="false">1-D430</f>
        <v>1</v>
      </c>
      <c r="F430" s="0" t="n">
        <f aca="true">RAND()</f>
        <v>0.349914721959586</v>
      </c>
      <c r="G430" s="0" t="n">
        <f aca="false">7.75+F430*10</f>
        <v>11.2491472195959</v>
      </c>
      <c r="H430" s="0" t="n">
        <f aca="false">LOGINV(F430,2.64,1.139)</f>
        <v>9.0327579520428</v>
      </c>
      <c r="I430" s="0" t="n">
        <v>19.5</v>
      </c>
      <c r="J430" s="4" t="n">
        <f aca="true">-LN(RAND())/B430</f>
        <v>2.96497084800302</v>
      </c>
      <c r="K430" s="4" t="n">
        <f aca="false">K429+J430</f>
        <v>4256.15757498681</v>
      </c>
      <c r="L430" s="4" t="n">
        <f aca="false">(1/$J$4)*(1+AB429)</f>
        <v>10</v>
      </c>
      <c r="M430" s="4" t="n">
        <f aca="false">L430+MAX(K430,Y$10:Y429)</f>
        <v>4428.82985076217</v>
      </c>
      <c r="N430" s="4" t="n">
        <f aca="false">K430</f>
        <v>4256.15757498681</v>
      </c>
      <c r="O430" s="4" t="n">
        <f aca="false">M430-K430</f>
        <v>172.672275775364</v>
      </c>
      <c r="P430" s="4" t="n">
        <f aca="false">N430-K430</f>
        <v>0</v>
      </c>
      <c r="Q430" s="4" t="n">
        <f aca="false">A430-MATCH(K430,$M$9:M429,1)</f>
        <v>17</v>
      </c>
      <c r="R430" s="0" t="n">
        <f aca="false">-G430*(O430/3600)</f>
        <v>-0.539559958594369</v>
      </c>
      <c r="S430" s="0" t="n">
        <f aca="false">-1*I430-(H430*(P430/3600))</f>
        <v>-19.5</v>
      </c>
      <c r="T430" s="0" t="n">
        <f aca="false">-H430*(O430/3600)</f>
        <v>-0.43325190891868</v>
      </c>
      <c r="U430" s="0" t="n">
        <f aca="false">T430-S430</f>
        <v>19.0667480910813</v>
      </c>
      <c r="V430" s="0" t="n">
        <f aca="false">1/(1+EXP(U430))</f>
        <v>5.24102841051095E-009</v>
      </c>
      <c r="W430" s="0" t="n">
        <f aca="true">RAND()</f>
        <v>0.806404034909073</v>
      </c>
      <c r="X430" s="0" t="n">
        <f aca="false">IF(W430&lt;V430,1,0)</f>
        <v>0</v>
      </c>
      <c r="Y430" s="0" t="n">
        <f aca="false">(M430*(1-X430)+N430*X430)*D430+M430*E430</f>
        <v>4428.82985076217</v>
      </c>
      <c r="Z430" s="0" t="n">
        <f aca="false">((1-X430)*O430+X430*P430)*D430+E430*O430</f>
        <v>172.672275775364</v>
      </c>
      <c r="AA430" s="0" t="n">
        <f aca="false">IF(D430*X430&gt;0,AA429,Q430)</f>
        <v>17</v>
      </c>
      <c r="AB430" s="0" t="n">
        <f aca="false">(X430*D430)</f>
        <v>0</v>
      </c>
      <c r="AC430" s="0" t="n">
        <f aca="false">SUM(AB$10:AB429)/K430</f>
        <v>0</v>
      </c>
      <c r="AD430" s="0" t="n">
        <f aca="false">R430*E430+D430*(X430*S430+(1-X430)*T430)</f>
        <v>-0.539559958594369</v>
      </c>
      <c r="AE430" s="0" t="n">
        <f aca="false">Z430</f>
        <v>172.672275775364</v>
      </c>
      <c r="AF430" s="0" t="n">
        <f aca="false">E430*O430</f>
        <v>172.672275775364</v>
      </c>
      <c r="AG430" s="0" t="n">
        <f aca="false">((1-X430)*O430+X430*P430)*D430</f>
        <v>0</v>
      </c>
      <c r="AH430" s="0" t="n">
        <f aca="false">D430*(LN(EXP(S430)+EXP(T430)))</f>
        <v>-0</v>
      </c>
      <c r="AJ430" s="0" t="n">
        <f aca="false">$J$5</f>
        <v>10</v>
      </c>
      <c r="AK430" s="4" t="n">
        <f aca="false">AJ430+MAX(K430,AK$10:AK429)</f>
        <v>4428.82985076217</v>
      </c>
      <c r="AL430" s="5" t="n">
        <f aca="false">AK430-K430</f>
        <v>172.672275775364</v>
      </c>
      <c r="AM430" s="0" t="n">
        <f aca="false">-G430*AL430/3600</f>
        <v>-0.539559958594369</v>
      </c>
      <c r="AN430" s="0" t="n">
        <f aca="false">-H430*AL430/3600</f>
        <v>-0.43325190891868</v>
      </c>
      <c r="AO430" s="0" t="n">
        <f aca="false">AM430*E430+AN430*D430</f>
        <v>-0.539559958594369</v>
      </c>
      <c r="AP430" s="0" t="n">
        <f aca="false">AL430*D430</f>
        <v>0</v>
      </c>
      <c r="AR430" s="0" t="n">
        <f aca="false">AN430*D430</f>
        <v>-0</v>
      </c>
      <c r="AS430" s="0" t="n">
        <f aca="false">AH430-AR430</f>
        <v>0</v>
      </c>
    </row>
    <row r="431" customFormat="false" ht="12" hidden="false" customHeight="false" outlineLevel="0" collapsed="false">
      <c r="A431" s="3" t="n">
        <f aca="false">A430+1</f>
        <v>422</v>
      </c>
      <c r="B431" s="3" t="n">
        <f aca="false">IF(A431&lt;$N$4/3,0.1,(IF(A431&gt;2*$N$4/3,0.05,0.12)))</f>
        <v>0.12</v>
      </c>
      <c r="C431" s="4" t="n">
        <f aca="true">RAND()</f>
        <v>0.432427817724994</v>
      </c>
      <c r="D431" s="0" t="n">
        <f aca="false">IF((C431&gt;$M$2),1,0)</f>
        <v>0</v>
      </c>
      <c r="E431" s="0" t="n">
        <f aca="false">1-D431</f>
        <v>1</v>
      </c>
      <c r="F431" s="0" t="n">
        <f aca="true">RAND()</f>
        <v>0.394425418325858</v>
      </c>
      <c r="G431" s="0" t="n">
        <f aca="false">7.75+F431*10</f>
        <v>11.6942541832586</v>
      </c>
      <c r="H431" s="0" t="n">
        <f aca="false">LOGINV(F431,2.64,1.139)</f>
        <v>10.3291727582738</v>
      </c>
      <c r="I431" s="0" t="n">
        <v>19.5</v>
      </c>
      <c r="J431" s="4" t="n">
        <f aca="true">-LN(RAND())/B431</f>
        <v>8.63720519556225</v>
      </c>
      <c r="K431" s="4" t="n">
        <f aca="false">K430+J431</f>
        <v>4264.79478018237</v>
      </c>
      <c r="L431" s="4" t="n">
        <f aca="false">(1/$J$4)*(1+AB430)</f>
        <v>10</v>
      </c>
      <c r="M431" s="4" t="n">
        <f aca="false">L431+MAX(K431,Y$10:Y430)</f>
        <v>4438.82985076217</v>
      </c>
      <c r="N431" s="4" t="n">
        <f aca="false">K431</f>
        <v>4264.79478018237</v>
      </c>
      <c r="O431" s="4" t="n">
        <f aca="false">M431-K431</f>
        <v>174.035070579802</v>
      </c>
      <c r="P431" s="4" t="n">
        <f aca="false">N431-K431</f>
        <v>0</v>
      </c>
      <c r="Q431" s="4" t="n">
        <f aca="false">A431-MATCH(K431,$M$9:M430,1)</f>
        <v>17</v>
      </c>
      <c r="R431" s="0" t="n">
        <f aca="false">-G431*(O431/3600)</f>
        <v>-0.565336208933764</v>
      </c>
      <c r="S431" s="0" t="n">
        <f aca="false">-1*I431-(H431*(P431/3600))</f>
        <v>-19.5</v>
      </c>
      <c r="T431" s="0" t="n">
        <f aca="false">-H431*(O431/3600)</f>
        <v>-0.499343975004762</v>
      </c>
      <c r="U431" s="0" t="n">
        <f aca="false">T431-S431</f>
        <v>19.0006560249952</v>
      </c>
      <c r="V431" s="0" t="n">
        <f aca="false">1/(1+EXP(U431))</f>
        <v>5.59912203705162E-009</v>
      </c>
      <c r="W431" s="0" t="n">
        <f aca="true">RAND()</f>
        <v>0.442557440554106</v>
      </c>
      <c r="X431" s="0" t="n">
        <f aca="false">IF(W431&lt;V431,1,0)</f>
        <v>0</v>
      </c>
      <c r="Y431" s="0" t="n">
        <f aca="false">(M431*(1-X431)+N431*X431)*D431+M431*E431</f>
        <v>4438.82985076217</v>
      </c>
      <c r="Z431" s="0" t="n">
        <f aca="false">((1-X431)*O431+X431*P431)*D431+E431*O431</f>
        <v>174.035070579802</v>
      </c>
      <c r="AA431" s="0" t="n">
        <f aca="false">IF(D431*X431&gt;0,AA430,Q431)</f>
        <v>17</v>
      </c>
      <c r="AB431" s="0" t="n">
        <f aca="false">(X431*D431)</f>
        <v>0</v>
      </c>
      <c r="AC431" s="0" t="n">
        <f aca="false">SUM(AB$10:AB430)/K431</f>
        <v>0</v>
      </c>
      <c r="AD431" s="0" t="n">
        <f aca="false">R431*E431+D431*(X431*S431+(1-X431)*T431)</f>
        <v>-0.565336208933764</v>
      </c>
      <c r="AE431" s="0" t="n">
        <f aca="false">Z431</f>
        <v>174.035070579802</v>
      </c>
      <c r="AF431" s="0" t="n">
        <f aca="false">E431*O431</f>
        <v>174.035070579802</v>
      </c>
      <c r="AG431" s="0" t="n">
        <f aca="false">((1-X431)*O431+X431*P431)*D431</f>
        <v>0</v>
      </c>
      <c r="AH431" s="0" t="n">
        <f aca="false">D431*(LN(EXP(S431)+EXP(T431)))</f>
        <v>-0</v>
      </c>
      <c r="AJ431" s="0" t="n">
        <f aca="false">$J$5</f>
        <v>10</v>
      </c>
      <c r="AK431" s="4" t="n">
        <f aca="false">AJ431+MAX(K431,AK$10:AK430)</f>
        <v>4438.82985076217</v>
      </c>
      <c r="AL431" s="5" t="n">
        <f aca="false">AK431-K431</f>
        <v>174.035070579802</v>
      </c>
      <c r="AM431" s="0" t="n">
        <f aca="false">-G431*AL431/3600</f>
        <v>-0.565336208933764</v>
      </c>
      <c r="AN431" s="0" t="n">
        <f aca="false">-H431*AL431/3600</f>
        <v>-0.499343975004762</v>
      </c>
      <c r="AO431" s="0" t="n">
        <f aca="false">AM431*E431+AN431*D431</f>
        <v>-0.565336208933764</v>
      </c>
      <c r="AP431" s="0" t="n">
        <f aca="false">AL431*D431</f>
        <v>0</v>
      </c>
      <c r="AR431" s="0" t="n">
        <f aca="false">AN431*D431</f>
        <v>-0</v>
      </c>
      <c r="AS431" s="0" t="n">
        <f aca="false">AH431-AR431</f>
        <v>0</v>
      </c>
    </row>
    <row r="432" customFormat="false" ht="12" hidden="false" customHeight="false" outlineLevel="0" collapsed="false">
      <c r="A432" s="3" t="n">
        <f aca="false">A431+1</f>
        <v>423</v>
      </c>
      <c r="B432" s="3" t="n">
        <f aca="false">IF(A432&lt;$N$4/3,0.1,(IF(A432&gt;2*$N$4/3,0.05,0.12)))</f>
        <v>0.12</v>
      </c>
      <c r="C432" s="4" t="n">
        <f aca="true">RAND()</f>
        <v>0.838745077314261</v>
      </c>
      <c r="D432" s="0" t="n">
        <f aca="false">IF((C432&gt;$M$2),1,0)</f>
        <v>0</v>
      </c>
      <c r="E432" s="0" t="n">
        <f aca="false">1-D432</f>
        <v>1</v>
      </c>
      <c r="F432" s="0" t="n">
        <f aca="true">RAND()</f>
        <v>0.527239529542679</v>
      </c>
      <c r="G432" s="0" t="n">
        <f aca="false">7.75+F432*10</f>
        <v>13.0223952954268</v>
      </c>
      <c r="H432" s="0" t="n">
        <f aca="false">LOGINV(F432,2.64,1.139)</f>
        <v>15.1474277983845</v>
      </c>
      <c r="I432" s="0" t="n">
        <v>19.5</v>
      </c>
      <c r="J432" s="4" t="n">
        <f aca="true">-LN(RAND())/B432</f>
        <v>1.77274847264786</v>
      </c>
      <c r="K432" s="4" t="n">
        <f aca="false">K431+J432</f>
        <v>4266.56752865502</v>
      </c>
      <c r="L432" s="4" t="n">
        <f aca="false">(1/$J$4)*(1+AB431)</f>
        <v>10</v>
      </c>
      <c r="M432" s="4" t="n">
        <f aca="false">L432+MAX(K432,Y$10:Y431)</f>
        <v>4448.82985076217</v>
      </c>
      <c r="N432" s="4" t="n">
        <f aca="false">K432</f>
        <v>4266.56752865502</v>
      </c>
      <c r="O432" s="4" t="n">
        <f aca="false">M432-K432</f>
        <v>182.262322107154</v>
      </c>
      <c r="P432" s="4" t="n">
        <f aca="false">N432-K432</f>
        <v>0</v>
      </c>
      <c r="Q432" s="4" t="n">
        <f aca="false">A432-MATCH(K432,$M$9:M431,1)</f>
        <v>18</v>
      </c>
      <c r="R432" s="0" t="n">
        <f aca="false">-G432*(O432/3600)</f>
        <v>-0.659303334983825</v>
      </c>
      <c r="S432" s="0" t="n">
        <f aca="false">-1*I432-(H432*(P432/3600))</f>
        <v>-19.5</v>
      </c>
      <c r="T432" s="0" t="n">
        <f aca="false">-H432*(O432/3600)</f>
        <v>-0.766890379023338</v>
      </c>
      <c r="U432" s="0" t="n">
        <f aca="false">T432-S432</f>
        <v>18.7331096209767</v>
      </c>
      <c r="V432" s="0" t="n">
        <f aca="false">1/(1+EXP(U432))</f>
        <v>7.31667660124342E-009</v>
      </c>
      <c r="W432" s="0" t="n">
        <f aca="true">RAND()</f>
        <v>0.204301483046736</v>
      </c>
      <c r="X432" s="0" t="n">
        <f aca="false">IF(W432&lt;V432,1,0)</f>
        <v>0</v>
      </c>
      <c r="Y432" s="0" t="n">
        <f aca="false">(M432*(1-X432)+N432*X432)*D432+M432*E432</f>
        <v>4448.82985076217</v>
      </c>
      <c r="Z432" s="0" t="n">
        <f aca="false">((1-X432)*O432+X432*P432)*D432+E432*O432</f>
        <v>182.262322107154</v>
      </c>
      <c r="AA432" s="0" t="n">
        <f aca="false">IF(D432*X432&gt;0,AA431,Q432)</f>
        <v>18</v>
      </c>
      <c r="AB432" s="0" t="n">
        <f aca="false">(X432*D432)</f>
        <v>0</v>
      </c>
      <c r="AC432" s="0" t="n">
        <f aca="false">SUM(AB$10:AB431)/K432</f>
        <v>0</v>
      </c>
      <c r="AD432" s="0" t="n">
        <f aca="false">R432*E432+D432*(X432*S432+(1-X432)*T432)</f>
        <v>-0.659303334983825</v>
      </c>
      <c r="AE432" s="0" t="n">
        <f aca="false">Z432</f>
        <v>182.262322107154</v>
      </c>
      <c r="AF432" s="0" t="n">
        <f aca="false">E432*O432</f>
        <v>182.262322107154</v>
      </c>
      <c r="AG432" s="0" t="n">
        <f aca="false">((1-X432)*O432+X432*P432)*D432</f>
        <v>0</v>
      </c>
      <c r="AH432" s="0" t="n">
        <f aca="false">D432*(LN(EXP(S432)+EXP(T432)))</f>
        <v>-0</v>
      </c>
      <c r="AJ432" s="0" t="n">
        <f aca="false">$J$5</f>
        <v>10</v>
      </c>
      <c r="AK432" s="4" t="n">
        <f aca="false">AJ432+MAX(K432,AK$10:AK431)</f>
        <v>4448.82985076217</v>
      </c>
      <c r="AL432" s="5" t="n">
        <f aca="false">AK432-K432</f>
        <v>182.262322107154</v>
      </c>
      <c r="AM432" s="0" t="n">
        <f aca="false">-G432*AL432/3600</f>
        <v>-0.659303334983825</v>
      </c>
      <c r="AN432" s="0" t="n">
        <f aca="false">-H432*AL432/3600</f>
        <v>-0.766890379023338</v>
      </c>
      <c r="AO432" s="0" t="n">
        <f aca="false">AM432*E432+AN432*D432</f>
        <v>-0.659303334983825</v>
      </c>
      <c r="AP432" s="0" t="n">
        <f aca="false">AL432*D432</f>
        <v>0</v>
      </c>
      <c r="AR432" s="0" t="n">
        <f aca="false">AN432*D432</f>
        <v>-0</v>
      </c>
      <c r="AS432" s="0" t="n">
        <f aca="false">AH432-AR432</f>
        <v>0</v>
      </c>
    </row>
    <row r="433" customFormat="false" ht="12" hidden="false" customHeight="false" outlineLevel="0" collapsed="false">
      <c r="A433" s="3" t="n">
        <f aca="false">A432+1</f>
        <v>424</v>
      </c>
      <c r="B433" s="3" t="n">
        <f aca="false">IF(A433&lt;$N$4/3,0.1,(IF(A433&gt;2*$N$4/3,0.05,0.12)))</f>
        <v>0.12</v>
      </c>
      <c r="C433" s="4" t="n">
        <f aca="true">RAND()</f>
        <v>0.430021188542982</v>
      </c>
      <c r="D433" s="0" t="n">
        <f aca="false">IF((C433&gt;$M$2),1,0)</f>
        <v>0</v>
      </c>
      <c r="E433" s="0" t="n">
        <f aca="false">1-D433</f>
        <v>1</v>
      </c>
      <c r="F433" s="0" t="n">
        <f aca="true">RAND()</f>
        <v>0.131417483218689</v>
      </c>
      <c r="G433" s="0" t="n">
        <f aca="false">7.75+F433*10</f>
        <v>9.06417483218689</v>
      </c>
      <c r="H433" s="0" t="n">
        <f aca="false">LOGINV(F433,2.64,1.139)</f>
        <v>3.91432894415338</v>
      </c>
      <c r="I433" s="0" t="n">
        <v>19.5</v>
      </c>
      <c r="J433" s="4" t="n">
        <f aca="true">-LN(RAND())/B433</f>
        <v>4.69894431358133</v>
      </c>
      <c r="K433" s="4" t="n">
        <f aca="false">K432+J433</f>
        <v>4271.2664729686</v>
      </c>
      <c r="L433" s="4" t="n">
        <f aca="false">(1/$J$4)*(1+AB432)</f>
        <v>10</v>
      </c>
      <c r="M433" s="4" t="n">
        <f aca="false">L433+MAX(K433,Y$10:Y432)</f>
        <v>4458.82985076217</v>
      </c>
      <c r="N433" s="4" t="n">
        <f aca="false">K433</f>
        <v>4271.2664729686</v>
      </c>
      <c r="O433" s="4" t="n">
        <f aca="false">M433-K433</f>
        <v>187.563377793573</v>
      </c>
      <c r="P433" s="4" t="n">
        <f aca="false">N433-K433</f>
        <v>0</v>
      </c>
      <c r="Q433" s="4" t="n">
        <f aca="false">A433-MATCH(K433,$M$9:M432,1)</f>
        <v>18</v>
      </c>
      <c r="R433" s="0" t="n">
        <f aca="false">-G433*(O433/3600)</f>
        <v>-0.472252013454573</v>
      </c>
      <c r="S433" s="0" t="n">
        <f aca="false">-1*I433-(H433*(P433/3600))</f>
        <v>-19.5</v>
      </c>
      <c r="T433" s="0" t="n">
        <f aca="false">-H433*(O433/3600)</f>
        <v>-0.203940210711266</v>
      </c>
      <c r="U433" s="0" t="n">
        <f aca="false">T433-S433</f>
        <v>19.2960597892887</v>
      </c>
      <c r="V433" s="0" t="n">
        <f aca="false">1/(1+EXP(U433))</f>
        <v>4.16704038280236E-009</v>
      </c>
      <c r="W433" s="0" t="n">
        <f aca="true">RAND()</f>
        <v>0.976223689126788</v>
      </c>
      <c r="X433" s="0" t="n">
        <f aca="false">IF(W433&lt;V433,1,0)</f>
        <v>0</v>
      </c>
      <c r="Y433" s="0" t="n">
        <f aca="false">(M433*(1-X433)+N433*X433)*D433+M433*E433</f>
        <v>4458.82985076217</v>
      </c>
      <c r="Z433" s="0" t="n">
        <f aca="false">((1-X433)*O433+X433*P433)*D433+E433*O433</f>
        <v>187.563377793573</v>
      </c>
      <c r="AA433" s="0" t="n">
        <f aca="false">IF(D433*X433&gt;0,AA432,Q433)</f>
        <v>18</v>
      </c>
      <c r="AB433" s="0" t="n">
        <f aca="false">(X433*D433)</f>
        <v>0</v>
      </c>
      <c r="AC433" s="0" t="n">
        <f aca="false">SUM(AB$10:AB432)/K433</f>
        <v>0</v>
      </c>
      <c r="AD433" s="0" t="n">
        <f aca="false">R433*E433+D433*(X433*S433+(1-X433)*T433)</f>
        <v>-0.472252013454573</v>
      </c>
      <c r="AE433" s="0" t="n">
        <f aca="false">Z433</f>
        <v>187.563377793573</v>
      </c>
      <c r="AF433" s="0" t="n">
        <f aca="false">E433*O433</f>
        <v>187.563377793573</v>
      </c>
      <c r="AG433" s="0" t="n">
        <f aca="false">((1-X433)*O433+X433*P433)*D433</f>
        <v>0</v>
      </c>
      <c r="AH433" s="0" t="n">
        <f aca="false">D433*(LN(EXP(S433)+EXP(T433)))</f>
        <v>-0</v>
      </c>
      <c r="AJ433" s="0" t="n">
        <f aca="false">$J$5</f>
        <v>10</v>
      </c>
      <c r="AK433" s="4" t="n">
        <f aca="false">AJ433+MAX(K433,AK$10:AK432)</f>
        <v>4458.82985076217</v>
      </c>
      <c r="AL433" s="5" t="n">
        <f aca="false">AK433-K433</f>
        <v>187.563377793573</v>
      </c>
      <c r="AM433" s="0" t="n">
        <f aca="false">-G433*AL433/3600</f>
        <v>-0.472252013454573</v>
      </c>
      <c r="AN433" s="0" t="n">
        <f aca="false">-H433*AL433/3600</f>
        <v>-0.203940210711266</v>
      </c>
      <c r="AO433" s="0" t="n">
        <f aca="false">AM433*E433+AN433*D433</f>
        <v>-0.472252013454573</v>
      </c>
      <c r="AP433" s="0" t="n">
        <f aca="false">AL433*D433</f>
        <v>0</v>
      </c>
      <c r="AR433" s="0" t="n">
        <f aca="false">AN433*D433</f>
        <v>-0</v>
      </c>
      <c r="AS433" s="0" t="n">
        <f aca="false">AH433-AR433</f>
        <v>0</v>
      </c>
    </row>
    <row r="434" customFormat="false" ht="12" hidden="false" customHeight="false" outlineLevel="0" collapsed="false">
      <c r="A434" s="3" t="n">
        <f aca="false">A433+1</f>
        <v>425</v>
      </c>
      <c r="B434" s="3" t="n">
        <f aca="false">IF(A434&lt;$N$4/3,0.1,(IF(A434&gt;2*$N$4/3,0.05,0.12)))</f>
        <v>0.12</v>
      </c>
      <c r="C434" s="4" t="n">
        <f aca="true">RAND()</f>
        <v>0.197899127003129</v>
      </c>
      <c r="D434" s="0" t="n">
        <f aca="false">IF((C434&gt;$M$2),1,0)</f>
        <v>0</v>
      </c>
      <c r="E434" s="0" t="n">
        <f aca="false">1-D434</f>
        <v>1</v>
      </c>
      <c r="F434" s="0" t="n">
        <f aca="true">RAND()</f>
        <v>0.222304291693645</v>
      </c>
      <c r="G434" s="0" t="n">
        <f aca="false">7.75+F434*10</f>
        <v>9.97304291693645</v>
      </c>
      <c r="H434" s="0" t="n">
        <f aca="false">LOGINV(F434,2.64,1.139)</f>
        <v>5.86680116802607</v>
      </c>
      <c r="I434" s="0" t="n">
        <v>19.5</v>
      </c>
      <c r="J434" s="4" t="n">
        <f aca="true">-LN(RAND())/B434</f>
        <v>8.23893642801871</v>
      </c>
      <c r="K434" s="4" t="n">
        <f aca="false">K433+J434</f>
        <v>4279.50540939662</v>
      </c>
      <c r="L434" s="4" t="n">
        <f aca="false">(1/$J$4)*(1+AB433)</f>
        <v>10</v>
      </c>
      <c r="M434" s="4" t="n">
        <f aca="false">L434+MAX(K434,Y$10:Y433)</f>
        <v>4468.82985076217</v>
      </c>
      <c r="N434" s="4" t="n">
        <f aca="false">K434</f>
        <v>4279.50540939662</v>
      </c>
      <c r="O434" s="4" t="n">
        <f aca="false">M434-K434</f>
        <v>189.324441365554</v>
      </c>
      <c r="P434" s="4" t="n">
        <f aca="false">N434-K434</f>
        <v>0</v>
      </c>
      <c r="Q434" s="4" t="n">
        <f aca="false">A434-MATCH(K434,$M$9:M433,1)</f>
        <v>18</v>
      </c>
      <c r="R434" s="0" t="n">
        <f aca="false">-G434*(O434/3600)</f>
        <v>-0.524483549712135</v>
      </c>
      <c r="S434" s="0" t="n">
        <f aca="false">-1*I434-(H434*(P434/3600))</f>
        <v>-19.5</v>
      </c>
      <c r="T434" s="0" t="n">
        <f aca="false">-H434*(O434/3600)</f>
        <v>-0.308535792705365</v>
      </c>
      <c r="U434" s="0" t="n">
        <f aca="false">T434-S434</f>
        <v>19.1914642072946</v>
      </c>
      <c r="V434" s="0" t="n">
        <f aca="false">1/(1+EXP(U434))</f>
        <v>4.62650454469797E-009</v>
      </c>
      <c r="W434" s="0" t="n">
        <f aca="true">RAND()</f>
        <v>0.578749711274914</v>
      </c>
      <c r="X434" s="0" t="n">
        <f aca="false">IF(W434&lt;V434,1,0)</f>
        <v>0</v>
      </c>
      <c r="Y434" s="0" t="n">
        <f aca="false">(M434*(1-X434)+N434*X434)*D434+M434*E434</f>
        <v>4468.82985076217</v>
      </c>
      <c r="Z434" s="0" t="n">
        <f aca="false">((1-X434)*O434+X434*P434)*D434+E434*O434</f>
        <v>189.324441365554</v>
      </c>
      <c r="AA434" s="0" t="n">
        <f aca="false">IF(D434*X434&gt;0,AA433,Q434)</f>
        <v>18</v>
      </c>
      <c r="AB434" s="0" t="n">
        <f aca="false">(X434*D434)</f>
        <v>0</v>
      </c>
      <c r="AC434" s="0" t="n">
        <f aca="false">SUM(AB$10:AB433)/K434</f>
        <v>0</v>
      </c>
      <c r="AD434" s="0" t="n">
        <f aca="false">R434*E434+D434*(X434*S434+(1-X434)*T434)</f>
        <v>-0.524483549712135</v>
      </c>
      <c r="AE434" s="0" t="n">
        <f aca="false">Z434</f>
        <v>189.324441365554</v>
      </c>
      <c r="AF434" s="0" t="n">
        <f aca="false">E434*O434</f>
        <v>189.324441365554</v>
      </c>
      <c r="AG434" s="0" t="n">
        <f aca="false">((1-X434)*O434+X434*P434)*D434</f>
        <v>0</v>
      </c>
      <c r="AH434" s="0" t="n">
        <f aca="false">D434*(LN(EXP(S434)+EXP(T434)))</f>
        <v>-0</v>
      </c>
      <c r="AJ434" s="0" t="n">
        <f aca="false">$J$5</f>
        <v>10</v>
      </c>
      <c r="AK434" s="4" t="n">
        <f aca="false">AJ434+MAX(K434,AK$10:AK433)</f>
        <v>4468.82985076217</v>
      </c>
      <c r="AL434" s="5" t="n">
        <f aca="false">AK434-K434</f>
        <v>189.324441365554</v>
      </c>
      <c r="AM434" s="0" t="n">
        <f aca="false">-G434*AL434/3600</f>
        <v>-0.524483549712135</v>
      </c>
      <c r="AN434" s="0" t="n">
        <f aca="false">-H434*AL434/3600</f>
        <v>-0.308535792705365</v>
      </c>
      <c r="AO434" s="0" t="n">
        <f aca="false">AM434*E434+AN434*D434</f>
        <v>-0.524483549712135</v>
      </c>
      <c r="AP434" s="0" t="n">
        <f aca="false">AL434*D434</f>
        <v>0</v>
      </c>
      <c r="AR434" s="0" t="n">
        <f aca="false">AN434*D434</f>
        <v>-0</v>
      </c>
      <c r="AS434" s="0" t="n">
        <f aca="false">AH434-AR434</f>
        <v>0</v>
      </c>
    </row>
    <row r="435" customFormat="false" ht="12" hidden="false" customHeight="false" outlineLevel="0" collapsed="false">
      <c r="A435" s="3" t="n">
        <f aca="false">A434+1</f>
        <v>426</v>
      </c>
      <c r="B435" s="3" t="n">
        <f aca="false">IF(A435&lt;$N$4/3,0.1,(IF(A435&gt;2*$N$4/3,0.05,0.12)))</f>
        <v>0.12</v>
      </c>
      <c r="C435" s="4" t="n">
        <f aca="true">RAND()</f>
        <v>0.973592209247988</v>
      </c>
      <c r="D435" s="0" t="n">
        <f aca="false">IF((C435&gt;$M$2),1,0)</f>
        <v>1</v>
      </c>
      <c r="E435" s="0" t="n">
        <f aca="false">1-D435</f>
        <v>0</v>
      </c>
      <c r="F435" s="0" t="n">
        <f aca="true">RAND()</f>
        <v>0.881381753967517</v>
      </c>
      <c r="G435" s="0" t="n">
        <f aca="false">7.75+F435*10</f>
        <v>16.5638175396752</v>
      </c>
      <c r="H435" s="0" t="n">
        <f aca="false">LOGINV(F435,2.64,1.139)</f>
        <v>53.8503884062649</v>
      </c>
      <c r="I435" s="0" t="n">
        <v>19.5</v>
      </c>
      <c r="J435" s="4" t="n">
        <f aca="true">-LN(RAND())/B435</f>
        <v>16.8970820333956</v>
      </c>
      <c r="K435" s="4" t="n">
        <f aca="false">K434+J435</f>
        <v>4296.40249143001</v>
      </c>
      <c r="L435" s="4" t="n">
        <f aca="false">(1/$J$4)*(1+AB434)</f>
        <v>10</v>
      </c>
      <c r="M435" s="4" t="n">
        <f aca="false">L435+MAX(K435,Y$10:Y434)</f>
        <v>4478.82985076217</v>
      </c>
      <c r="N435" s="4" t="n">
        <f aca="false">K435</f>
        <v>4296.40249143001</v>
      </c>
      <c r="O435" s="4" t="n">
        <f aca="false">M435-K435</f>
        <v>182.427359332159</v>
      </c>
      <c r="P435" s="4" t="n">
        <f aca="false">N435-K435</f>
        <v>0</v>
      </c>
      <c r="Q435" s="4" t="n">
        <f aca="false">A435-MATCH(K435,$M$9:M434,1)</f>
        <v>18</v>
      </c>
      <c r="R435" s="0" t="n">
        <f aca="false">-G435*(O435/3600)</f>
        <v>-0.839359303950732</v>
      </c>
      <c r="S435" s="0" t="n">
        <f aca="false">-1*I435-(H435*(P435/3600))</f>
        <v>-19.5</v>
      </c>
      <c r="T435" s="0" t="n">
        <f aca="false">-H435*(O435/3600)</f>
        <v>-2.72882893221278</v>
      </c>
      <c r="U435" s="0" t="n">
        <f aca="false">T435-S435</f>
        <v>16.7711710677872</v>
      </c>
      <c r="V435" s="0" t="n">
        <f aca="false">1/(1+EXP(U435))</f>
        <v>5.20442707582449E-008</v>
      </c>
      <c r="W435" s="0" t="n">
        <f aca="true">RAND()</f>
        <v>0.484832430628838</v>
      </c>
      <c r="X435" s="0" t="n">
        <f aca="false">IF(W435&lt;V435,1,0)</f>
        <v>0</v>
      </c>
      <c r="Y435" s="0" t="n">
        <f aca="false">(M435*(1-X435)+N435*X435)*D435+M435*E435</f>
        <v>4478.82985076217</v>
      </c>
      <c r="Z435" s="0" t="n">
        <f aca="false">((1-X435)*O435+X435*P435)*D435+E435*O435</f>
        <v>182.427359332159</v>
      </c>
      <c r="AA435" s="0" t="n">
        <f aca="false">IF(D435*X435&gt;0,AA434,Q435)</f>
        <v>18</v>
      </c>
      <c r="AB435" s="0" t="n">
        <f aca="false">(X435*D435)</f>
        <v>0</v>
      </c>
      <c r="AC435" s="0" t="n">
        <f aca="false">SUM(AB$10:AB434)/K435</f>
        <v>0</v>
      </c>
      <c r="AD435" s="0" t="n">
        <f aca="false">R435*E435+D435*(X435*S435+(1-X435)*T435)</f>
        <v>-2.72882893221278</v>
      </c>
      <c r="AE435" s="0" t="n">
        <f aca="false">Z435</f>
        <v>182.427359332159</v>
      </c>
      <c r="AF435" s="0" t="n">
        <f aca="false">E435*O435</f>
        <v>0</v>
      </c>
      <c r="AG435" s="0" t="n">
        <f aca="false">((1-X435)*O435+X435*P435)*D435</f>
        <v>182.427359332159</v>
      </c>
      <c r="AH435" s="0" t="n">
        <f aca="false">D435*(LN(EXP(S435)+EXP(T435)))</f>
        <v>-2.72882888016851</v>
      </c>
      <c r="AJ435" s="0" t="n">
        <f aca="false">$J$5</f>
        <v>10</v>
      </c>
      <c r="AK435" s="4" t="n">
        <f aca="false">AJ435+MAX(K435,AK$10:AK434)</f>
        <v>4478.82985076217</v>
      </c>
      <c r="AL435" s="5" t="n">
        <f aca="false">AK435-K435</f>
        <v>182.427359332159</v>
      </c>
      <c r="AM435" s="0" t="n">
        <f aca="false">-G435*AL435/3600</f>
        <v>-0.839359303950732</v>
      </c>
      <c r="AN435" s="0" t="n">
        <f aca="false">-H435*AL435/3600</f>
        <v>-2.72882893221278</v>
      </c>
      <c r="AO435" s="0" t="n">
        <f aca="false">AM435*E435+AN435*D435</f>
        <v>-2.72882893221278</v>
      </c>
      <c r="AP435" s="0" t="n">
        <f aca="false">AL435*D435</f>
        <v>182.427359332159</v>
      </c>
      <c r="AR435" s="0" t="n">
        <f aca="false">AN435*D435</f>
        <v>-2.72882893221278</v>
      </c>
      <c r="AS435" s="0" t="n">
        <f aca="false">AH435-AR435</f>
        <v>5.20442724472048E-008</v>
      </c>
    </row>
    <row r="436" customFormat="false" ht="12" hidden="false" customHeight="false" outlineLevel="0" collapsed="false">
      <c r="A436" s="3" t="n">
        <f aca="false">A435+1</f>
        <v>427</v>
      </c>
      <c r="B436" s="3" t="n">
        <f aca="false">IF(A436&lt;$N$4/3,0.1,(IF(A436&gt;2*$N$4/3,0.05,0.12)))</f>
        <v>0.12</v>
      </c>
      <c r="C436" s="4" t="n">
        <f aca="true">RAND()</f>
        <v>0.115413749516162</v>
      </c>
      <c r="D436" s="0" t="n">
        <f aca="false">IF((C436&gt;$M$2),1,0)</f>
        <v>0</v>
      </c>
      <c r="E436" s="0" t="n">
        <f aca="false">1-D436</f>
        <v>1</v>
      </c>
      <c r="F436" s="0" t="n">
        <f aca="true">RAND()</f>
        <v>0.880065222150847</v>
      </c>
      <c r="G436" s="0" t="n">
        <f aca="false">7.75+F436*10</f>
        <v>16.5506522215085</v>
      </c>
      <c r="H436" s="0" t="n">
        <f aca="false">LOGINV(F436,2.64,1.139)</f>
        <v>53.4465127593948</v>
      </c>
      <c r="I436" s="0" t="n">
        <v>19.5</v>
      </c>
      <c r="J436" s="4" t="n">
        <f aca="true">-LN(RAND())/B436</f>
        <v>2.41462111602754</v>
      </c>
      <c r="K436" s="4" t="n">
        <f aca="false">K435+J436</f>
        <v>4298.81711254604</v>
      </c>
      <c r="L436" s="4" t="n">
        <f aca="false">(1/$J$4)*(1+AB435)</f>
        <v>10</v>
      </c>
      <c r="M436" s="4" t="n">
        <f aca="false">L436+MAX(K436,Y$10:Y435)</f>
        <v>4488.82985076217</v>
      </c>
      <c r="N436" s="4" t="n">
        <f aca="false">K436</f>
        <v>4298.81711254604</v>
      </c>
      <c r="O436" s="4" t="n">
        <f aca="false">M436-K436</f>
        <v>190.012738216131</v>
      </c>
      <c r="P436" s="4" t="n">
        <f aca="false">N436-K436</f>
        <v>0</v>
      </c>
      <c r="Q436" s="4" t="n">
        <f aca="false">A436-MATCH(K436,$M$9:M435,1)</f>
        <v>19</v>
      </c>
      <c r="R436" s="0" t="n">
        <f aca="false">-G436*(O436/3600)</f>
        <v>-0.873565207742143</v>
      </c>
      <c r="S436" s="0" t="n">
        <f aca="false">-1*I436-(H436*(P436/3600))</f>
        <v>-19.5</v>
      </c>
      <c r="T436" s="0" t="n">
        <f aca="false">-H436*(O436/3600)</f>
        <v>-2.82097728819888</v>
      </c>
      <c r="U436" s="0" t="n">
        <f aca="false">T436-S436</f>
        <v>16.6790227118011</v>
      </c>
      <c r="V436" s="0" t="n">
        <f aca="false">1/(1+EXP(U436))</f>
        <v>5.70679731109772E-008</v>
      </c>
      <c r="W436" s="0" t="n">
        <f aca="true">RAND()</f>
        <v>0.0433207702201349</v>
      </c>
      <c r="X436" s="0" t="n">
        <f aca="false">IF(W436&lt;V436,1,0)</f>
        <v>0</v>
      </c>
      <c r="Y436" s="0" t="n">
        <f aca="false">(M436*(1-X436)+N436*X436)*D436+M436*E436</f>
        <v>4488.82985076217</v>
      </c>
      <c r="Z436" s="0" t="n">
        <f aca="false">((1-X436)*O436+X436*P436)*D436+E436*O436</f>
        <v>190.012738216131</v>
      </c>
      <c r="AA436" s="0" t="n">
        <f aca="false">IF(D436*X436&gt;0,AA435,Q436)</f>
        <v>19</v>
      </c>
      <c r="AB436" s="0" t="n">
        <f aca="false">(X436*D436)</f>
        <v>0</v>
      </c>
      <c r="AC436" s="0" t="n">
        <f aca="false">SUM(AB$10:AB435)/K436</f>
        <v>0</v>
      </c>
      <c r="AD436" s="0" t="n">
        <f aca="false">R436*E436+D436*(X436*S436+(1-X436)*T436)</f>
        <v>-0.873565207742143</v>
      </c>
      <c r="AE436" s="0" t="n">
        <f aca="false">Z436</f>
        <v>190.012738216131</v>
      </c>
      <c r="AF436" s="0" t="n">
        <f aca="false">E436*O436</f>
        <v>190.012738216131</v>
      </c>
      <c r="AG436" s="0" t="n">
        <f aca="false">((1-X436)*O436+X436*P436)*D436</f>
        <v>0</v>
      </c>
      <c r="AH436" s="0" t="n">
        <f aca="false">D436*(LN(EXP(S436)+EXP(T436)))</f>
        <v>-0</v>
      </c>
      <c r="AJ436" s="0" t="n">
        <f aca="false">$J$5</f>
        <v>10</v>
      </c>
      <c r="AK436" s="4" t="n">
        <f aca="false">AJ436+MAX(K436,AK$10:AK435)</f>
        <v>4488.82985076217</v>
      </c>
      <c r="AL436" s="5" t="n">
        <f aca="false">AK436-K436</f>
        <v>190.012738216131</v>
      </c>
      <c r="AM436" s="0" t="n">
        <f aca="false">-G436*AL436/3600</f>
        <v>-0.873565207742143</v>
      </c>
      <c r="AN436" s="0" t="n">
        <f aca="false">-H436*AL436/3600</f>
        <v>-2.82097728819888</v>
      </c>
      <c r="AO436" s="0" t="n">
        <f aca="false">AM436*E436+AN436*D436</f>
        <v>-0.873565207742143</v>
      </c>
      <c r="AP436" s="0" t="n">
        <f aca="false">AL436*D436</f>
        <v>0</v>
      </c>
      <c r="AR436" s="0" t="n">
        <f aca="false">AN436*D436</f>
        <v>-0</v>
      </c>
      <c r="AS436" s="0" t="n">
        <f aca="false">AH436-AR436</f>
        <v>0</v>
      </c>
    </row>
    <row r="437" customFormat="false" ht="12" hidden="false" customHeight="false" outlineLevel="0" collapsed="false">
      <c r="A437" s="3" t="n">
        <f aca="false">A436+1</f>
        <v>428</v>
      </c>
      <c r="B437" s="3" t="n">
        <f aca="false">IF(A437&lt;$N$4/3,0.1,(IF(A437&gt;2*$N$4/3,0.05,0.12)))</f>
        <v>0.12</v>
      </c>
      <c r="C437" s="4" t="n">
        <f aca="true">RAND()</f>
        <v>0.0648152666782428</v>
      </c>
      <c r="D437" s="0" t="n">
        <f aca="false">IF((C437&gt;$M$2),1,0)</f>
        <v>0</v>
      </c>
      <c r="E437" s="0" t="n">
        <f aca="false">1-D437</f>
        <v>1</v>
      </c>
      <c r="F437" s="0" t="n">
        <f aca="true">RAND()</f>
        <v>0.794542661010686</v>
      </c>
      <c r="G437" s="0" t="n">
        <f aca="false">7.75+F437*10</f>
        <v>15.6954266101069</v>
      </c>
      <c r="H437" s="0" t="n">
        <f aca="false">LOGINV(F437,2.64,1.139)</f>
        <v>35.7511587992732</v>
      </c>
      <c r="I437" s="0" t="n">
        <v>19.5</v>
      </c>
      <c r="J437" s="4" t="n">
        <f aca="true">-LN(RAND())/B437</f>
        <v>7.72090845791442</v>
      </c>
      <c r="K437" s="4" t="n">
        <f aca="false">K436+J437</f>
        <v>4306.53802100396</v>
      </c>
      <c r="L437" s="4" t="n">
        <f aca="false">(1/$J$4)*(1+AB436)</f>
        <v>10</v>
      </c>
      <c r="M437" s="4" t="n">
        <f aca="false">L437+MAX(K437,Y$10:Y436)</f>
        <v>4498.82985076217</v>
      </c>
      <c r="N437" s="4" t="n">
        <f aca="false">K437</f>
        <v>4306.53802100396</v>
      </c>
      <c r="O437" s="4" t="n">
        <f aca="false">M437-K437</f>
        <v>192.291829758216</v>
      </c>
      <c r="P437" s="4" t="n">
        <f aca="false">N437-K437</f>
        <v>0</v>
      </c>
      <c r="Q437" s="4" t="n">
        <f aca="false">A437-MATCH(K437,$M$9:M436,1)</f>
        <v>19</v>
      </c>
      <c r="R437" s="0" t="n">
        <f aca="false">-G437*(O437/3600)</f>
        <v>-0.838361750470347</v>
      </c>
      <c r="S437" s="0" t="n">
        <f aca="false">-1*I437-(H437*(P437/3600))</f>
        <v>-19.5</v>
      </c>
      <c r="T437" s="0" t="n">
        <f aca="false">-H437*(O437/3600)</f>
        <v>-1.909626594858</v>
      </c>
      <c r="U437" s="0" t="n">
        <f aca="false">T437-S437</f>
        <v>17.590373405142</v>
      </c>
      <c r="V437" s="0" t="n">
        <f aca="false">1/(1+EXP(U437))</f>
        <v>2.29402362181343E-008</v>
      </c>
      <c r="W437" s="0" t="n">
        <f aca="true">RAND()</f>
        <v>0.689873363331111</v>
      </c>
      <c r="X437" s="0" t="n">
        <f aca="false">IF(W437&lt;V437,1,0)</f>
        <v>0</v>
      </c>
      <c r="Y437" s="0" t="n">
        <f aca="false">(M437*(1-X437)+N437*X437)*D437+M437*E437</f>
        <v>4498.82985076217</v>
      </c>
      <c r="Z437" s="0" t="n">
        <f aca="false">((1-X437)*O437+X437*P437)*D437+E437*O437</f>
        <v>192.291829758216</v>
      </c>
      <c r="AA437" s="0" t="n">
        <f aca="false">IF(D437*X437&gt;0,AA436,Q437)</f>
        <v>19</v>
      </c>
      <c r="AB437" s="0" t="n">
        <f aca="false">(X437*D437)</f>
        <v>0</v>
      </c>
      <c r="AC437" s="0" t="n">
        <f aca="false">SUM(AB$10:AB436)/K437</f>
        <v>0</v>
      </c>
      <c r="AD437" s="0" t="n">
        <f aca="false">R437*E437+D437*(X437*S437+(1-X437)*T437)</f>
        <v>-0.838361750470347</v>
      </c>
      <c r="AE437" s="0" t="n">
        <f aca="false">Z437</f>
        <v>192.291829758216</v>
      </c>
      <c r="AF437" s="0" t="n">
        <f aca="false">E437*O437</f>
        <v>192.291829758216</v>
      </c>
      <c r="AG437" s="0" t="n">
        <f aca="false">((1-X437)*O437+X437*P437)*D437</f>
        <v>0</v>
      </c>
      <c r="AH437" s="0" t="n">
        <f aca="false">D437*(LN(EXP(S437)+EXP(T437)))</f>
        <v>-0</v>
      </c>
      <c r="AJ437" s="0" t="n">
        <f aca="false">$J$5</f>
        <v>10</v>
      </c>
      <c r="AK437" s="4" t="n">
        <f aca="false">AJ437+MAX(K437,AK$10:AK436)</f>
        <v>4498.82985076217</v>
      </c>
      <c r="AL437" s="5" t="n">
        <f aca="false">AK437-K437</f>
        <v>192.291829758216</v>
      </c>
      <c r="AM437" s="0" t="n">
        <f aca="false">-G437*AL437/3600</f>
        <v>-0.838361750470347</v>
      </c>
      <c r="AN437" s="0" t="n">
        <f aca="false">-H437*AL437/3600</f>
        <v>-1.909626594858</v>
      </c>
      <c r="AO437" s="0" t="n">
        <f aca="false">AM437*E437+AN437*D437</f>
        <v>-0.838361750470347</v>
      </c>
      <c r="AP437" s="0" t="n">
        <f aca="false">AL437*D437</f>
        <v>0</v>
      </c>
      <c r="AR437" s="0" t="n">
        <f aca="false">AN437*D437</f>
        <v>-0</v>
      </c>
      <c r="AS437" s="0" t="n">
        <f aca="false">AH437-AR437</f>
        <v>0</v>
      </c>
    </row>
    <row r="438" customFormat="false" ht="12" hidden="false" customHeight="false" outlineLevel="0" collapsed="false">
      <c r="A438" s="3" t="n">
        <f aca="false">A437+1</f>
        <v>429</v>
      </c>
      <c r="B438" s="3" t="n">
        <f aca="false">IF(A438&lt;$N$4/3,0.1,(IF(A438&gt;2*$N$4/3,0.05,0.12)))</f>
        <v>0.12</v>
      </c>
      <c r="C438" s="4" t="n">
        <f aca="true">RAND()</f>
        <v>0.677466490947516</v>
      </c>
      <c r="D438" s="0" t="n">
        <f aca="false">IF((C438&gt;$M$2),1,0)</f>
        <v>0</v>
      </c>
      <c r="E438" s="0" t="n">
        <f aca="false">1-D438</f>
        <v>1</v>
      </c>
      <c r="F438" s="0" t="n">
        <f aca="true">RAND()</f>
        <v>0.404113148912323</v>
      </c>
      <c r="G438" s="0" t="n">
        <f aca="false">7.75+F438*10</f>
        <v>11.7911314891232</v>
      </c>
      <c r="H438" s="0" t="n">
        <f aca="false">LOGINV(F438,2.64,1.139)</f>
        <v>10.6285925349362</v>
      </c>
      <c r="I438" s="0" t="n">
        <v>19.5</v>
      </c>
      <c r="J438" s="4" t="n">
        <f aca="true">-LN(RAND())/B438</f>
        <v>3.66800866992937</v>
      </c>
      <c r="K438" s="4" t="n">
        <f aca="false">K437+J438</f>
        <v>4310.20602967389</v>
      </c>
      <c r="L438" s="4" t="n">
        <f aca="false">(1/$J$4)*(1+AB437)</f>
        <v>10</v>
      </c>
      <c r="M438" s="4" t="n">
        <f aca="false">L438+MAX(K438,Y$10:Y437)</f>
        <v>4508.82985076217</v>
      </c>
      <c r="N438" s="4" t="n">
        <f aca="false">K438</f>
        <v>4310.20602967389</v>
      </c>
      <c r="O438" s="4" t="n">
        <f aca="false">M438-K438</f>
        <v>198.623821088287</v>
      </c>
      <c r="P438" s="4" t="n">
        <f aca="false">N438-K438</f>
        <v>0</v>
      </c>
      <c r="Q438" s="4" t="n">
        <f aca="false">A438-MATCH(K438,$M$9:M437,1)</f>
        <v>19</v>
      </c>
      <c r="R438" s="0" t="n">
        <f aca="false">-G438*(O438/3600)</f>
        <v>-0.650555442034465</v>
      </c>
      <c r="S438" s="0" t="n">
        <f aca="false">-1*I438-(H438*(P438/3600))</f>
        <v>-19.5</v>
      </c>
      <c r="T438" s="0" t="n">
        <f aca="false">-H438*(O438/3600)</f>
        <v>-0.58641435057763</v>
      </c>
      <c r="U438" s="0" t="n">
        <f aca="false">T438-S438</f>
        <v>18.9135856494224</v>
      </c>
      <c r="V438" s="0" t="n">
        <f aca="false">1/(1+EXP(U438))</f>
        <v>6.10849351004943E-009</v>
      </c>
      <c r="W438" s="0" t="n">
        <f aca="true">RAND()</f>
        <v>0.963881109914668</v>
      </c>
      <c r="X438" s="0" t="n">
        <f aca="false">IF(W438&lt;V438,1,0)</f>
        <v>0</v>
      </c>
      <c r="Y438" s="0" t="n">
        <f aca="false">(M438*(1-X438)+N438*X438)*D438+M438*E438</f>
        <v>4508.82985076217</v>
      </c>
      <c r="Z438" s="0" t="n">
        <f aca="false">((1-X438)*O438+X438*P438)*D438+E438*O438</f>
        <v>198.623821088287</v>
      </c>
      <c r="AA438" s="0" t="n">
        <f aca="false">IF(D438*X438&gt;0,AA437,Q438)</f>
        <v>19</v>
      </c>
      <c r="AB438" s="0" t="n">
        <f aca="false">(X438*D438)</f>
        <v>0</v>
      </c>
      <c r="AC438" s="0" t="n">
        <f aca="false">SUM(AB$10:AB437)/K438</f>
        <v>0</v>
      </c>
      <c r="AD438" s="0" t="n">
        <f aca="false">R438*E438+D438*(X438*S438+(1-X438)*T438)</f>
        <v>-0.650555442034465</v>
      </c>
      <c r="AE438" s="0" t="n">
        <f aca="false">Z438</f>
        <v>198.623821088287</v>
      </c>
      <c r="AF438" s="0" t="n">
        <f aca="false">E438*O438</f>
        <v>198.623821088287</v>
      </c>
      <c r="AG438" s="0" t="n">
        <f aca="false">((1-X438)*O438+X438*P438)*D438</f>
        <v>0</v>
      </c>
      <c r="AH438" s="0" t="n">
        <f aca="false">D438*(LN(EXP(S438)+EXP(T438)))</f>
        <v>-0</v>
      </c>
      <c r="AJ438" s="0" t="n">
        <f aca="false">$J$5</f>
        <v>10</v>
      </c>
      <c r="AK438" s="4" t="n">
        <f aca="false">AJ438+MAX(K438,AK$10:AK437)</f>
        <v>4508.82985076217</v>
      </c>
      <c r="AL438" s="5" t="n">
        <f aca="false">AK438-K438</f>
        <v>198.623821088287</v>
      </c>
      <c r="AM438" s="0" t="n">
        <f aca="false">-G438*AL438/3600</f>
        <v>-0.650555442034465</v>
      </c>
      <c r="AN438" s="0" t="n">
        <f aca="false">-H438*AL438/3600</f>
        <v>-0.58641435057763</v>
      </c>
      <c r="AO438" s="0" t="n">
        <f aca="false">AM438*E438+AN438*D438</f>
        <v>-0.650555442034465</v>
      </c>
      <c r="AP438" s="0" t="n">
        <f aca="false">AL438*D438</f>
        <v>0</v>
      </c>
      <c r="AR438" s="0" t="n">
        <f aca="false">AN438*D438</f>
        <v>-0</v>
      </c>
      <c r="AS438" s="0" t="n">
        <f aca="false">AH438-AR438</f>
        <v>0</v>
      </c>
    </row>
    <row r="439" customFormat="false" ht="12" hidden="false" customHeight="false" outlineLevel="0" collapsed="false">
      <c r="A439" s="3" t="n">
        <f aca="false">A438+1</f>
        <v>430</v>
      </c>
      <c r="B439" s="3" t="n">
        <f aca="false">IF(A439&lt;$N$4/3,0.1,(IF(A439&gt;2*$N$4/3,0.05,0.12)))</f>
        <v>0.12</v>
      </c>
      <c r="C439" s="4" t="n">
        <f aca="true">RAND()</f>
        <v>0.927845180445505</v>
      </c>
      <c r="D439" s="0" t="n">
        <f aca="false">IF((C439&gt;$M$2),1,0)</f>
        <v>1</v>
      </c>
      <c r="E439" s="0" t="n">
        <f aca="false">1-D439</f>
        <v>0</v>
      </c>
      <c r="F439" s="0" t="n">
        <f aca="true">RAND()</f>
        <v>0.620367275483904</v>
      </c>
      <c r="G439" s="0" t="n">
        <f aca="false">7.75+F439*10</f>
        <v>13.953672754839</v>
      </c>
      <c r="H439" s="0" t="n">
        <f aca="false">LOGINV(F439,2.64,1.139)</f>
        <v>19.8666303077957</v>
      </c>
      <c r="I439" s="0" t="n">
        <v>19.5</v>
      </c>
      <c r="J439" s="4" t="n">
        <f aca="true">-LN(RAND())/B439</f>
        <v>5.83924529868652</v>
      </c>
      <c r="K439" s="4" t="n">
        <f aca="false">K438+J439</f>
        <v>4316.04527497257</v>
      </c>
      <c r="L439" s="4" t="n">
        <f aca="false">(1/$J$4)*(1+AB438)</f>
        <v>10</v>
      </c>
      <c r="M439" s="4" t="n">
        <f aca="false">L439+MAX(K439,Y$10:Y438)</f>
        <v>4518.82985076217</v>
      </c>
      <c r="N439" s="4" t="n">
        <f aca="false">K439</f>
        <v>4316.04527497257</v>
      </c>
      <c r="O439" s="4" t="n">
        <f aca="false">M439-K439</f>
        <v>202.7845757896</v>
      </c>
      <c r="P439" s="4" t="n">
        <f aca="false">N439-K439</f>
        <v>0</v>
      </c>
      <c r="Q439" s="4" t="n">
        <f aca="false">A439-MATCH(K439,$M$9:M438,1)</f>
        <v>20</v>
      </c>
      <c r="R439" s="0" t="n">
        <f aca="false">-G439*(O439/3600)</f>
        <v>-0.785997113971372</v>
      </c>
      <c r="S439" s="0" t="n">
        <f aca="false">-1*I439-(H439*(P439/3600))</f>
        <v>-19.5</v>
      </c>
      <c r="T439" s="0" t="n">
        <f aca="false">-H439*(O439/3600)</f>
        <v>-1.11906838870421</v>
      </c>
      <c r="U439" s="0" t="n">
        <f aca="false">T439-S439</f>
        <v>18.3809316112958</v>
      </c>
      <c r="V439" s="0" t="n">
        <f aca="false">1/(1+EXP(U439))</f>
        <v>1.0405496906797E-008</v>
      </c>
      <c r="W439" s="0" t="n">
        <f aca="true">RAND()</f>
        <v>0.898357573901879</v>
      </c>
      <c r="X439" s="0" t="n">
        <f aca="false">IF(W439&lt;V439,1,0)</f>
        <v>0</v>
      </c>
      <c r="Y439" s="0" t="n">
        <f aca="false">(M439*(1-X439)+N439*X439)*D439+M439*E439</f>
        <v>4518.82985076217</v>
      </c>
      <c r="Z439" s="0" t="n">
        <f aca="false">((1-X439)*O439+X439*P439)*D439+E439*O439</f>
        <v>202.7845757896</v>
      </c>
      <c r="AA439" s="0" t="n">
        <f aca="false">IF(D439*X439&gt;0,AA438,Q439)</f>
        <v>20</v>
      </c>
      <c r="AB439" s="0" t="n">
        <f aca="false">(X439*D439)</f>
        <v>0</v>
      </c>
      <c r="AC439" s="0" t="n">
        <f aca="false">SUM(AB$10:AB438)/K439</f>
        <v>0</v>
      </c>
      <c r="AD439" s="0" t="n">
        <f aca="false">R439*E439+D439*(X439*S439+(1-X439)*T439)</f>
        <v>-1.11906838870421</v>
      </c>
      <c r="AE439" s="0" t="n">
        <f aca="false">Z439</f>
        <v>202.7845757896</v>
      </c>
      <c r="AF439" s="0" t="n">
        <f aca="false">E439*O439</f>
        <v>0</v>
      </c>
      <c r="AG439" s="0" t="n">
        <f aca="false">((1-X439)*O439+X439*P439)*D439</f>
        <v>202.7845757896</v>
      </c>
      <c r="AH439" s="0" t="n">
        <f aca="false">D439*(LN(EXP(S439)+EXP(T439)))</f>
        <v>-1.11906837829872</v>
      </c>
      <c r="AJ439" s="0" t="n">
        <f aca="false">$J$5</f>
        <v>10</v>
      </c>
      <c r="AK439" s="4" t="n">
        <f aca="false">AJ439+MAX(K439,AK$10:AK438)</f>
        <v>4518.82985076217</v>
      </c>
      <c r="AL439" s="5" t="n">
        <f aca="false">AK439-K439</f>
        <v>202.7845757896</v>
      </c>
      <c r="AM439" s="0" t="n">
        <f aca="false">-G439*AL439/3600</f>
        <v>-0.785997113971372</v>
      </c>
      <c r="AN439" s="0" t="n">
        <f aca="false">-H439*AL439/3600</f>
        <v>-1.11906838870421</v>
      </c>
      <c r="AO439" s="0" t="n">
        <f aca="false">AM439*E439+AN439*D439</f>
        <v>-1.11906838870421</v>
      </c>
      <c r="AP439" s="0" t="n">
        <f aca="false">AL439*D439</f>
        <v>202.7845757896</v>
      </c>
      <c r="AR439" s="0" t="n">
        <f aca="false">AN439*D439</f>
        <v>-1.11906838870421</v>
      </c>
      <c r="AS439" s="0" t="n">
        <f aca="false">AH439-AR439</f>
        <v>1.0405496908561E-008</v>
      </c>
    </row>
    <row r="440" customFormat="false" ht="12" hidden="false" customHeight="false" outlineLevel="0" collapsed="false">
      <c r="A440" s="3" t="n">
        <f aca="false">A439+1</f>
        <v>431</v>
      </c>
      <c r="B440" s="3" t="n">
        <f aca="false">IF(A440&lt;$N$4/3,0.1,(IF(A440&gt;2*$N$4/3,0.05,0.12)))</f>
        <v>0.12</v>
      </c>
      <c r="C440" s="4" t="n">
        <f aca="true">RAND()</f>
        <v>0.486611213025822</v>
      </c>
      <c r="D440" s="0" t="n">
        <f aca="false">IF((C440&gt;$M$2),1,0)</f>
        <v>0</v>
      </c>
      <c r="E440" s="0" t="n">
        <f aca="false">1-D440</f>
        <v>1</v>
      </c>
      <c r="F440" s="0" t="n">
        <f aca="true">RAND()</f>
        <v>0.336501804037507</v>
      </c>
      <c r="G440" s="0" t="n">
        <f aca="false">7.75+F440*10</f>
        <v>11.1150180403751</v>
      </c>
      <c r="H440" s="0" t="n">
        <f aca="false">LOGINV(F440,2.64,1.139)</f>
        <v>8.66514442977772</v>
      </c>
      <c r="I440" s="0" t="n">
        <v>19.5</v>
      </c>
      <c r="J440" s="4" t="n">
        <f aca="true">-LN(RAND())/B440</f>
        <v>3.22316481603101</v>
      </c>
      <c r="K440" s="4" t="n">
        <f aca="false">K439+J440</f>
        <v>4319.2684397886</v>
      </c>
      <c r="L440" s="4" t="n">
        <f aca="false">(1/$J$4)*(1+AB439)</f>
        <v>10</v>
      </c>
      <c r="M440" s="4" t="n">
        <f aca="false">L440+MAX(K440,Y$10:Y439)</f>
        <v>4528.82985076217</v>
      </c>
      <c r="N440" s="4" t="n">
        <f aca="false">K440</f>
        <v>4319.2684397886</v>
      </c>
      <c r="O440" s="4" t="n">
        <f aca="false">M440-K440</f>
        <v>209.561410973569</v>
      </c>
      <c r="P440" s="4" t="n">
        <f aca="false">N440-K440</f>
        <v>0</v>
      </c>
      <c r="Q440" s="4" t="n">
        <f aca="false">A440-MATCH(K440,$M$9:M439,1)</f>
        <v>20</v>
      </c>
      <c r="R440" s="0" t="n">
        <f aca="false">-G440*(O440/3600)</f>
        <v>-0.647021906538243</v>
      </c>
      <c r="S440" s="0" t="n">
        <f aca="false">-1*I440-(H440*(P440/3600))</f>
        <v>-19.5</v>
      </c>
      <c r="T440" s="0" t="n">
        <f aca="false">-H440*(O440/3600)</f>
        <v>-0.504411081387216</v>
      </c>
      <c r="U440" s="0" t="n">
        <f aca="false">T440-S440</f>
        <v>18.9955889186128</v>
      </c>
      <c r="V440" s="0" t="n">
        <f aca="false">1/(1+EXP(U440))</f>
        <v>5.62756538578076E-009</v>
      </c>
      <c r="W440" s="0" t="n">
        <f aca="true">RAND()</f>
        <v>0.471725909224545</v>
      </c>
      <c r="X440" s="0" t="n">
        <f aca="false">IF(W440&lt;V440,1,0)</f>
        <v>0</v>
      </c>
      <c r="Y440" s="0" t="n">
        <f aca="false">(M440*(1-X440)+N440*X440)*D440+M440*E440</f>
        <v>4528.82985076217</v>
      </c>
      <c r="Z440" s="0" t="n">
        <f aca="false">((1-X440)*O440+X440*P440)*D440+E440*O440</f>
        <v>209.561410973569</v>
      </c>
      <c r="AA440" s="0" t="n">
        <f aca="false">IF(D440*X440&gt;0,AA439,Q440)</f>
        <v>20</v>
      </c>
      <c r="AB440" s="0" t="n">
        <f aca="false">(X440*D440)</f>
        <v>0</v>
      </c>
      <c r="AC440" s="0" t="n">
        <f aca="false">SUM(AB$10:AB439)/K440</f>
        <v>0</v>
      </c>
      <c r="AD440" s="0" t="n">
        <f aca="false">R440*E440+D440*(X440*S440+(1-X440)*T440)</f>
        <v>-0.647021906538243</v>
      </c>
      <c r="AE440" s="0" t="n">
        <f aca="false">Z440</f>
        <v>209.561410973569</v>
      </c>
      <c r="AF440" s="0" t="n">
        <f aca="false">E440*O440</f>
        <v>209.561410973569</v>
      </c>
      <c r="AG440" s="0" t="n">
        <f aca="false">((1-X440)*O440+X440*P440)*D440</f>
        <v>0</v>
      </c>
      <c r="AH440" s="0" t="n">
        <f aca="false">D440*(LN(EXP(S440)+EXP(T440)))</f>
        <v>-0</v>
      </c>
      <c r="AJ440" s="0" t="n">
        <f aca="false">$J$5</f>
        <v>10</v>
      </c>
      <c r="AK440" s="4" t="n">
        <f aca="false">AJ440+MAX(K440,AK$10:AK439)</f>
        <v>4528.82985076217</v>
      </c>
      <c r="AL440" s="5" t="n">
        <f aca="false">AK440-K440</f>
        <v>209.561410973569</v>
      </c>
      <c r="AM440" s="0" t="n">
        <f aca="false">-G440*AL440/3600</f>
        <v>-0.647021906538242</v>
      </c>
      <c r="AN440" s="0" t="n">
        <f aca="false">-H440*AL440/3600</f>
        <v>-0.504411081387216</v>
      </c>
      <c r="AO440" s="0" t="n">
        <f aca="false">AM440*E440+AN440*D440</f>
        <v>-0.647021906538242</v>
      </c>
      <c r="AP440" s="0" t="n">
        <f aca="false">AL440*D440</f>
        <v>0</v>
      </c>
      <c r="AR440" s="0" t="n">
        <f aca="false">AN440*D440</f>
        <v>-0</v>
      </c>
      <c r="AS440" s="0" t="n">
        <f aca="false">AH440-AR440</f>
        <v>0</v>
      </c>
    </row>
    <row r="441" customFormat="false" ht="12" hidden="false" customHeight="false" outlineLevel="0" collapsed="false">
      <c r="A441" s="3" t="n">
        <f aca="false">A440+1</f>
        <v>432</v>
      </c>
      <c r="B441" s="3" t="n">
        <f aca="false">IF(A441&lt;$N$4/3,0.1,(IF(A441&gt;2*$N$4/3,0.05,0.12)))</f>
        <v>0.12</v>
      </c>
      <c r="C441" s="4" t="n">
        <f aca="true">RAND()</f>
        <v>0.239648488551014</v>
      </c>
      <c r="D441" s="0" t="n">
        <f aca="false">IF((C441&gt;$M$2),1,0)</f>
        <v>0</v>
      </c>
      <c r="E441" s="0" t="n">
        <f aca="false">1-D441</f>
        <v>1</v>
      </c>
      <c r="F441" s="0" t="n">
        <f aca="true">RAND()</f>
        <v>0.25823410479434</v>
      </c>
      <c r="G441" s="0" t="n">
        <f aca="false">7.75+F441*10</f>
        <v>10.3323410479434</v>
      </c>
      <c r="H441" s="0" t="n">
        <f aca="false">LOGINV(F441,2.64,1.139)</f>
        <v>6.69270262777752</v>
      </c>
      <c r="I441" s="0" t="n">
        <v>19.5</v>
      </c>
      <c r="J441" s="4" t="n">
        <f aca="true">-LN(RAND())/B441</f>
        <v>16.1338156187342</v>
      </c>
      <c r="K441" s="4" t="n">
        <f aca="false">K440+J441</f>
        <v>4335.40225540734</v>
      </c>
      <c r="L441" s="4" t="n">
        <f aca="false">(1/$J$4)*(1+AB440)</f>
        <v>10</v>
      </c>
      <c r="M441" s="4" t="n">
        <f aca="false">L441+MAX(K441,Y$10:Y440)</f>
        <v>4538.82985076217</v>
      </c>
      <c r="N441" s="4" t="n">
        <f aca="false">K441</f>
        <v>4335.40225540734</v>
      </c>
      <c r="O441" s="4" t="n">
        <f aca="false">M441-K441</f>
        <v>203.427595354835</v>
      </c>
      <c r="P441" s="4" t="n">
        <f aca="false">N441-K441</f>
        <v>0</v>
      </c>
      <c r="Q441" s="4" t="n">
        <f aca="false">A441-MATCH(K441,$M$9:M440,1)</f>
        <v>20</v>
      </c>
      <c r="R441" s="0" t="n">
        <f aca="false">-G441*(O441/3600)</f>
        <v>-0.583856470491439</v>
      </c>
      <c r="S441" s="0" t="n">
        <f aca="false">-1*I441-(H441*(P441/3600))</f>
        <v>-19.5</v>
      </c>
      <c r="T441" s="0" t="n">
        <f aca="false">-H441*(O441/3600)</f>
        <v>-0.378189000553824</v>
      </c>
      <c r="U441" s="0" t="n">
        <f aca="false">T441-S441</f>
        <v>19.1218109994462</v>
      </c>
      <c r="V441" s="0" t="n">
        <f aca="false">1/(1+EXP(U441))</f>
        <v>4.96024350132056E-009</v>
      </c>
      <c r="W441" s="0" t="n">
        <f aca="true">RAND()</f>
        <v>0.834423314885809</v>
      </c>
      <c r="X441" s="0" t="n">
        <f aca="false">IF(W441&lt;V441,1,0)</f>
        <v>0</v>
      </c>
      <c r="Y441" s="0" t="n">
        <f aca="false">(M441*(1-X441)+N441*X441)*D441+M441*E441</f>
        <v>4538.82985076217</v>
      </c>
      <c r="Z441" s="0" t="n">
        <f aca="false">((1-X441)*O441+X441*P441)*D441+E441*O441</f>
        <v>203.427595354835</v>
      </c>
      <c r="AA441" s="0" t="n">
        <f aca="false">IF(D441*X441&gt;0,AA440,Q441)</f>
        <v>20</v>
      </c>
      <c r="AB441" s="0" t="n">
        <f aca="false">(X441*D441)</f>
        <v>0</v>
      </c>
      <c r="AC441" s="0" t="n">
        <f aca="false">SUM(AB$10:AB440)/K441</f>
        <v>0</v>
      </c>
      <c r="AD441" s="0" t="n">
        <f aca="false">R441*E441+D441*(X441*S441+(1-X441)*T441)</f>
        <v>-0.583856470491439</v>
      </c>
      <c r="AE441" s="0" t="n">
        <f aca="false">Z441</f>
        <v>203.427595354835</v>
      </c>
      <c r="AF441" s="0" t="n">
        <f aca="false">E441*O441</f>
        <v>203.427595354835</v>
      </c>
      <c r="AG441" s="0" t="n">
        <f aca="false">((1-X441)*O441+X441*P441)*D441</f>
        <v>0</v>
      </c>
      <c r="AH441" s="0" t="n">
        <f aca="false">D441*(LN(EXP(S441)+EXP(T441)))</f>
        <v>-0</v>
      </c>
      <c r="AJ441" s="0" t="n">
        <f aca="false">$J$5</f>
        <v>10</v>
      </c>
      <c r="AK441" s="4" t="n">
        <f aca="false">AJ441+MAX(K441,AK$10:AK440)</f>
        <v>4538.82985076217</v>
      </c>
      <c r="AL441" s="5" t="n">
        <f aca="false">AK441-K441</f>
        <v>203.427595354835</v>
      </c>
      <c r="AM441" s="0" t="n">
        <f aca="false">-G441*AL441/3600</f>
        <v>-0.583856470491439</v>
      </c>
      <c r="AN441" s="0" t="n">
        <f aca="false">-H441*AL441/3600</f>
        <v>-0.378189000553824</v>
      </c>
      <c r="AO441" s="0" t="n">
        <f aca="false">AM441*E441+AN441*D441</f>
        <v>-0.583856470491439</v>
      </c>
      <c r="AP441" s="0" t="n">
        <f aca="false">AL441*D441</f>
        <v>0</v>
      </c>
      <c r="AR441" s="0" t="n">
        <f aca="false">AN441*D441</f>
        <v>-0</v>
      </c>
      <c r="AS441" s="0" t="n">
        <f aca="false">AH441-AR441</f>
        <v>0</v>
      </c>
    </row>
    <row r="442" customFormat="false" ht="12" hidden="false" customHeight="false" outlineLevel="0" collapsed="false">
      <c r="A442" s="3" t="n">
        <f aca="false">A441+1</f>
        <v>433</v>
      </c>
      <c r="B442" s="3" t="n">
        <f aca="false">IF(A442&lt;$N$4/3,0.1,(IF(A442&gt;2*$N$4/3,0.05,0.12)))</f>
        <v>0.12</v>
      </c>
      <c r="C442" s="4" t="n">
        <f aca="true">RAND()</f>
        <v>0.910904280067459</v>
      </c>
      <c r="D442" s="0" t="n">
        <f aca="false">IF((C442&gt;$M$2),1,0)</f>
        <v>1</v>
      </c>
      <c r="E442" s="0" t="n">
        <f aca="false">1-D442</f>
        <v>0</v>
      </c>
      <c r="F442" s="0" t="n">
        <f aca="true">RAND()</f>
        <v>0.203147254380217</v>
      </c>
      <c r="G442" s="0" t="n">
        <f aca="false">7.75+F442*10</f>
        <v>9.78147254380217</v>
      </c>
      <c r="H442" s="0" t="n">
        <f aca="false">LOGINV(F442,2.64,1.139)</f>
        <v>5.44195194327987</v>
      </c>
      <c r="I442" s="0" t="n">
        <v>19.5</v>
      </c>
      <c r="J442" s="4" t="n">
        <f aca="true">-LN(RAND())/B442</f>
        <v>0.718552678742074</v>
      </c>
      <c r="K442" s="4" t="n">
        <f aca="false">K441+J442</f>
        <v>4336.12080808608</v>
      </c>
      <c r="L442" s="4" t="n">
        <f aca="false">(1/$J$4)*(1+AB441)</f>
        <v>10</v>
      </c>
      <c r="M442" s="4" t="n">
        <f aca="false">L442+MAX(K442,Y$10:Y441)</f>
        <v>4548.82985076217</v>
      </c>
      <c r="N442" s="4" t="n">
        <f aca="false">K442</f>
        <v>4336.12080808608</v>
      </c>
      <c r="O442" s="4" t="n">
        <f aca="false">M442-K442</f>
        <v>212.709042676092</v>
      </c>
      <c r="P442" s="4" t="n">
        <f aca="false">N442-K442</f>
        <v>0</v>
      </c>
      <c r="Q442" s="4" t="n">
        <f aca="false">A442-MATCH(K442,$M$9:M441,1)</f>
        <v>21</v>
      </c>
      <c r="R442" s="0" t="n">
        <f aca="false">-G442*(O442/3600)</f>
        <v>-0.577946572431845</v>
      </c>
      <c r="S442" s="0" t="n">
        <f aca="false">-1*I442-(H442*(P442/3600))</f>
        <v>-19.5</v>
      </c>
      <c r="T442" s="0" t="n">
        <f aca="false">-H442*(O442/3600)</f>
        <v>-0.321542330040101</v>
      </c>
      <c r="U442" s="0" t="n">
        <f aca="false">T442-S442</f>
        <v>19.1784576699599</v>
      </c>
      <c r="V442" s="0" t="n">
        <f aca="false">1/(1+EXP(U442))</f>
        <v>4.68707238358194E-009</v>
      </c>
      <c r="W442" s="0" t="n">
        <f aca="true">RAND()</f>
        <v>0.33002077221007</v>
      </c>
      <c r="X442" s="0" t="n">
        <f aca="false">IF(W442&lt;V442,1,0)</f>
        <v>0</v>
      </c>
      <c r="Y442" s="0" t="n">
        <f aca="false">(M442*(1-X442)+N442*X442)*D442+M442*E442</f>
        <v>4548.82985076217</v>
      </c>
      <c r="Z442" s="0" t="n">
        <f aca="false">((1-X442)*O442+X442*P442)*D442+E442*O442</f>
        <v>212.709042676092</v>
      </c>
      <c r="AA442" s="0" t="n">
        <f aca="false">IF(D442*X442&gt;0,AA441,Q442)</f>
        <v>21</v>
      </c>
      <c r="AB442" s="0" t="n">
        <f aca="false">(X442*D442)</f>
        <v>0</v>
      </c>
      <c r="AC442" s="0" t="n">
        <f aca="false">SUM(AB$10:AB441)/K442</f>
        <v>0</v>
      </c>
      <c r="AD442" s="0" t="n">
        <f aca="false">R442*E442+D442*(X442*S442+(1-X442)*T442)</f>
        <v>-0.321542330040101</v>
      </c>
      <c r="AE442" s="0" t="n">
        <f aca="false">Z442</f>
        <v>212.709042676092</v>
      </c>
      <c r="AF442" s="0" t="n">
        <f aca="false">E442*O442</f>
        <v>0</v>
      </c>
      <c r="AG442" s="0" t="n">
        <f aca="false">((1-X442)*O442+X442*P442)*D442</f>
        <v>212.709042676092</v>
      </c>
      <c r="AH442" s="0" t="n">
        <f aca="false">D442*(LN(EXP(S442)+EXP(T442)))</f>
        <v>-0.321542325353028</v>
      </c>
      <c r="AJ442" s="0" t="n">
        <f aca="false">$J$5</f>
        <v>10</v>
      </c>
      <c r="AK442" s="4" t="n">
        <f aca="false">AJ442+MAX(K442,AK$10:AK441)</f>
        <v>4548.82985076217</v>
      </c>
      <c r="AL442" s="5" t="n">
        <f aca="false">AK442-K442</f>
        <v>212.709042676092</v>
      </c>
      <c r="AM442" s="0" t="n">
        <f aca="false">-G442*AL442/3600</f>
        <v>-0.577946572431845</v>
      </c>
      <c r="AN442" s="0" t="n">
        <f aca="false">-H442*AL442/3600</f>
        <v>-0.321542330040101</v>
      </c>
      <c r="AO442" s="0" t="n">
        <f aca="false">AM442*E442+AN442*D442</f>
        <v>-0.321542330040101</v>
      </c>
      <c r="AP442" s="0" t="n">
        <f aca="false">AL442*D442</f>
        <v>212.709042676092</v>
      </c>
      <c r="AR442" s="0" t="n">
        <f aca="false">AN442*D442</f>
        <v>-0.321542330040101</v>
      </c>
      <c r="AS442" s="0" t="n">
        <f aca="false">AH442-AR442</f>
        <v>4.68707234135835E-009</v>
      </c>
    </row>
    <row r="443" customFormat="false" ht="12" hidden="false" customHeight="false" outlineLevel="0" collapsed="false">
      <c r="A443" s="3" t="n">
        <f aca="false">A442+1</f>
        <v>434</v>
      </c>
      <c r="B443" s="3" t="n">
        <f aca="false">IF(A443&lt;$N$4/3,0.1,(IF(A443&gt;2*$N$4/3,0.05,0.12)))</f>
        <v>0.12</v>
      </c>
      <c r="C443" s="4" t="n">
        <f aca="true">RAND()</f>
        <v>0.643563737881508</v>
      </c>
      <c r="D443" s="0" t="n">
        <f aca="false">IF((C443&gt;$M$2),1,0)</f>
        <v>0</v>
      </c>
      <c r="E443" s="0" t="n">
        <f aca="false">1-D443</f>
        <v>1</v>
      </c>
      <c r="F443" s="0" t="n">
        <f aca="true">RAND()</f>
        <v>0.495085489709157</v>
      </c>
      <c r="G443" s="0" t="n">
        <f aca="false">7.75+F443*10</f>
        <v>12.7008548970916</v>
      </c>
      <c r="H443" s="0" t="n">
        <f aca="false">LOGINV(F443,2.64,1.139)</f>
        <v>13.81795003931</v>
      </c>
      <c r="I443" s="0" t="n">
        <v>19.5</v>
      </c>
      <c r="J443" s="4" t="n">
        <f aca="true">-LN(RAND())/B443</f>
        <v>9.3429033819659</v>
      </c>
      <c r="K443" s="4" t="n">
        <f aca="false">K442+J443</f>
        <v>4345.46371146804</v>
      </c>
      <c r="L443" s="4" t="n">
        <f aca="false">(1/$J$4)*(1+AB442)</f>
        <v>10</v>
      </c>
      <c r="M443" s="4" t="n">
        <f aca="false">L443+MAX(K443,Y$10:Y442)</f>
        <v>4558.82985076217</v>
      </c>
      <c r="N443" s="4" t="n">
        <f aca="false">K443</f>
        <v>4345.46371146804</v>
      </c>
      <c r="O443" s="4" t="n">
        <f aca="false">M443-K443</f>
        <v>213.366139294127</v>
      </c>
      <c r="P443" s="4" t="n">
        <f aca="false">N443-K443</f>
        <v>0</v>
      </c>
      <c r="Q443" s="4" t="n">
        <f aca="false">A443-MATCH(K443,$M$9:M442,1)</f>
        <v>21</v>
      </c>
      <c r="R443" s="0" t="n">
        <f aca="false">-G443*(O443/3600)</f>
        <v>-0.752758993090925</v>
      </c>
      <c r="S443" s="0" t="n">
        <f aca="false">-1*I443-(H443*(P443/3600))</f>
        <v>-19.5</v>
      </c>
      <c r="T443" s="0" t="n">
        <f aca="false">-H443*(O443/3600)</f>
        <v>-0.81896740356853</v>
      </c>
      <c r="U443" s="0" t="n">
        <f aca="false">T443-S443</f>
        <v>18.6810325964315</v>
      </c>
      <c r="V443" s="0" t="n">
        <f aca="false">1/(1+EXP(U443))</f>
        <v>7.7078033117312E-009</v>
      </c>
      <c r="W443" s="0" t="n">
        <f aca="true">RAND()</f>
        <v>0.422661498683716</v>
      </c>
      <c r="X443" s="0" t="n">
        <f aca="false">IF(W443&lt;V443,1,0)</f>
        <v>0</v>
      </c>
      <c r="Y443" s="0" t="n">
        <f aca="false">(M443*(1-X443)+N443*X443)*D443+M443*E443</f>
        <v>4558.82985076217</v>
      </c>
      <c r="Z443" s="0" t="n">
        <f aca="false">((1-X443)*O443+X443*P443)*D443+E443*O443</f>
        <v>213.366139294127</v>
      </c>
      <c r="AA443" s="0" t="n">
        <f aca="false">IF(D443*X443&gt;0,AA442,Q443)</f>
        <v>21</v>
      </c>
      <c r="AB443" s="0" t="n">
        <f aca="false">(X443*D443)</f>
        <v>0</v>
      </c>
      <c r="AC443" s="0" t="n">
        <f aca="false">SUM(AB$10:AB442)/K443</f>
        <v>0</v>
      </c>
      <c r="AD443" s="0" t="n">
        <f aca="false">R443*E443+D443*(X443*S443+(1-X443)*T443)</f>
        <v>-0.752758993090925</v>
      </c>
      <c r="AE443" s="0" t="n">
        <f aca="false">Z443</f>
        <v>213.366139294127</v>
      </c>
      <c r="AF443" s="0" t="n">
        <f aca="false">E443*O443</f>
        <v>213.366139294127</v>
      </c>
      <c r="AG443" s="0" t="n">
        <f aca="false">((1-X443)*O443+X443*P443)*D443</f>
        <v>0</v>
      </c>
      <c r="AH443" s="0" t="n">
        <f aca="false">D443*(LN(EXP(S443)+EXP(T443)))</f>
        <v>-0</v>
      </c>
      <c r="AJ443" s="0" t="n">
        <f aca="false">$J$5</f>
        <v>10</v>
      </c>
      <c r="AK443" s="4" t="n">
        <f aca="false">AJ443+MAX(K443,AK$10:AK442)</f>
        <v>4558.82985076217</v>
      </c>
      <c r="AL443" s="5" t="n">
        <f aca="false">AK443-K443</f>
        <v>213.366139294127</v>
      </c>
      <c r="AM443" s="0" t="n">
        <f aca="false">-G443*AL443/3600</f>
        <v>-0.752758993090925</v>
      </c>
      <c r="AN443" s="0" t="n">
        <f aca="false">-H443*AL443/3600</f>
        <v>-0.81896740356853</v>
      </c>
      <c r="AO443" s="0" t="n">
        <f aca="false">AM443*E443+AN443*D443</f>
        <v>-0.752758993090925</v>
      </c>
      <c r="AP443" s="0" t="n">
        <f aca="false">AL443*D443</f>
        <v>0</v>
      </c>
      <c r="AR443" s="0" t="n">
        <f aca="false">AN443*D443</f>
        <v>-0</v>
      </c>
      <c r="AS443" s="0" t="n">
        <f aca="false">AH443-AR443</f>
        <v>0</v>
      </c>
    </row>
    <row r="444" customFormat="false" ht="12" hidden="false" customHeight="false" outlineLevel="0" collapsed="false">
      <c r="A444" s="3" t="n">
        <f aca="false">A443+1</f>
        <v>435</v>
      </c>
      <c r="B444" s="3" t="n">
        <f aca="false">IF(A444&lt;$N$4/3,0.1,(IF(A444&gt;2*$N$4/3,0.05,0.12)))</f>
        <v>0.12</v>
      </c>
      <c r="C444" s="4" t="n">
        <f aca="true">RAND()</f>
        <v>0.204671841918748</v>
      </c>
      <c r="D444" s="0" t="n">
        <f aca="false">IF((C444&gt;$M$2),1,0)</f>
        <v>0</v>
      </c>
      <c r="E444" s="0" t="n">
        <f aca="false">1-D444</f>
        <v>1</v>
      </c>
      <c r="F444" s="0" t="n">
        <f aca="true">RAND()</f>
        <v>0.323554027886444</v>
      </c>
      <c r="G444" s="0" t="n">
        <f aca="false">7.75+F444*10</f>
        <v>10.9855402788644</v>
      </c>
      <c r="H444" s="0" t="n">
        <f aca="false">LOGINV(F444,2.64,1.139)</f>
        <v>8.31935473443106</v>
      </c>
      <c r="I444" s="0" t="n">
        <v>19.5</v>
      </c>
      <c r="J444" s="4" t="n">
        <f aca="true">-LN(RAND())/B444</f>
        <v>2.68811331099024</v>
      </c>
      <c r="K444" s="4" t="n">
        <f aca="false">K443+J444</f>
        <v>4348.15182477903</v>
      </c>
      <c r="L444" s="4" t="n">
        <f aca="false">(1/$J$4)*(1+AB443)</f>
        <v>10</v>
      </c>
      <c r="M444" s="4" t="n">
        <f aca="false">L444+MAX(K444,Y$10:Y443)</f>
        <v>4568.82985076217</v>
      </c>
      <c r="N444" s="4" t="n">
        <f aca="false">K444</f>
        <v>4348.15182477903</v>
      </c>
      <c r="O444" s="4" t="n">
        <f aca="false">M444-K444</f>
        <v>220.678025983137</v>
      </c>
      <c r="P444" s="4" t="n">
        <f aca="false">N444-K444</f>
        <v>0</v>
      </c>
      <c r="Q444" s="4" t="n">
        <f aca="false">A444-MATCH(K444,$M$9:M443,1)</f>
        <v>22</v>
      </c>
      <c r="R444" s="0" t="n">
        <f aca="false">-G444*(O444/3600)</f>
        <v>-0.673407595305012</v>
      </c>
      <c r="S444" s="0" t="n">
        <f aca="false">-1*I444-(H444*(P444/3600))</f>
        <v>-19.5</v>
      </c>
      <c r="T444" s="0" t="n">
        <f aca="false">-H444*(O444/3600)</f>
        <v>-0.509971883402141</v>
      </c>
      <c r="U444" s="0" t="n">
        <f aca="false">T444-S444</f>
        <v>18.9900281165979</v>
      </c>
      <c r="V444" s="0" t="n">
        <f aca="false">1/(1+EXP(U444))</f>
        <v>5.65894633329332E-009</v>
      </c>
      <c r="W444" s="0" t="n">
        <f aca="true">RAND()</f>
        <v>0.885746209997744</v>
      </c>
      <c r="X444" s="0" t="n">
        <f aca="false">IF(W444&lt;V444,1,0)</f>
        <v>0</v>
      </c>
      <c r="Y444" s="0" t="n">
        <f aca="false">(M444*(1-X444)+N444*X444)*D444+M444*E444</f>
        <v>4568.82985076217</v>
      </c>
      <c r="Z444" s="0" t="n">
        <f aca="false">((1-X444)*O444+X444*P444)*D444+E444*O444</f>
        <v>220.678025983137</v>
      </c>
      <c r="AA444" s="0" t="n">
        <f aca="false">IF(D444*X444&gt;0,AA443,Q444)</f>
        <v>22</v>
      </c>
      <c r="AB444" s="0" t="n">
        <f aca="false">(X444*D444)</f>
        <v>0</v>
      </c>
      <c r="AC444" s="0" t="n">
        <f aca="false">SUM(AB$10:AB443)/K444</f>
        <v>0</v>
      </c>
      <c r="AD444" s="0" t="n">
        <f aca="false">R444*E444+D444*(X444*S444+(1-X444)*T444)</f>
        <v>-0.673407595305012</v>
      </c>
      <c r="AE444" s="0" t="n">
        <f aca="false">Z444</f>
        <v>220.678025983137</v>
      </c>
      <c r="AF444" s="0" t="n">
        <f aca="false">E444*O444</f>
        <v>220.678025983137</v>
      </c>
      <c r="AG444" s="0" t="n">
        <f aca="false">((1-X444)*O444+X444*P444)*D444</f>
        <v>0</v>
      </c>
      <c r="AH444" s="0" t="n">
        <f aca="false">D444*(LN(EXP(S444)+EXP(T444)))</f>
        <v>-0</v>
      </c>
      <c r="AJ444" s="0" t="n">
        <f aca="false">$J$5</f>
        <v>10</v>
      </c>
      <c r="AK444" s="4" t="n">
        <f aca="false">AJ444+MAX(K444,AK$10:AK443)</f>
        <v>4568.82985076217</v>
      </c>
      <c r="AL444" s="5" t="n">
        <f aca="false">AK444-K444</f>
        <v>220.678025983137</v>
      </c>
      <c r="AM444" s="0" t="n">
        <f aca="false">-G444*AL444/3600</f>
        <v>-0.673407595305012</v>
      </c>
      <c r="AN444" s="0" t="n">
        <f aca="false">-H444*AL444/3600</f>
        <v>-0.509971883402141</v>
      </c>
      <c r="AO444" s="0" t="n">
        <f aca="false">AM444*E444+AN444*D444</f>
        <v>-0.673407595305012</v>
      </c>
      <c r="AP444" s="0" t="n">
        <f aca="false">AL444*D444</f>
        <v>0</v>
      </c>
      <c r="AR444" s="0" t="n">
        <f aca="false">AN444*D444</f>
        <v>-0</v>
      </c>
      <c r="AS444" s="0" t="n">
        <f aca="false">AH444-AR444</f>
        <v>0</v>
      </c>
    </row>
    <row r="445" customFormat="false" ht="12" hidden="false" customHeight="false" outlineLevel="0" collapsed="false">
      <c r="A445" s="3" t="n">
        <f aca="false">A444+1</f>
        <v>436</v>
      </c>
      <c r="B445" s="3" t="n">
        <f aca="false">IF(A445&lt;$N$4/3,0.1,(IF(A445&gt;2*$N$4/3,0.05,0.12)))</f>
        <v>0.12</v>
      </c>
      <c r="C445" s="4" t="n">
        <f aca="true">RAND()</f>
        <v>0.854806870813998</v>
      </c>
      <c r="D445" s="0" t="n">
        <f aca="false">IF((C445&gt;$M$2),1,0)</f>
        <v>0</v>
      </c>
      <c r="E445" s="0" t="n">
        <f aca="false">1-D445</f>
        <v>1</v>
      </c>
      <c r="F445" s="0" t="n">
        <f aca="true">RAND()</f>
        <v>0.489052623634765</v>
      </c>
      <c r="G445" s="0" t="n">
        <f aca="false">7.75+F445*10</f>
        <v>12.6405262363477</v>
      </c>
      <c r="H445" s="0" t="n">
        <f aca="false">LOGINV(F445,2.64,1.139)</f>
        <v>13.5819373480558</v>
      </c>
      <c r="I445" s="0" t="n">
        <v>19.5</v>
      </c>
      <c r="J445" s="4" t="n">
        <f aca="true">-LN(RAND())/B445</f>
        <v>7.81473522203344</v>
      </c>
      <c r="K445" s="4" t="n">
        <f aca="false">K444+J445</f>
        <v>4355.96656000107</v>
      </c>
      <c r="L445" s="4" t="n">
        <f aca="false">(1/$J$4)*(1+AB444)</f>
        <v>10</v>
      </c>
      <c r="M445" s="4" t="n">
        <f aca="false">L445+MAX(K445,Y$10:Y444)</f>
        <v>4578.82985076217</v>
      </c>
      <c r="N445" s="4" t="n">
        <f aca="false">K445</f>
        <v>4355.96656000107</v>
      </c>
      <c r="O445" s="4" t="n">
        <f aca="false">M445-K445</f>
        <v>222.863290761104</v>
      </c>
      <c r="P445" s="4" t="n">
        <f aca="false">N445-K445</f>
        <v>0</v>
      </c>
      <c r="Q445" s="4" t="n">
        <f aca="false">A445-MATCH(K445,$M$9:M444,1)</f>
        <v>22</v>
      </c>
      <c r="R445" s="0" t="n">
        <f aca="false">-G445*(O445/3600)</f>
        <v>-0.782530353884585</v>
      </c>
      <c r="S445" s="0" t="n">
        <f aca="false">-1*I445-(H445*(P445/3600))</f>
        <v>-19.5</v>
      </c>
      <c r="T445" s="0" t="n">
        <f aca="false">-H445*(O445/3600)</f>
        <v>-0.840809792305239</v>
      </c>
      <c r="U445" s="0" t="n">
        <f aca="false">T445-S445</f>
        <v>18.6591902076948</v>
      </c>
      <c r="V445" s="0" t="n">
        <f aca="false">1/(1+EXP(U445))</f>
        <v>7.87801226467631E-009</v>
      </c>
      <c r="W445" s="0" t="n">
        <f aca="true">RAND()</f>
        <v>0.185582883236698</v>
      </c>
      <c r="X445" s="0" t="n">
        <f aca="false">IF(W445&lt;V445,1,0)</f>
        <v>0</v>
      </c>
      <c r="Y445" s="0" t="n">
        <f aca="false">(M445*(1-X445)+N445*X445)*D445+M445*E445</f>
        <v>4578.82985076217</v>
      </c>
      <c r="Z445" s="0" t="n">
        <f aca="false">((1-X445)*O445+X445*P445)*D445+E445*O445</f>
        <v>222.863290761104</v>
      </c>
      <c r="AA445" s="0" t="n">
        <f aca="false">IF(D445*X445&gt;0,AA444,Q445)</f>
        <v>22</v>
      </c>
      <c r="AB445" s="0" t="n">
        <f aca="false">(X445*D445)</f>
        <v>0</v>
      </c>
      <c r="AC445" s="0" t="n">
        <f aca="false">SUM(AB$10:AB444)/K445</f>
        <v>0</v>
      </c>
      <c r="AD445" s="0" t="n">
        <f aca="false">R445*E445+D445*(X445*S445+(1-X445)*T445)</f>
        <v>-0.782530353884585</v>
      </c>
      <c r="AE445" s="0" t="n">
        <f aca="false">Z445</f>
        <v>222.863290761104</v>
      </c>
      <c r="AF445" s="0" t="n">
        <f aca="false">E445*O445</f>
        <v>222.863290761104</v>
      </c>
      <c r="AG445" s="0" t="n">
        <f aca="false">((1-X445)*O445+X445*P445)*D445</f>
        <v>0</v>
      </c>
      <c r="AH445" s="0" t="n">
        <f aca="false">D445*(LN(EXP(S445)+EXP(T445)))</f>
        <v>-0</v>
      </c>
      <c r="AJ445" s="0" t="n">
        <f aca="false">$J$5</f>
        <v>10</v>
      </c>
      <c r="AK445" s="4" t="n">
        <f aca="false">AJ445+MAX(K445,AK$10:AK444)</f>
        <v>4578.82985076217</v>
      </c>
      <c r="AL445" s="5" t="n">
        <f aca="false">AK445-K445</f>
        <v>222.863290761104</v>
      </c>
      <c r="AM445" s="0" t="n">
        <f aca="false">-G445*AL445/3600</f>
        <v>-0.782530353884585</v>
      </c>
      <c r="AN445" s="0" t="n">
        <f aca="false">-H445*AL445/3600</f>
        <v>-0.840809792305239</v>
      </c>
      <c r="AO445" s="0" t="n">
        <f aca="false">AM445*E445+AN445*D445</f>
        <v>-0.782530353884585</v>
      </c>
      <c r="AP445" s="0" t="n">
        <f aca="false">AL445*D445</f>
        <v>0</v>
      </c>
      <c r="AR445" s="0" t="n">
        <f aca="false">AN445*D445</f>
        <v>-0</v>
      </c>
      <c r="AS445" s="0" t="n">
        <f aca="false">AH445-AR445</f>
        <v>0</v>
      </c>
    </row>
    <row r="446" customFormat="false" ht="12" hidden="false" customHeight="false" outlineLevel="0" collapsed="false">
      <c r="A446" s="3" t="n">
        <f aca="false">A445+1</f>
        <v>437</v>
      </c>
      <c r="B446" s="3" t="n">
        <f aca="false">IF(A446&lt;$N$4/3,0.1,(IF(A446&gt;2*$N$4/3,0.05,0.12)))</f>
        <v>0.12</v>
      </c>
      <c r="C446" s="4" t="n">
        <f aca="true">RAND()</f>
        <v>0.474874457338772</v>
      </c>
      <c r="D446" s="0" t="n">
        <f aca="false">IF((C446&gt;$M$2),1,0)</f>
        <v>0</v>
      </c>
      <c r="E446" s="0" t="n">
        <f aca="false">1-D446</f>
        <v>1</v>
      </c>
      <c r="F446" s="0" t="n">
        <f aca="true">RAND()</f>
        <v>0.802403747000605</v>
      </c>
      <c r="G446" s="0" t="n">
        <f aca="false">7.75+F446*10</f>
        <v>15.774037470006</v>
      </c>
      <c r="H446" s="0" t="n">
        <f aca="false">LOGINV(F446,2.64,1.139)</f>
        <v>36.9077531352748</v>
      </c>
      <c r="I446" s="0" t="n">
        <v>19.5</v>
      </c>
      <c r="J446" s="4" t="n">
        <f aca="true">-LN(RAND())/B446</f>
        <v>19.8597544517145</v>
      </c>
      <c r="K446" s="4" t="n">
        <f aca="false">K445+J446</f>
        <v>4375.82631445278</v>
      </c>
      <c r="L446" s="4" t="n">
        <f aca="false">(1/$J$4)*(1+AB445)</f>
        <v>10</v>
      </c>
      <c r="M446" s="4" t="n">
        <f aca="false">L446+MAX(K446,Y$10:Y445)</f>
        <v>4588.82985076217</v>
      </c>
      <c r="N446" s="4" t="n">
        <f aca="false">K446</f>
        <v>4375.82631445278</v>
      </c>
      <c r="O446" s="4" t="n">
        <f aca="false">M446-K446</f>
        <v>213.003536309389</v>
      </c>
      <c r="P446" s="4" t="n">
        <f aca="false">N446-K446</f>
        <v>0</v>
      </c>
      <c r="Q446" s="4" t="n">
        <f aca="false">A446-MATCH(K446,$M$9:M445,1)</f>
        <v>21</v>
      </c>
      <c r="R446" s="0" t="n">
        <f aca="false">-G446*(O446/3600)</f>
        <v>-0.933312711941139</v>
      </c>
      <c r="S446" s="0" t="n">
        <f aca="false">-1*I446-(H446*(P446/3600))</f>
        <v>-19.5</v>
      </c>
      <c r="T446" s="0" t="n">
        <f aca="false">-H446*(O446/3600)</f>
        <v>-2.18374498195763</v>
      </c>
      <c r="U446" s="0" t="n">
        <f aca="false">T446-S446</f>
        <v>17.3162550180424</v>
      </c>
      <c r="V446" s="0" t="n">
        <f aca="false">1/(1+EXP(U446))</f>
        <v>3.01749101313055E-008</v>
      </c>
      <c r="W446" s="0" t="n">
        <f aca="true">RAND()</f>
        <v>0.172993095496041</v>
      </c>
      <c r="X446" s="0" t="n">
        <f aca="false">IF(W446&lt;V446,1,0)</f>
        <v>0</v>
      </c>
      <c r="Y446" s="0" t="n">
        <f aca="false">(M446*(1-X446)+N446*X446)*D446+M446*E446</f>
        <v>4588.82985076217</v>
      </c>
      <c r="Z446" s="0" t="n">
        <f aca="false">((1-X446)*O446+X446*P446)*D446+E446*O446</f>
        <v>213.003536309389</v>
      </c>
      <c r="AA446" s="0" t="n">
        <f aca="false">IF(D446*X446&gt;0,AA445,Q446)</f>
        <v>21</v>
      </c>
      <c r="AB446" s="0" t="n">
        <f aca="false">(X446*D446)</f>
        <v>0</v>
      </c>
      <c r="AC446" s="0" t="n">
        <f aca="false">SUM(AB$10:AB445)/K446</f>
        <v>0</v>
      </c>
      <c r="AD446" s="0" t="n">
        <f aca="false">R446*E446+D446*(X446*S446+(1-X446)*T446)</f>
        <v>-0.933312711941139</v>
      </c>
      <c r="AE446" s="0" t="n">
        <f aca="false">Z446</f>
        <v>213.003536309389</v>
      </c>
      <c r="AF446" s="0" t="n">
        <f aca="false">E446*O446</f>
        <v>213.003536309389</v>
      </c>
      <c r="AG446" s="0" t="n">
        <f aca="false">((1-X446)*O446+X446*P446)*D446</f>
        <v>0</v>
      </c>
      <c r="AH446" s="0" t="n">
        <f aca="false">D446*(LN(EXP(S446)+EXP(T446)))</f>
        <v>-0</v>
      </c>
      <c r="AJ446" s="0" t="n">
        <f aca="false">$J$5</f>
        <v>10</v>
      </c>
      <c r="AK446" s="4" t="n">
        <f aca="false">AJ446+MAX(K446,AK$10:AK445)</f>
        <v>4588.82985076217</v>
      </c>
      <c r="AL446" s="5" t="n">
        <f aca="false">AK446-K446</f>
        <v>213.003536309389</v>
      </c>
      <c r="AM446" s="0" t="n">
        <f aca="false">-G446*AL446/3600</f>
        <v>-0.933312711941139</v>
      </c>
      <c r="AN446" s="0" t="n">
        <f aca="false">-H446*AL446/3600</f>
        <v>-2.18374498195763</v>
      </c>
      <c r="AO446" s="0" t="n">
        <f aca="false">AM446*E446+AN446*D446</f>
        <v>-0.933312711941139</v>
      </c>
      <c r="AP446" s="0" t="n">
        <f aca="false">AL446*D446</f>
        <v>0</v>
      </c>
      <c r="AR446" s="0" t="n">
        <f aca="false">AN446*D446</f>
        <v>-0</v>
      </c>
      <c r="AS446" s="0" t="n">
        <f aca="false">AH446-AR446</f>
        <v>0</v>
      </c>
    </row>
    <row r="447" customFormat="false" ht="12" hidden="false" customHeight="false" outlineLevel="0" collapsed="false">
      <c r="A447" s="3" t="n">
        <f aca="false">A446+1</f>
        <v>438</v>
      </c>
      <c r="B447" s="3" t="n">
        <f aca="false">IF(A447&lt;$N$4/3,0.1,(IF(A447&gt;2*$N$4/3,0.05,0.12)))</f>
        <v>0.12</v>
      </c>
      <c r="C447" s="4" t="n">
        <f aca="true">RAND()</f>
        <v>0.450901165969273</v>
      </c>
      <c r="D447" s="0" t="n">
        <f aca="false">IF((C447&gt;$M$2),1,0)</f>
        <v>0</v>
      </c>
      <c r="E447" s="0" t="n">
        <f aca="false">1-D447</f>
        <v>1</v>
      </c>
      <c r="F447" s="0" t="n">
        <f aca="true">RAND()</f>
        <v>0.0238537115403125</v>
      </c>
      <c r="G447" s="0" t="n">
        <f aca="false">7.75+F447*10</f>
        <v>7.98853711540312</v>
      </c>
      <c r="H447" s="0" t="n">
        <f aca="false">LOGINV(F447,2.64,1.139)</f>
        <v>1.46934904205334</v>
      </c>
      <c r="I447" s="0" t="n">
        <v>19.5</v>
      </c>
      <c r="J447" s="4" t="n">
        <f aca="true">-LN(RAND())/B447</f>
        <v>6.33498832076494</v>
      </c>
      <c r="K447" s="4" t="n">
        <f aca="false">K446+J447</f>
        <v>4382.16130277355</v>
      </c>
      <c r="L447" s="4" t="n">
        <f aca="false">(1/$J$4)*(1+AB446)</f>
        <v>10</v>
      </c>
      <c r="M447" s="4" t="n">
        <f aca="false">L447+MAX(K447,Y$10:Y446)</f>
        <v>4598.82985076217</v>
      </c>
      <c r="N447" s="4" t="n">
        <f aca="false">K447</f>
        <v>4382.16130277355</v>
      </c>
      <c r="O447" s="4" t="n">
        <f aca="false">M447-K447</f>
        <v>216.668547988625</v>
      </c>
      <c r="P447" s="4" t="n">
        <f aca="false">N447-K447</f>
        <v>0</v>
      </c>
      <c r="Q447" s="4" t="n">
        <f aca="false">A447-MATCH(K447,$M$9:M446,1)</f>
        <v>21</v>
      </c>
      <c r="R447" s="0" t="n">
        <f aca="false">-G447*(O447/3600)</f>
        <v>-0.480795760374342</v>
      </c>
      <c r="S447" s="0" t="n">
        <f aca="false">-1*I447-(H447*(P447/3600))</f>
        <v>-19.5</v>
      </c>
      <c r="T447" s="0" t="n">
        <f aca="false">-H447*(O447/3600)</f>
        <v>-0.0884338120639371</v>
      </c>
      <c r="U447" s="0" t="n">
        <f aca="false">T447-S447</f>
        <v>19.4115661879361</v>
      </c>
      <c r="V447" s="0" t="n">
        <f aca="false">1/(1+EXP(U447))</f>
        <v>3.71247824915382E-009</v>
      </c>
      <c r="W447" s="0" t="n">
        <f aca="true">RAND()</f>
        <v>0.163533798073405</v>
      </c>
      <c r="X447" s="0" t="n">
        <f aca="false">IF(W447&lt;V447,1,0)</f>
        <v>0</v>
      </c>
      <c r="Y447" s="0" t="n">
        <f aca="false">(M447*(1-X447)+N447*X447)*D447+M447*E447</f>
        <v>4598.82985076217</v>
      </c>
      <c r="Z447" s="0" t="n">
        <f aca="false">((1-X447)*O447+X447*P447)*D447+E447*O447</f>
        <v>216.668547988625</v>
      </c>
      <c r="AA447" s="0" t="n">
        <f aca="false">IF(D447*X447&gt;0,AA446,Q447)</f>
        <v>21</v>
      </c>
      <c r="AB447" s="0" t="n">
        <f aca="false">(X447*D447)</f>
        <v>0</v>
      </c>
      <c r="AC447" s="0" t="n">
        <f aca="false">SUM(AB$10:AB446)/K447</f>
        <v>0</v>
      </c>
      <c r="AD447" s="0" t="n">
        <f aca="false">R447*E447+D447*(X447*S447+(1-X447)*T447)</f>
        <v>-0.480795760374342</v>
      </c>
      <c r="AE447" s="0" t="n">
        <f aca="false">Z447</f>
        <v>216.668547988625</v>
      </c>
      <c r="AF447" s="0" t="n">
        <f aca="false">E447*O447</f>
        <v>216.668547988625</v>
      </c>
      <c r="AG447" s="0" t="n">
        <f aca="false">((1-X447)*O447+X447*P447)*D447</f>
        <v>0</v>
      </c>
      <c r="AH447" s="0" t="n">
        <f aca="false">D447*(LN(EXP(S447)+EXP(T447)))</f>
        <v>-0</v>
      </c>
      <c r="AJ447" s="0" t="n">
        <f aca="false">$J$5</f>
        <v>10</v>
      </c>
      <c r="AK447" s="4" t="n">
        <f aca="false">AJ447+MAX(K447,AK$10:AK446)</f>
        <v>4598.82985076217</v>
      </c>
      <c r="AL447" s="5" t="n">
        <f aca="false">AK447-K447</f>
        <v>216.668547988625</v>
      </c>
      <c r="AM447" s="0" t="n">
        <f aca="false">-G447*AL447/3600</f>
        <v>-0.480795760374342</v>
      </c>
      <c r="AN447" s="0" t="n">
        <f aca="false">-H447*AL447/3600</f>
        <v>-0.0884338120639371</v>
      </c>
      <c r="AO447" s="0" t="n">
        <f aca="false">AM447*E447+AN447*D447</f>
        <v>-0.480795760374342</v>
      </c>
      <c r="AP447" s="0" t="n">
        <f aca="false">AL447*D447</f>
        <v>0</v>
      </c>
      <c r="AR447" s="0" t="n">
        <f aca="false">AN447*D447</f>
        <v>-0</v>
      </c>
      <c r="AS447" s="0" t="n">
        <f aca="false">AH447-AR447</f>
        <v>0</v>
      </c>
    </row>
    <row r="448" customFormat="false" ht="12" hidden="false" customHeight="false" outlineLevel="0" collapsed="false">
      <c r="A448" s="3" t="n">
        <f aca="false">A447+1</f>
        <v>439</v>
      </c>
      <c r="B448" s="3" t="n">
        <f aca="false">IF(A448&lt;$N$4/3,0.1,(IF(A448&gt;2*$N$4/3,0.05,0.12)))</f>
        <v>0.12</v>
      </c>
      <c r="C448" s="4" t="n">
        <f aca="true">RAND()</f>
        <v>0.568368290207561</v>
      </c>
      <c r="D448" s="0" t="n">
        <f aca="false">IF((C448&gt;$M$2),1,0)</f>
        <v>0</v>
      </c>
      <c r="E448" s="0" t="n">
        <f aca="false">1-D448</f>
        <v>1</v>
      </c>
      <c r="F448" s="0" t="n">
        <f aca="true">RAND()</f>
        <v>0.692291515664013</v>
      </c>
      <c r="G448" s="0" t="n">
        <f aca="false">7.75+F448*10</f>
        <v>14.6729151566401</v>
      </c>
      <c r="H448" s="0" t="n">
        <f aca="false">LOGINV(F448,2.64,1.139)</f>
        <v>24.833256316948</v>
      </c>
      <c r="I448" s="0" t="n">
        <v>19.5</v>
      </c>
      <c r="J448" s="4" t="n">
        <f aca="true">-LN(RAND())/B448</f>
        <v>3.15283639901918</v>
      </c>
      <c r="K448" s="4" t="n">
        <f aca="false">K447+J448</f>
        <v>4385.31413917257</v>
      </c>
      <c r="L448" s="4" t="n">
        <f aca="false">(1/$J$4)*(1+AB447)</f>
        <v>10</v>
      </c>
      <c r="M448" s="4" t="n">
        <f aca="false">L448+MAX(K448,Y$10:Y447)</f>
        <v>4608.82985076217</v>
      </c>
      <c r="N448" s="4" t="n">
        <f aca="false">K448</f>
        <v>4385.31413917257</v>
      </c>
      <c r="O448" s="4" t="n">
        <f aca="false">M448-K448</f>
        <v>223.515711589605</v>
      </c>
      <c r="P448" s="4" t="n">
        <f aca="false">N448-K448</f>
        <v>0</v>
      </c>
      <c r="Q448" s="4" t="n">
        <f aca="false">A448-MATCH(K448,$M$9:M447,1)</f>
        <v>22</v>
      </c>
      <c r="R448" s="0" t="n">
        <f aca="false">-G448*(O448/3600)</f>
        <v>-0.911007520091757</v>
      </c>
      <c r="S448" s="0" t="n">
        <f aca="false">-1*I448-(H448*(P448/3600))</f>
        <v>-19.5</v>
      </c>
      <c r="T448" s="0" t="n">
        <f aca="false">-H448*(O448/3600)</f>
        <v>-1.5418397102138</v>
      </c>
      <c r="U448" s="0" t="n">
        <f aca="false">T448-S448</f>
        <v>17.9581602897862</v>
      </c>
      <c r="V448" s="0" t="n">
        <f aca="false">1/(1+EXP(U448))</f>
        <v>1.58807158144456E-008</v>
      </c>
      <c r="W448" s="0" t="n">
        <f aca="true">RAND()</f>
        <v>0.207087642141221</v>
      </c>
      <c r="X448" s="0" t="n">
        <f aca="false">IF(W448&lt;V448,1,0)</f>
        <v>0</v>
      </c>
      <c r="Y448" s="0" t="n">
        <f aca="false">(M448*(1-X448)+N448*X448)*D448+M448*E448</f>
        <v>4608.82985076217</v>
      </c>
      <c r="Z448" s="0" t="n">
        <f aca="false">((1-X448)*O448+X448*P448)*D448+E448*O448</f>
        <v>223.515711589605</v>
      </c>
      <c r="AA448" s="0" t="n">
        <f aca="false">IF(D448*X448&gt;0,AA447,Q448)</f>
        <v>22</v>
      </c>
      <c r="AB448" s="0" t="n">
        <f aca="false">(X448*D448)</f>
        <v>0</v>
      </c>
      <c r="AC448" s="0" t="n">
        <f aca="false">SUM(AB$10:AB447)/K448</f>
        <v>0</v>
      </c>
      <c r="AD448" s="0" t="n">
        <f aca="false">R448*E448+D448*(X448*S448+(1-X448)*T448)</f>
        <v>-0.911007520091757</v>
      </c>
      <c r="AE448" s="0" t="n">
        <f aca="false">Z448</f>
        <v>223.515711589605</v>
      </c>
      <c r="AF448" s="0" t="n">
        <f aca="false">E448*O448</f>
        <v>223.515711589605</v>
      </c>
      <c r="AG448" s="0" t="n">
        <f aca="false">((1-X448)*O448+X448*P448)*D448</f>
        <v>0</v>
      </c>
      <c r="AH448" s="0" t="n">
        <f aca="false">D448*(LN(EXP(S448)+EXP(T448)))</f>
        <v>-0</v>
      </c>
      <c r="AJ448" s="0" t="n">
        <f aca="false">$J$5</f>
        <v>10</v>
      </c>
      <c r="AK448" s="4" t="n">
        <f aca="false">AJ448+MAX(K448,AK$10:AK447)</f>
        <v>4608.82985076217</v>
      </c>
      <c r="AL448" s="5" t="n">
        <f aca="false">AK448-K448</f>
        <v>223.515711589605</v>
      </c>
      <c r="AM448" s="0" t="n">
        <f aca="false">-G448*AL448/3600</f>
        <v>-0.911007520091757</v>
      </c>
      <c r="AN448" s="0" t="n">
        <f aca="false">-H448*AL448/3600</f>
        <v>-1.5418397102138</v>
      </c>
      <c r="AO448" s="0" t="n">
        <f aca="false">AM448*E448+AN448*D448</f>
        <v>-0.911007520091757</v>
      </c>
      <c r="AP448" s="0" t="n">
        <f aca="false">AL448*D448</f>
        <v>0</v>
      </c>
      <c r="AR448" s="0" t="n">
        <f aca="false">AN448*D448</f>
        <v>-0</v>
      </c>
      <c r="AS448" s="0" t="n">
        <f aca="false">AH448-AR448</f>
        <v>0</v>
      </c>
    </row>
    <row r="449" customFormat="false" ht="12" hidden="false" customHeight="false" outlineLevel="0" collapsed="false">
      <c r="A449" s="3" t="n">
        <f aca="false">A448+1</f>
        <v>440</v>
      </c>
      <c r="B449" s="3" t="n">
        <f aca="false">IF(A449&lt;$N$4/3,0.1,(IF(A449&gt;2*$N$4/3,0.05,0.12)))</f>
        <v>0.12</v>
      </c>
      <c r="C449" s="4" t="n">
        <f aca="true">RAND()</f>
        <v>0.506129083060833</v>
      </c>
      <c r="D449" s="0" t="n">
        <f aca="false">IF((C449&gt;$M$2),1,0)</f>
        <v>0</v>
      </c>
      <c r="E449" s="0" t="n">
        <f aca="false">1-D449</f>
        <v>1</v>
      </c>
      <c r="F449" s="0" t="n">
        <f aca="true">RAND()</f>
        <v>0.905713572293772</v>
      </c>
      <c r="G449" s="0" t="n">
        <f aca="false">7.75+F449*10</f>
        <v>16.8071357229377</v>
      </c>
      <c r="H449" s="0" t="n">
        <f aca="false">LOGINV(F449,2.64,1.139)</f>
        <v>62.650500778268</v>
      </c>
      <c r="I449" s="0" t="n">
        <v>19.5</v>
      </c>
      <c r="J449" s="4" t="n">
        <f aca="true">-LN(RAND())/B449</f>
        <v>13.5333670205267</v>
      </c>
      <c r="K449" s="4" t="n">
        <f aca="false">K448+J449</f>
        <v>4398.84750619309</v>
      </c>
      <c r="L449" s="4" t="n">
        <f aca="false">(1/$J$4)*(1+AB448)</f>
        <v>10</v>
      </c>
      <c r="M449" s="4" t="n">
        <f aca="false">L449+MAX(K449,Y$10:Y448)</f>
        <v>4618.82985076217</v>
      </c>
      <c r="N449" s="4" t="n">
        <f aca="false">K449</f>
        <v>4398.84750619309</v>
      </c>
      <c r="O449" s="4" t="n">
        <f aca="false">M449-K449</f>
        <v>219.982344569079</v>
      </c>
      <c r="P449" s="4" t="n">
        <f aca="false">N449-K449</f>
        <v>0</v>
      </c>
      <c r="Q449" s="4" t="n">
        <f aca="false">A449-MATCH(K449,$M$9:M448,1)</f>
        <v>21</v>
      </c>
      <c r="R449" s="0" t="n">
        <f aca="false">-G449*(O449/3600)</f>
        <v>-1.02702031161738</v>
      </c>
      <c r="S449" s="0" t="n">
        <f aca="false">-1*I449-(H449*(P449/3600))</f>
        <v>-19.5</v>
      </c>
      <c r="T449" s="0" t="n">
        <f aca="false">-H449*(O449/3600)</f>
        <v>-3.82833445823064</v>
      </c>
      <c r="U449" s="0" t="n">
        <f aca="false">T449-S449</f>
        <v>15.6716655417694</v>
      </c>
      <c r="V449" s="0" t="n">
        <f aca="false">1/(1+EXP(U449))</f>
        <v>1.56272321951843E-007</v>
      </c>
      <c r="W449" s="0" t="n">
        <f aca="true">RAND()</f>
        <v>0.17888214252048</v>
      </c>
      <c r="X449" s="0" t="n">
        <f aca="false">IF(W449&lt;V449,1,0)</f>
        <v>0</v>
      </c>
      <c r="Y449" s="0" t="n">
        <f aca="false">(M449*(1-X449)+N449*X449)*D449+M449*E449</f>
        <v>4618.82985076217</v>
      </c>
      <c r="Z449" s="0" t="n">
        <f aca="false">((1-X449)*O449+X449*P449)*D449+E449*O449</f>
        <v>219.982344569079</v>
      </c>
      <c r="AA449" s="0" t="n">
        <f aca="false">IF(D449*X449&gt;0,AA448,Q449)</f>
        <v>21</v>
      </c>
      <c r="AB449" s="0" t="n">
        <f aca="false">(X449*D449)</f>
        <v>0</v>
      </c>
      <c r="AC449" s="0" t="n">
        <f aca="false">SUM(AB$10:AB448)/K449</f>
        <v>0</v>
      </c>
      <c r="AD449" s="0" t="n">
        <f aca="false">R449*E449+D449*(X449*S449+(1-X449)*T449)</f>
        <v>-1.02702031161738</v>
      </c>
      <c r="AE449" s="0" t="n">
        <f aca="false">Z449</f>
        <v>219.982344569079</v>
      </c>
      <c r="AF449" s="0" t="n">
        <f aca="false">E449*O449</f>
        <v>219.982344569079</v>
      </c>
      <c r="AG449" s="0" t="n">
        <f aca="false">((1-X449)*O449+X449*P449)*D449</f>
        <v>0</v>
      </c>
      <c r="AH449" s="0" t="n">
        <f aca="false">D449*(LN(EXP(S449)+EXP(T449)))</f>
        <v>-0</v>
      </c>
      <c r="AJ449" s="0" t="n">
        <f aca="false">$J$5</f>
        <v>10</v>
      </c>
      <c r="AK449" s="4" t="n">
        <f aca="false">AJ449+MAX(K449,AK$10:AK448)</f>
        <v>4618.82985076217</v>
      </c>
      <c r="AL449" s="5" t="n">
        <f aca="false">AK449-K449</f>
        <v>219.982344569079</v>
      </c>
      <c r="AM449" s="0" t="n">
        <f aca="false">-G449*AL449/3600</f>
        <v>-1.02702031161738</v>
      </c>
      <c r="AN449" s="0" t="n">
        <f aca="false">-H449*AL449/3600</f>
        <v>-3.82833445823064</v>
      </c>
      <c r="AO449" s="0" t="n">
        <f aca="false">AM449*E449+AN449*D449</f>
        <v>-1.02702031161738</v>
      </c>
      <c r="AP449" s="0" t="n">
        <f aca="false">AL449*D449</f>
        <v>0</v>
      </c>
      <c r="AR449" s="0" t="n">
        <f aca="false">AN449*D449</f>
        <v>-0</v>
      </c>
      <c r="AS449" s="0" t="n">
        <f aca="false">AH449-AR449</f>
        <v>0</v>
      </c>
    </row>
    <row r="450" customFormat="false" ht="12" hidden="false" customHeight="false" outlineLevel="0" collapsed="false">
      <c r="A450" s="3" t="n">
        <f aca="false">A449+1</f>
        <v>441</v>
      </c>
      <c r="B450" s="3" t="n">
        <f aca="false">IF(A450&lt;$N$4/3,0.1,(IF(A450&gt;2*$N$4/3,0.05,0.12)))</f>
        <v>0.12</v>
      </c>
      <c r="C450" s="4" t="n">
        <f aca="true">RAND()</f>
        <v>0.788268238473598</v>
      </c>
      <c r="D450" s="0" t="n">
        <f aca="false">IF((C450&gt;$M$2),1,0)</f>
        <v>0</v>
      </c>
      <c r="E450" s="0" t="n">
        <f aca="false">1-D450</f>
        <v>1</v>
      </c>
      <c r="F450" s="0" t="n">
        <f aca="true">RAND()</f>
        <v>0.408154896601181</v>
      </c>
      <c r="G450" s="0" t="n">
        <f aca="false">7.75+F450*10</f>
        <v>11.8315489660118</v>
      </c>
      <c r="H450" s="0" t="n">
        <f aca="false">LOGINV(F450,2.64,1.139)</f>
        <v>10.7555006416534</v>
      </c>
      <c r="I450" s="0" t="n">
        <v>19.5</v>
      </c>
      <c r="J450" s="4" t="n">
        <f aca="true">-LN(RAND())/B450</f>
        <v>32.4768124799457</v>
      </c>
      <c r="K450" s="4" t="n">
        <f aca="false">K449+J450</f>
        <v>4431.32431867304</v>
      </c>
      <c r="L450" s="4" t="n">
        <f aca="false">(1/$J$4)*(1+AB449)</f>
        <v>10</v>
      </c>
      <c r="M450" s="4" t="n">
        <f aca="false">L450+MAX(K450,Y$10:Y449)</f>
        <v>4628.82985076217</v>
      </c>
      <c r="N450" s="4" t="n">
        <f aca="false">K450</f>
        <v>4431.32431867304</v>
      </c>
      <c r="O450" s="4" t="n">
        <f aca="false">M450-K450</f>
        <v>197.505532089133</v>
      </c>
      <c r="P450" s="4" t="n">
        <f aca="false">N450-K450</f>
        <v>0</v>
      </c>
      <c r="Q450" s="4" t="n">
        <f aca="false">A450-MATCH(K450,$M$9:M449,1)</f>
        <v>19</v>
      </c>
      <c r="R450" s="0" t="n">
        <f aca="false">-G450*(O450/3600)</f>
        <v>-0.649110103880777</v>
      </c>
      <c r="S450" s="0" t="n">
        <f aca="false">-1*I450-(H450*(P450/3600))</f>
        <v>-19.5</v>
      </c>
      <c r="T450" s="0" t="n">
        <f aca="false">-H450*(O450/3600)</f>
        <v>-0.590075243642994</v>
      </c>
      <c r="U450" s="0" t="n">
        <f aca="false">T450-S450</f>
        <v>18.909924756357</v>
      </c>
      <c r="V450" s="0" t="n">
        <f aca="false">1/(1+EXP(U450))</f>
        <v>6.13089703487616E-009</v>
      </c>
      <c r="W450" s="0" t="n">
        <f aca="true">RAND()</f>
        <v>0.384473515114047</v>
      </c>
      <c r="X450" s="0" t="n">
        <f aca="false">IF(W450&lt;V450,1,0)</f>
        <v>0</v>
      </c>
      <c r="Y450" s="0" t="n">
        <f aca="false">(M450*(1-X450)+N450*X450)*D450+M450*E450</f>
        <v>4628.82985076217</v>
      </c>
      <c r="Z450" s="0" t="n">
        <f aca="false">((1-X450)*O450+X450*P450)*D450+E450*O450</f>
        <v>197.505532089133</v>
      </c>
      <c r="AA450" s="0" t="n">
        <f aca="false">IF(D450*X450&gt;0,AA449,Q450)</f>
        <v>19</v>
      </c>
      <c r="AB450" s="0" t="n">
        <f aca="false">(X450*D450)</f>
        <v>0</v>
      </c>
      <c r="AC450" s="0" t="n">
        <f aca="false">SUM(AB$10:AB449)/K450</f>
        <v>0</v>
      </c>
      <c r="AD450" s="0" t="n">
        <f aca="false">R450*E450+D450*(X450*S450+(1-X450)*T450)</f>
        <v>-0.649110103880777</v>
      </c>
      <c r="AE450" s="0" t="n">
        <f aca="false">Z450</f>
        <v>197.505532089133</v>
      </c>
      <c r="AF450" s="0" t="n">
        <f aca="false">E450*O450</f>
        <v>197.505532089133</v>
      </c>
      <c r="AG450" s="0" t="n">
        <f aca="false">((1-X450)*O450+X450*P450)*D450</f>
        <v>0</v>
      </c>
      <c r="AH450" s="0" t="n">
        <f aca="false">D450*(LN(EXP(S450)+EXP(T450)))</f>
        <v>-0</v>
      </c>
      <c r="AJ450" s="0" t="n">
        <f aca="false">$J$5</f>
        <v>10</v>
      </c>
      <c r="AK450" s="4" t="n">
        <f aca="false">AJ450+MAX(K450,AK$10:AK449)</f>
        <v>4628.82985076217</v>
      </c>
      <c r="AL450" s="5" t="n">
        <f aca="false">AK450-K450</f>
        <v>197.505532089133</v>
      </c>
      <c r="AM450" s="0" t="n">
        <f aca="false">-G450*AL450/3600</f>
        <v>-0.649110103880777</v>
      </c>
      <c r="AN450" s="0" t="n">
        <f aca="false">-H450*AL450/3600</f>
        <v>-0.590075243642994</v>
      </c>
      <c r="AO450" s="0" t="n">
        <f aca="false">AM450*E450+AN450*D450</f>
        <v>-0.649110103880777</v>
      </c>
      <c r="AP450" s="0" t="n">
        <f aca="false">AL450*D450</f>
        <v>0</v>
      </c>
      <c r="AR450" s="0" t="n">
        <f aca="false">AN450*D450</f>
        <v>-0</v>
      </c>
      <c r="AS450" s="0" t="n">
        <f aca="false">AH450-AR450</f>
        <v>0</v>
      </c>
    </row>
    <row r="451" customFormat="false" ht="12" hidden="false" customHeight="false" outlineLevel="0" collapsed="false">
      <c r="A451" s="3" t="n">
        <f aca="false">A450+1</f>
        <v>442</v>
      </c>
      <c r="B451" s="3" t="n">
        <f aca="false">IF(A451&lt;$N$4/3,0.1,(IF(A451&gt;2*$N$4/3,0.05,0.12)))</f>
        <v>0.12</v>
      </c>
      <c r="C451" s="4" t="n">
        <f aca="true">RAND()</f>
        <v>0.424678986487731</v>
      </c>
      <c r="D451" s="0" t="n">
        <f aca="false">IF((C451&gt;$M$2),1,0)</f>
        <v>0</v>
      </c>
      <c r="E451" s="0" t="n">
        <f aca="false">1-D451</f>
        <v>1</v>
      </c>
      <c r="F451" s="0" t="n">
        <f aca="true">RAND()</f>
        <v>0.83081447631734</v>
      </c>
      <c r="G451" s="0" t="n">
        <f aca="false">7.75+F451*10</f>
        <v>16.0581447631734</v>
      </c>
      <c r="H451" s="0" t="n">
        <f aca="false">LOGINV(F451,2.64,1.139)</f>
        <v>41.6985288070697</v>
      </c>
      <c r="I451" s="0" t="n">
        <v>19.5</v>
      </c>
      <c r="J451" s="4" t="n">
        <f aca="true">-LN(RAND())/B451</f>
        <v>0.370470177195741</v>
      </c>
      <c r="K451" s="4" t="n">
        <f aca="false">K450+J451</f>
        <v>4431.69478885023</v>
      </c>
      <c r="L451" s="4" t="n">
        <f aca="false">(1/$J$4)*(1+AB450)</f>
        <v>10</v>
      </c>
      <c r="M451" s="4" t="n">
        <f aca="false">L451+MAX(K451,Y$10:Y450)</f>
        <v>4638.82985076217</v>
      </c>
      <c r="N451" s="4" t="n">
        <f aca="false">K451</f>
        <v>4431.69478885023</v>
      </c>
      <c r="O451" s="4" t="n">
        <f aca="false">M451-K451</f>
        <v>207.135061911938</v>
      </c>
      <c r="P451" s="4" t="n">
        <f aca="false">N451-K451</f>
        <v>0</v>
      </c>
      <c r="Q451" s="4" t="n">
        <f aca="false">A451-MATCH(K451,$M$9:M450,1)</f>
        <v>20</v>
      </c>
      <c r="R451" s="0" t="n">
        <f aca="false">-G451*(O451/3600)</f>
        <v>-0.923945780475216</v>
      </c>
      <c r="S451" s="0" t="n">
        <f aca="false">-1*I451-(H451*(P451/3600))</f>
        <v>-19.5</v>
      </c>
      <c r="T451" s="0" t="n">
        <f aca="false">-H451*(O451/3600)</f>
        <v>-2.39922981835808</v>
      </c>
      <c r="U451" s="0" t="n">
        <f aca="false">T451-S451</f>
        <v>17.1007701816419</v>
      </c>
      <c r="V451" s="0" t="n">
        <f aca="false">1/(1+EXP(U451))</f>
        <v>3.74308644916645E-008</v>
      </c>
      <c r="W451" s="0" t="n">
        <f aca="true">RAND()</f>
        <v>0.0929445539830112</v>
      </c>
      <c r="X451" s="0" t="n">
        <f aca="false">IF(W451&lt;V451,1,0)</f>
        <v>0</v>
      </c>
      <c r="Y451" s="0" t="n">
        <f aca="false">(M451*(1-X451)+N451*X451)*D451+M451*E451</f>
        <v>4638.82985076217</v>
      </c>
      <c r="Z451" s="0" t="n">
        <f aca="false">((1-X451)*O451+X451*P451)*D451+E451*O451</f>
        <v>207.135061911938</v>
      </c>
      <c r="AA451" s="0" t="n">
        <f aca="false">IF(D451*X451&gt;0,AA450,Q451)</f>
        <v>20</v>
      </c>
      <c r="AB451" s="0" t="n">
        <f aca="false">(X451*D451)</f>
        <v>0</v>
      </c>
      <c r="AC451" s="0" t="n">
        <f aca="false">SUM(AB$10:AB450)/K451</f>
        <v>0</v>
      </c>
      <c r="AD451" s="0" t="n">
        <f aca="false">R451*E451+D451*(X451*S451+(1-X451)*T451)</f>
        <v>-0.923945780475216</v>
      </c>
      <c r="AE451" s="0" t="n">
        <f aca="false">Z451</f>
        <v>207.135061911938</v>
      </c>
      <c r="AF451" s="0" t="n">
        <f aca="false">E451*O451</f>
        <v>207.135061911938</v>
      </c>
      <c r="AG451" s="0" t="n">
        <f aca="false">((1-X451)*O451+X451*P451)*D451</f>
        <v>0</v>
      </c>
      <c r="AH451" s="0" t="n">
        <f aca="false">D451*(LN(EXP(S451)+EXP(T451)))</f>
        <v>-0</v>
      </c>
      <c r="AJ451" s="0" t="n">
        <f aca="false">$J$5</f>
        <v>10</v>
      </c>
      <c r="AK451" s="4" t="n">
        <f aca="false">AJ451+MAX(K451,AK$10:AK450)</f>
        <v>4638.82985076217</v>
      </c>
      <c r="AL451" s="5" t="n">
        <f aca="false">AK451-K451</f>
        <v>207.135061911938</v>
      </c>
      <c r="AM451" s="0" t="n">
        <f aca="false">-G451*AL451/3600</f>
        <v>-0.923945780475216</v>
      </c>
      <c r="AN451" s="0" t="n">
        <f aca="false">-H451*AL451/3600</f>
        <v>-2.39922981835808</v>
      </c>
      <c r="AO451" s="0" t="n">
        <f aca="false">AM451*E451+AN451*D451</f>
        <v>-0.923945780475216</v>
      </c>
      <c r="AP451" s="0" t="n">
        <f aca="false">AL451*D451</f>
        <v>0</v>
      </c>
      <c r="AR451" s="0" t="n">
        <f aca="false">AN451*D451</f>
        <v>-0</v>
      </c>
      <c r="AS451" s="0" t="n">
        <f aca="false">AH451-AR451</f>
        <v>0</v>
      </c>
    </row>
    <row r="452" customFormat="false" ht="12" hidden="false" customHeight="false" outlineLevel="0" collapsed="false">
      <c r="A452" s="3" t="n">
        <f aca="false">A451+1</f>
        <v>443</v>
      </c>
      <c r="B452" s="3" t="n">
        <f aca="false">IF(A452&lt;$N$4/3,0.1,(IF(A452&gt;2*$N$4/3,0.05,0.12)))</f>
        <v>0.12</v>
      </c>
      <c r="C452" s="4" t="n">
        <f aca="true">RAND()</f>
        <v>0.326263187777311</v>
      </c>
      <c r="D452" s="0" t="n">
        <f aca="false">IF((C452&gt;$M$2),1,0)</f>
        <v>0</v>
      </c>
      <c r="E452" s="0" t="n">
        <f aca="false">1-D452</f>
        <v>1</v>
      </c>
      <c r="F452" s="0" t="n">
        <f aca="true">RAND()</f>
        <v>0.559376384528405</v>
      </c>
      <c r="G452" s="0" t="n">
        <f aca="false">7.75+F452*10</f>
        <v>13.343763845284</v>
      </c>
      <c r="H452" s="0" t="n">
        <f aca="false">LOGINV(F452,2.64,1.139)</f>
        <v>16.6124645758732</v>
      </c>
      <c r="I452" s="0" t="n">
        <v>19.5</v>
      </c>
      <c r="J452" s="4" t="n">
        <f aca="true">-LN(RAND())/B452</f>
        <v>4.64059837454779</v>
      </c>
      <c r="K452" s="4" t="n">
        <f aca="false">K451+J452</f>
        <v>4436.33538722478</v>
      </c>
      <c r="L452" s="4" t="n">
        <f aca="false">(1/$J$4)*(1+AB451)</f>
        <v>10</v>
      </c>
      <c r="M452" s="4" t="n">
        <f aca="false">L452+MAX(K452,Y$10:Y451)</f>
        <v>4648.82985076217</v>
      </c>
      <c r="N452" s="4" t="n">
        <f aca="false">K452</f>
        <v>4436.33538722478</v>
      </c>
      <c r="O452" s="4" t="n">
        <f aca="false">M452-K452</f>
        <v>212.49446353739</v>
      </c>
      <c r="P452" s="4" t="n">
        <f aca="false">N452-K452</f>
        <v>0</v>
      </c>
      <c r="Q452" s="4" t="n">
        <f aca="false">A452-MATCH(K452,$M$9:M451,1)</f>
        <v>21</v>
      </c>
      <c r="R452" s="0" t="n">
        <f aca="false">-G452*(O452/3600)</f>
        <v>-0.787632205520347</v>
      </c>
      <c r="S452" s="0" t="n">
        <f aca="false">-1*I452-(H452*(P452/3600))</f>
        <v>-19.5</v>
      </c>
      <c r="T452" s="0" t="n">
        <f aca="false">-H452*(O452/3600)</f>
        <v>-0.980571318912238</v>
      </c>
      <c r="U452" s="0" t="n">
        <f aca="false">T452-S452</f>
        <v>18.5194286810878</v>
      </c>
      <c r="V452" s="0" t="n">
        <f aca="false">1/(1+EXP(U452))</f>
        <v>9.05971032693201E-009</v>
      </c>
      <c r="W452" s="0" t="n">
        <f aca="true">RAND()</f>
        <v>0.303135097123025</v>
      </c>
      <c r="X452" s="0" t="n">
        <f aca="false">IF(W452&lt;V452,1,0)</f>
        <v>0</v>
      </c>
      <c r="Y452" s="0" t="n">
        <f aca="false">(M452*(1-X452)+N452*X452)*D452+M452*E452</f>
        <v>4648.82985076217</v>
      </c>
      <c r="Z452" s="0" t="n">
        <f aca="false">((1-X452)*O452+X452*P452)*D452+E452*O452</f>
        <v>212.49446353739</v>
      </c>
      <c r="AA452" s="0" t="n">
        <f aca="false">IF(D452*X452&gt;0,AA451,Q452)</f>
        <v>21</v>
      </c>
      <c r="AB452" s="0" t="n">
        <f aca="false">(X452*D452)</f>
        <v>0</v>
      </c>
      <c r="AC452" s="0" t="n">
        <f aca="false">SUM(AB$10:AB451)/K452</f>
        <v>0</v>
      </c>
      <c r="AD452" s="0" t="n">
        <f aca="false">R452*E452+D452*(X452*S452+(1-X452)*T452)</f>
        <v>-0.787632205520347</v>
      </c>
      <c r="AE452" s="0" t="n">
        <f aca="false">Z452</f>
        <v>212.49446353739</v>
      </c>
      <c r="AF452" s="0" t="n">
        <f aca="false">E452*O452</f>
        <v>212.49446353739</v>
      </c>
      <c r="AG452" s="0" t="n">
        <f aca="false">((1-X452)*O452+X452*P452)*D452</f>
        <v>0</v>
      </c>
      <c r="AH452" s="0" t="n">
        <f aca="false">D452*(LN(EXP(S452)+EXP(T452)))</f>
        <v>-0</v>
      </c>
      <c r="AJ452" s="0" t="n">
        <f aca="false">$J$5</f>
        <v>10</v>
      </c>
      <c r="AK452" s="4" t="n">
        <f aca="false">AJ452+MAX(K452,AK$10:AK451)</f>
        <v>4648.82985076217</v>
      </c>
      <c r="AL452" s="5" t="n">
        <f aca="false">AK452-K452</f>
        <v>212.49446353739</v>
      </c>
      <c r="AM452" s="0" t="n">
        <f aca="false">-G452*AL452/3600</f>
        <v>-0.787632205520346</v>
      </c>
      <c r="AN452" s="0" t="n">
        <f aca="false">-H452*AL452/3600</f>
        <v>-0.980571318912238</v>
      </c>
      <c r="AO452" s="0" t="n">
        <f aca="false">AM452*E452+AN452*D452</f>
        <v>-0.787632205520346</v>
      </c>
      <c r="AP452" s="0" t="n">
        <f aca="false">AL452*D452</f>
        <v>0</v>
      </c>
      <c r="AR452" s="0" t="n">
        <f aca="false">AN452*D452</f>
        <v>-0</v>
      </c>
      <c r="AS452" s="0" t="n">
        <f aca="false">AH452-AR452</f>
        <v>0</v>
      </c>
    </row>
    <row r="453" customFormat="false" ht="12" hidden="false" customHeight="false" outlineLevel="0" collapsed="false">
      <c r="A453" s="3" t="n">
        <f aca="false">A452+1</f>
        <v>444</v>
      </c>
      <c r="B453" s="3" t="n">
        <f aca="false">IF(A453&lt;$N$4/3,0.1,(IF(A453&gt;2*$N$4/3,0.05,0.12)))</f>
        <v>0.12</v>
      </c>
      <c r="C453" s="4" t="n">
        <f aca="true">RAND()</f>
        <v>0.0441477285064853</v>
      </c>
      <c r="D453" s="0" t="n">
        <f aca="false">IF((C453&gt;$M$2),1,0)</f>
        <v>0</v>
      </c>
      <c r="E453" s="0" t="n">
        <f aca="false">1-D453</f>
        <v>1</v>
      </c>
      <c r="F453" s="0" t="n">
        <f aca="true">RAND()</f>
        <v>0.193316920121351</v>
      </c>
      <c r="G453" s="0" t="n">
        <f aca="false">7.75+F453*10</f>
        <v>9.68316920121351</v>
      </c>
      <c r="H453" s="0" t="n">
        <f aca="false">LOGINV(F453,2.64,1.139)</f>
        <v>5.22745416881487</v>
      </c>
      <c r="I453" s="0" t="n">
        <v>19.5</v>
      </c>
      <c r="J453" s="4" t="n">
        <f aca="true">-LN(RAND())/B453</f>
        <v>7.00057065481339</v>
      </c>
      <c r="K453" s="4" t="n">
        <f aca="false">K452+J453</f>
        <v>4443.3359578796</v>
      </c>
      <c r="L453" s="4" t="n">
        <f aca="false">(1/$J$4)*(1+AB452)</f>
        <v>10</v>
      </c>
      <c r="M453" s="4" t="n">
        <f aca="false">L453+MAX(K453,Y$10:Y452)</f>
        <v>4658.82985076217</v>
      </c>
      <c r="N453" s="4" t="n">
        <f aca="false">K453</f>
        <v>4443.3359578796</v>
      </c>
      <c r="O453" s="4" t="n">
        <f aca="false">M453-K453</f>
        <v>215.493892882576</v>
      </c>
      <c r="P453" s="4" t="n">
        <f aca="false">N453-K453</f>
        <v>0</v>
      </c>
      <c r="Q453" s="4" t="n">
        <f aca="false">A453-MATCH(K453,$M$9:M452,1)</f>
        <v>21</v>
      </c>
      <c r="R453" s="0" t="n">
        <f aca="false">-G453*(O453/3600)</f>
        <v>-0.579628840725045</v>
      </c>
      <c r="S453" s="0" t="n">
        <f aca="false">-1*I453-(H453*(P453/3600))</f>
        <v>-19.5</v>
      </c>
      <c r="T453" s="0" t="n">
        <f aca="false">-H453*(O453/3600)</f>
        <v>-0.312912346861991</v>
      </c>
      <c r="U453" s="0" t="n">
        <f aca="false">T453-S453</f>
        <v>19.187087653138</v>
      </c>
      <c r="V453" s="0" t="n">
        <f aca="false">1/(1+EXP(U453))</f>
        <v>4.64679706556728E-009</v>
      </c>
      <c r="W453" s="0" t="n">
        <f aca="true">RAND()</f>
        <v>0.665135468734471</v>
      </c>
      <c r="X453" s="0" t="n">
        <f aca="false">IF(W453&lt;V453,1,0)</f>
        <v>0</v>
      </c>
      <c r="Y453" s="0" t="n">
        <f aca="false">(M453*(1-X453)+N453*X453)*D453+M453*E453</f>
        <v>4658.82985076217</v>
      </c>
      <c r="Z453" s="0" t="n">
        <f aca="false">((1-X453)*O453+X453*P453)*D453+E453*O453</f>
        <v>215.493892882576</v>
      </c>
      <c r="AA453" s="0" t="n">
        <f aca="false">IF(D453*X453&gt;0,AA452,Q453)</f>
        <v>21</v>
      </c>
      <c r="AB453" s="0" t="n">
        <f aca="false">(X453*D453)</f>
        <v>0</v>
      </c>
      <c r="AC453" s="0" t="n">
        <f aca="false">SUM(AB$10:AB452)/K453</f>
        <v>0</v>
      </c>
      <c r="AD453" s="0" t="n">
        <f aca="false">R453*E453+D453*(X453*S453+(1-X453)*T453)</f>
        <v>-0.579628840725045</v>
      </c>
      <c r="AE453" s="0" t="n">
        <f aca="false">Z453</f>
        <v>215.493892882576</v>
      </c>
      <c r="AF453" s="0" t="n">
        <f aca="false">E453*O453</f>
        <v>215.493892882576</v>
      </c>
      <c r="AG453" s="0" t="n">
        <f aca="false">((1-X453)*O453+X453*P453)*D453</f>
        <v>0</v>
      </c>
      <c r="AH453" s="0" t="n">
        <f aca="false">D453*(LN(EXP(S453)+EXP(T453)))</f>
        <v>-0</v>
      </c>
      <c r="AJ453" s="0" t="n">
        <f aca="false">$J$5</f>
        <v>10</v>
      </c>
      <c r="AK453" s="4" t="n">
        <f aca="false">AJ453+MAX(K453,AK$10:AK452)</f>
        <v>4658.82985076217</v>
      </c>
      <c r="AL453" s="5" t="n">
        <f aca="false">AK453-K453</f>
        <v>215.493892882576</v>
      </c>
      <c r="AM453" s="0" t="n">
        <f aca="false">-G453*AL453/3600</f>
        <v>-0.579628840725045</v>
      </c>
      <c r="AN453" s="0" t="n">
        <f aca="false">-H453*AL453/3600</f>
        <v>-0.312912346861991</v>
      </c>
      <c r="AO453" s="0" t="n">
        <f aca="false">AM453*E453+AN453*D453</f>
        <v>-0.579628840725045</v>
      </c>
      <c r="AP453" s="0" t="n">
        <f aca="false">AL453*D453</f>
        <v>0</v>
      </c>
      <c r="AR453" s="0" t="n">
        <f aca="false">AN453*D453</f>
        <v>-0</v>
      </c>
      <c r="AS453" s="0" t="n">
        <f aca="false">AH453-AR453</f>
        <v>0</v>
      </c>
    </row>
    <row r="454" customFormat="false" ht="12" hidden="false" customHeight="false" outlineLevel="0" collapsed="false">
      <c r="A454" s="3" t="n">
        <f aca="false">A453+1</f>
        <v>445</v>
      </c>
      <c r="B454" s="3" t="n">
        <f aca="false">IF(A454&lt;$N$4/3,0.1,(IF(A454&gt;2*$N$4/3,0.05,0.12)))</f>
        <v>0.12</v>
      </c>
      <c r="C454" s="4" t="n">
        <f aca="true">RAND()</f>
        <v>0.484404072580687</v>
      </c>
      <c r="D454" s="0" t="n">
        <f aca="false">IF((C454&gt;$M$2),1,0)</f>
        <v>0</v>
      </c>
      <c r="E454" s="0" t="n">
        <f aca="false">1-D454</f>
        <v>1</v>
      </c>
      <c r="F454" s="0" t="n">
        <f aca="true">RAND()</f>
        <v>0.875558279228955</v>
      </c>
      <c r="G454" s="0" t="n">
        <f aca="false">7.75+F454*10</f>
        <v>16.5055827922896</v>
      </c>
      <c r="H454" s="0" t="n">
        <f aca="false">LOGINV(F454,2.64,1.139)</f>
        <v>52.1092131609529</v>
      </c>
      <c r="I454" s="0" t="n">
        <v>19.5</v>
      </c>
      <c r="J454" s="4" t="n">
        <f aca="true">-LN(RAND())/B454</f>
        <v>0.634444894820903</v>
      </c>
      <c r="K454" s="4" t="n">
        <f aca="false">K453+J454</f>
        <v>4443.97040277442</v>
      </c>
      <c r="L454" s="4" t="n">
        <f aca="false">(1/$J$4)*(1+AB453)</f>
        <v>10</v>
      </c>
      <c r="M454" s="4" t="n">
        <f aca="false">L454+MAX(K454,Y$10:Y453)</f>
        <v>4668.82985076217</v>
      </c>
      <c r="N454" s="4" t="n">
        <f aca="false">K454</f>
        <v>4443.97040277442</v>
      </c>
      <c r="O454" s="4" t="n">
        <f aca="false">M454-K454</f>
        <v>224.859447987755</v>
      </c>
      <c r="P454" s="4" t="n">
        <f aca="false">N454-K454</f>
        <v>0</v>
      </c>
      <c r="Q454" s="4" t="n">
        <f aca="false">A454-MATCH(K454,$M$9:M453,1)</f>
        <v>22</v>
      </c>
      <c r="R454" s="0" t="n">
        <f aca="false">-G454*(O454/3600)</f>
        <v>-1.03095450983067</v>
      </c>
      <c r="S454" s="0" t="n">
        <f aca="false">-1*I454-(H454*(P454/3600))</f>
        <v>-19.5</v>
      </c>
      <c r="T454" s="0" t="n">
        <f aca="false">-H454*(O454/3600)</f>
        <v>-3.25479136290226</v>
      </c>
      <c r="U454" s="0" t="n">
        <f aca="false">T454-S454</f>
        <v>16.2452086370977</v>
      </c>
      <c r="V454" s="0" t="n">
        <f aca="false">1/(1+EXP(U454))</f>
        <v>8.80634089969436E-008</v>
      </c>
      <c r="W454" s="0" t="n">
        <f aca="true">RAND()</f>
        <v>0.0539643837948185</v>
      </c>
      <c r="X454" s="0" t="n">
        <f aca="false">IF(W454&lt;V454,1,0)</f>
        <v>0</v>
      </c>
      <c r="Y454" s="0" t="n">
        <f aca="false">(M454*(1-X454)+N454*X454)*D454+M454*E454</f>
        <v>4668.82985076217</v>
      </c>
      <c r="Z454" s="0" t="n">
        <f aca="false">((1-X454)*O454+X454*P454)*D454+E454*O454</f>
        <v>224.859447987755</v>
      </c>
      <c r="AA454" s="0" t="n">
        <f aca="false">IF(D454*X454&gt;0,AA453,Q454)</f>
        <v>22</v>
      </c>
      <c r="AB454" s="0" t="n">
        <f aca="false">(X454*D454)</f>
        <v>0</v>
      </c>
      <c r="AC454" s="0" t="n">
        <f aca="false">SUM(AB$10:AB453)/K454</f>
        <v>0</v>
      </c>
      <c r="AD454" s="0" t="n">
        <f aca="false">R454*E454+D454*(X454*S454+(1-X454)*T454)</f>
        <v>-1.03095450983067</v>
      </c>
      <c r="AE454" s="0" t="n">
        <f aca="false">Z454</f>
        <v>224.859447987755</v>
      </c>
      <c r="AF454" s="0" t="n">
        <f aca="false">E454*O454</f>
        <v>224.859447987755</v>
      </c>
      <c r="AG454" s="0" t="n">
        <f aca="false">((1-X454)*O454+X454*P454)*D454</f>
        <v>0</v>
      </c>
      <c r="AH454" s="0" t="n">
        <f aca="false">D454*(LN(EXP(S454)+EXP(T454)))</f>
        <v>-0</v>
      </c>
      <c r="AJ454" s="0" t="n">
        <f aca="false">$J$5</f>
        <v>10</v>
      </c>
      <c r="AK454" s="4" t="n">
        <f aca="false">AJ454+MAX(K454,AK$10:AK453)</f>
        <v>4668.82985076217</v>
      </c>
      <c r="AL454" s="5" t="n">
        <f aca="false">AK454-K454</f>
        <v>224.859447987755</v>
      </c>
      <c r="AM454" s="0" t="n">
        <f aca="false">-G454*AL454/3600</f>
        <v>-1.03095450983067</v>
      </c>
      <c r="AN454" s="0" t="n">
        <f aca="false">-H454*AL454/3600</f>
        <v>-3.25479136290226</v>
      </c>
      <c r="AO454" s="0" t="n">
        <f aca="false">AM454*E454+AN454*D454</f>
        <v>-1.03095450983067</v>
      </c>
      <c r="AP454" s="0" t="n">
        <f aca="false">AL454*D454</f>
        <v>0</v>
      </c>
      <c r="AR454" s="0" t="n">
        <f aca="false">AN454*D454</f>
        <v>-0</v>
      </c>
      <c r="AS454" s="0" t="n">
        <f aca="false">AH454-AR454</f>
        <v>0</v>
      </c>
    </row>
    <row r="455" customFormat="false" ht="12" hidden="false" customHeight="false" outlineLevel="0" collapsed="false">
      <c r="A455" s="3" t="n">
        <f aca="false">A454+1</f>
        <v>446</v>
      </c>
      <c r="B455" s="3" t="n">
        <f aca="false">IF(A455&lt;$N$4/3,0.1,(IF(A455&gt;2*$N$4/3,0.05,0.12)))</f>
        <v>0.12</v>
      </c>
      <c r="C455" s="4" t="n">
        <f aca="true">RAND()</f>
        <v>0.819751911971383</v>
      </c>
      <c r="D455" s="0" t="n">
        <f aca="false">IF((C455&gt;$M$2),1,0)</f>
        <v>0</v>
      </c>
      <c r="E455" s="0" t="n">
        <f aca="false">1-D455</f>
        <v>1</v>
      </c>
      <c r="F455" s="0" t="n">
        <f aca="true">RAND()</f>
        <v>0.387774491799655</v>
      </c>
      <c r="G455" s="0" t="n">
        <f aca="false">7.75+F455*10</f>
        <v>11.6277449179966</v>
      </c>
      <c r="H455" s="0" t="n">
        <f aca="false">LOGINV(F455,2.64,1.139)</f>
        <v>10.1273889033029</v>
      </c>
      <c r="I455" s="0" t="n">
        <v>19.5</v>
      </c>
      <c r="J455" s="4" t="n">
        <f aca="true">-LN(RAND())/B455</f>
        <v>10.1876265544684</v>
      </c>
      <c r="K455" s="4" t="n">
        <f aca="false">K454+J455</f>
        <v>4454.15802932889</v>
      </c>
      <c r="L455" s="4" t="n">
        <f aca="false">(1/$J$4)*(1+AB454)</f>
        <v>10</v>
      </c>
      <c r="M455" s="4" t="n">
        <f aca="false">L455+MAX(K455,Y$10:Y454)</f>
        <v>4678.82985076217</v>
      </c>
      <c r="N455" s="4" t="n">
        <f aca="false">K455</f>
        <v>4454.15802932889</v>
      </c>
      <c r="O455" s="4" t="n">
        <f aca="false">M455-K455</f>
        <v>224.671821433286</v>
      </c>
      <c r="P455" s="4" t="n">
        <f aca="false">N455-K455</f>
        <v>0</v>
      </c>
      <c r="Q455" s="4" t="n">
        <f aca="false">A455-MATCH(K455,$M$9:M454,1)</f>
        <v>22</v>
      </c>
      <c r="R455" s="0" t="n">
        <f aca="false">-G455*(O455/3600)</f>
        <v>-0.725674063857755</v>
      </c>
      <c r="S455" s="0" t="n">
        <f aca="false">-1*I455-(H455*(P455/3600))</f>
        <v>-19.5</v>
      </c>
      <c r="T455" s="0" t="n">
        <f aca="false">-H455*(O455/3600)</f>
        <v>-0.632038586463421</v>
      </c>
      <c r="U455" s="0" t="n">
        <f aca="false">T455-S455</f>
        <v>18.8679614135366</v>
      </c>
      <c r="V455" s="0" t="n">
        <f aca="false">1/(1+EXP(U455))</f>
        <v>6.39364428851922E-009</v>
      </c>
      <c r="W455" s="0" t="n">
        <f aca="true">RAND()</f>
        <v>0.329700382015962</v>
      </c>
      <c r="X455" s="0" t="n">
        <f aca="false">IF(W455&lt;V455,1,0)</f>
        <v>0</v>
      </c>
      <c r="Y455" s="0" t="n">
        <f aca="false">(M455*(1-X455)+N455*X455)*D455+M455*E455</f>
        <v>4678.82985076217</v>
      </c>
      <c r="Z455" s="0" t="n">
        <f aca="false">((1-X455)*O455+X455*P455)*D455+E455*O455</f>
        <v>224.671821433286</v>
      </c>
      <c r="AA455" s="0" t="n">
        <f aca="false">IF(D455*X455&gt;0,AA454,Q455)</f>
        <v>22</v>
      </c>
      <c r="AB455" s="0" t="n">
        <f aca="false">(X455*D455)</f>
        <v>0</v>
      </c>
      <c r="AC455" s="0" t="n">
        <f aca="false">SUM(AB$10:AB454)/K455</f>
        <v>0</v>
      </c>
      <c r="AD455" s="0" t="n">
        <f aca="false">R455*E455+D455*(X455*S455+(1-X455)*T455)</f>
        <v>-0.725674063857755</v>
      </c>
      <c r="AE455" s="0" t="n">
        <f aca="false">Z455</f>
        <v>224.671821433286</v>
      </c>
      <c r="AF455" s="0" t="n">
        <f aca="false">E455*O455</f>
        <v>224.671821433286</v>
      </c>
      <c r="AG455" s="0" t="n">
        <f aca="false">((1-X455)*O455+X455*P455)*D455</f>
        <v>0</v>
      </c>
      <c r="AH455" s="0" t="n">
        <f aca="false">D455*(LN(EXP(S455)+EXP(T455)))</f>
        <v>-0</v>
      </c>
      <c r="AJ455" s="0" t="n">
        <f aca="false">$J$5</f>
        <v>10</v>
      </c>
      <c r="AK455" s="4" t="n">
        <f aca="false">AJ455+MAX(K455,AK$10:AK454)</f>
        <v>4678.82985076217</v>
      </c>
      <c r="AL455" s="5" t="n">
        <f aca="false">AK455-K455</f>
        <v>224.671821433286</v>
      </c>
      <c r="AM455" s="0" t="n">
        <f aca="false">-G455*AL455/3600</f>
        <v>-0.725674063857755</v>
      </c>
      <c r="AN455" s="0" t="n">
        <f aca="false">-H455*AL455/3600</f>
        <v>-0.632038586463421</v>
      </c>
      <c r="AO455" s="0" t="n">
        <f aca="false">AM455*E455+AN455*D455</f>
        <v>-0.725674063857755</v>
      </c>
      <c r="AP455" s="0" t="n">
        <f aca="false">AL455*D455</f>
        <v>0</v>
      </c>
      <c r="AR455" s="0" t="n">
        <f aca="false">AN455*D455</f>
        <v>-0</v>
      </c>
      <c r="AS455" s="0" t="n">
        <f aca="false">AH455-AR455</f>
        <v>0</v>
      </c>
    </row>
    <row r="456" customFormat="false" ht="12" hidden="false" customHeight="false" outlineLevel="0" collapsed="false">
      <c r="A456" s="3" t="n">
        <f aca="false">A455+1</f>
        <v>447</v>
      </c>
      <c r="B456" s="3" t="n">
        <f aca="false">IF(A456&lt;$N$4/3,0.1,(IF(A456&gt;2*$N$4/3,0.05,0.12)))</f>
        <v>0.12</v>
      </c>
      <c r="C456" s="4" t="n">
        <f aca="true">RAND()</f>
        <v>0.631034036519197</v>
      </c>
      <c r="D456" s="0" t="n">
        <f aca="false">IF((C456&gt;$M$2),1,0)</f>
        <v>0</v>
      </c>
      <c r="E456" s="0" t="n">
        <f aca="false">1-D456</f>
        <v>1</v>
      </c>
      <c r="F456" s="0" t="n">
        <f aca="true">RAND()</f>
        <v>0.0318877678133162</v>
      </c>
      <c r="G456" s="0" t="n">
        <f aca="false">7.75+F456*10</f>
        <v>8.06887767813316</v>
      </c>
      <c r="H456" s="0" t="n">
        <f aca="false">LOGINV(F456,2.64,1.139)</f>
        <v>1.69652752778637</v>
      </c>
      <c r="I456" s="0" t="n">
        <v>19.5</v>
      </c>
      <c r="J456" s="4" t="n">
        <f aca="true">-LN(RAND())/B456</f>
        <v>6.50739854947872</v>
      </c>
      <c r="K456" s="4" t="n">
        <f aca="false">K455+J456</f>
        <v>4460.66542787836</v>
      </c>
      <c r="L456" s="4" t="n">
        <f aca="false">(1/$J$4)*(1+AB455)</f>
        <v>10</v>
      </c>
      <c r="M456" s="4" t="n">
        <f aca="false">L456+MAX(K456,Y$10:Y455)</f>
        <v>4688.82985076217</v>
      </c>
      <c r="N456" s="4" t="n">
        <f aca="false">K456</f>
        <v>4460.66542787836</v>
      </c>
      <c r="O456" s="4" t="n">
        <f aca="false">M456-K456</f>
        <v>228.164422883807</v>
      </c>
      <c r="P456" s="4" t="n">
        <f aca="false">N456-K456</f>
        <v>0</v>
      </c>
      <c r="Q456" s="4" t="n">
        <f aca="false">A456-MATCH(K456,$M$9:M455,1)</f>
        <v>22</v>
      </c>
      <c r="R456" s="0" t="n">
        <f aca="false">-G456*(O456/3600)</f>
        <v>-0.511397449653134</v>
      </c>
      <c r="S456" s="0" t="n">
        <f aca="false">-1*I456-(H456*(P456/3600))</f>
        <v>-19.5</v>
      </c>
      <c r="T456" s="0" t="n">
        <f aca="false">-H456*(O456/3600)</f>
        <v>-0.107524228967741</v>
      </c>
      <c r="U456" s="0" t="n">
        <f aca="false">T456-S456</f>
        <v>19.3924757710323</v>
      </c>
      <c r="V456" s="0" t="n">
        <f aca="false">1/(1+EXP(U456))</f>
        <v>3.78403182713265E-009</v>
      </c>
      <c r="W456" s="0" t="n">
        <f aca="true">RAND()</f>
        <v>0.69461146819385</v>
      </c>
      <c r="X456" s="0" t="n">
        <f aca="false">IF(W456&lt;V456,1,0)</f>
        <v>0</v>
      </c>
      <c r="Y456" s="0" t="n">
        <f aca="false">(M456*(1-X456)+N456*X456)*D456+M456*E456</f>
        <v>4688.82985076217</v>
      </c>
      <c r="Z456" s="0" t="n">
        <f aca="false">((1-X456)*O456+X456*P456)*D456+E456*O456</f>
        <v>228.164422883807</v>
      </c>
      <c r="AA456" s="0" t="n">
        <f aca="false">IF(D456*X456&gt;0,AA455,Q456)</f>
        <v>22</v>
      </c>
      <c r="AB456" s="0" t="n">
        <f aca="false">(X456*D456)</f>
        <v>0</v>
      </c>
      <c r="AC456" s="0" t="n">
        <f aca="false">SUM(AB$10:AB455)/K456</f>
        <v>0</v>
      </c>
      <c r="AD456" s="0" t="n">
        <f aca="false">R456*E456+D456*(X456*S456+(1-X456)*T456)</f>
        <v>-0.511397449653134</v>
      </c>
      <c r="AE456" s="0" t="n">
        <f aca="false">Z456</f>
        <v>228.164422883807</v>
      </c>
      <c r="AF456" s="0" t="n">
        <f aca="false">E456*O456</f>
        <v>228.164422883807</v>
      </c>
      <c r="AG456" s="0" t="n">
        <f aca="false">((1-X456)*O456+X456*P456)*D456</f>
        <v>0</v>
      </c>
      <c r="AH456" s="0" t="n">
        <f aca="false">D456*(LN(EXP(S456)+EXP(T456)))</f>
        <v>-0</v>
      </c>
      <c r="AJ456" s="0" t="n">
        <f aca="false">$J$5</f>
        <v>10</v>
      </c>
      <c r="AK456" s="4" t="n">
        <f aca="false">AJ456+MAX(K456,AK$10:AK455)</f>
        <v>4688.82985076217</v>
      </c>
      <c r="AL456" s="5" t="n">
        <f aca="false">AK456-K456</f>
        <v>228.164422883807</v>
      </c>
      <c r="AM456" s="0" t="n">
        <f aca="false">-G456*AL456/3600</f>
        <v>-0.511397449653134</v>
      </c>
      <c r="AN456" s="0" t="n">
        <f aca="false">-H456*AL456/3600</f>
        <v>-0.107524228967741</v>
      </c>
      <c r="AO456" s="0" t="n">
        <f aca="false">AM456*E456+AN456*D456</f>
        <v>-0.511397449653134</v>
      </c>
      <c r="AP456" s="0" t="n">
        <f aca="false">AL456*D456</f>
        <v>0</v>
      </c>
      <c r="AR456" s="0" t="n">
        <f aca="false">AN456*D456</f>
        <v>-0</v>
      </c>
      <c r="AS456" s="0" t="n">
        <f aca="false">AH456-AR456</f>
        <v>0</v>
      </c>
    </row>
    <row r="457" customFormat="false" ht="12" hidden="false" customHeight="false" outlineLevel="0" collapsed="false">
      <c r="A457" s="3" t="n">
        <f aca="false">A456+1</f>
        <v>448</v>
      </c>
      <c r="B457" s="3" t="n">
        <f aca="false">IF(A457&lt;$N$4/3,0.1,(IF(A457&gt;2*$N$4/3,0.05,0.12)))</f>
        <v>0.12</v>
      </c>
      <c r="C457" s="4" t="n">
        <f aca="true">RAND()</f>
        <v>0.0322634217354443</v>
      </c>
      <c r="D457" s="0" t="n">
        <f aca="false">IF((C457&gt;$M$2),1,0)</f>
        <v>0</v>
      </c>
      <c r="E457" s="0" t="n">
        <f aca="false">1-D457</f>
        <v>1</v>
      </c>
      <c r="F457" s="0" t="n">
        <f aca="true">RAND()</f>
        <v>0.850043556754836</v>
      </c>
      <c r="G457" s="0" t="n">
        <f aca="false">7.75+F457*10</f>
        <v>16.2504355675484</v>
      </c>
      <c r="H457" s="0" t="n">
        <f aca="false">LOGINV(F457,2.64,1.139)</f>
        <v>45.6366184117095</v>
      </c>
      <c r="I457" s="0" t="n">
        <v>19.5</v>
      </c>
      <c r="J457" s="4" t="n">
        <f aca="true">-LN(RAND())/B457</f>
        <v>1.86469937760148</v>
      </c>
      <c r="K457" s="4" t="n">
        <f aca="false">K456+J457</f>
        <v>4462.53012725597</v>
      </c>
      <c r="L457" s="4" t="n">
        <f aca="false">(1/$J$4)*(1+AB456)</f>
        <v>10</v>
      </c>
      <c r="M457" s="4" t="n">
        <f aca="false">L457+MAX(K457,Y$10:Y456)</f>
        <v>4698.82985076217</v>
      </c>
      <c r="N457" s="4" t="n">
        <f aca="false">K457</f>
        <v>4462.53012725597</v>
      </c>
      <c r="O457" s="4" t="n">
        <f aca="false">M457-K457</f>
        <v>236.299723506206</v>
      </c>
      <c r="P457" s="4" t="n">
        <f aca="false">N457-K457</f>
        <v>0</v>
      </c>
      <c r="Q457" s="4" t="n">
        <f aca="false">A457-MATCH(K457,$M$9:M456,1)</f>
        <v>23</v>
      </c>
      <c r="R457" s="0" t="n">
        <f aca="false">-G457*(O457/3600)</f>
        <v>-1.06665928651864</v>
      </c>
      <c r="S457" s="0" t="n">
        <f aca="false">-1*I457-(H457*(P457/3600))</f>
        <v>-19.5</v>
      </c>
      <c r="T457" s="0" t="n">
        <f aca="false">-H457*(O457/3600)</f>
        <v>-2.99553342012366</v>
      </c>
      <c r="U457" s="0" t="n">
        <f aca="false">T457-S457</f>
        <v>16.5044665798763</v>
      </c>
      <c r="V457" s="0" t="n">
        <f aca="false">1/(1+EXP(U457))</f>
        <v>6.79518379718641E-008</v>
      </c>
      <c r="W457" s="0" t="n">
        <f aca="true">RAND()</f>
        <v>0.309931553295623</v>
      </c>
      <c r="X457" s="0" t="n">
        <f aca="false">IF(W457&lt;V457,1,0)</f>
        <v>0</v>
      </c>
      <c r="Y457" s="0" t="n">
        <f aca="false">(M457*(1-X457)+N457*X457)*D457+M457*E457</f>
        <v>4698.82985076217</v>
      </c>
      <c r="Z457" s="0" t="n">
        <f aca="false">((1-X457)*O457+X457*P457)*D457+E457*O457</f>
        <v>236.299723506206</v>
      </c>
      <c r="AA457" s="0" t="n">
        <f aca="false">IF(D457*X457&gt;0,AA456,Q457)</f>
        <v>23</v>
      </c>
      <c r="AB457" s="0" t="n">
        <f aca="false">(X457*D457)</f>
        <v>0</v>
      </c>
      <c r="AC457" s="0" t="n">
        <f aca="false">SUM(AB$10:AB456)/K457</f>
        <v>0</v>
      </c>
      <c r="AD457" s="0" t="n">
        <f aca="false">R457*E457+D457*(X457*S457+(1-X457)*T457)</f>
        <v>-1.06665928651864</v>
      </c>
      <c r="AE457" s="0" t="n">
        <f aca="false">Z457</f>
        <v>236.299723506206</v>
      </c>
      <c r="AF457" s="0" t="n">
        <f aca="false">E457*O457</f>
        <v>236.299723506206</v>
      </c>
      <c r="AG457" s="0" t="n">
        <f aca="false">((1-X457)*O457+X457*P457)*D457</f>
        <v>0</v>
      </c>
      <c r="AH457" s="0" t="n">
        <f aca="false">D457*(LN(EXP(S457)+EXP(T457)))</f>
        <v>-0</v>
      </c>
      <c r="AJ457" s="0" t="n">
        <f aca="false">$J$5</f>
        <v>10</v>
      </c>
      <c r="AK457" s="4" t="n">
        <f aca="false">AJ457+MAX(K457,AK$10:AK456)</f>
        <v>4698.82985076217</v>
      </c>
      <c r="AL457" s="5" t="n">
        <f aca="false">AK457-K457</f>
        <v>236.299723506206</v>
      </c>
      <c r="AM457" s="0" t="n">
        <f aca="false">-G457*AL457/3600</f>
        <v>-1.06665928651864</v>
      </c>
      <c r="AN457" s="0" t="n">
        <f aca="false">-H457*AL457/3600</f>
        <v>-2.99553342012366</v>
      </c>
      <c r="AO457" s="0" t="n">
        <f aca="false">AM457*E457+AN457*D457</f>
        <v>-1.06665928651864</v>
      </c>
      <c r="AP457" s="0" t="n">
        <f aca="false">AL457*D457</f>
        <v>0</v>
      </c>
      <c r="AR457" s="0" t="n">
        <f aca="false">AN457*D457</f>
        <v>-0</v>
      </c>
      <c r="AS457" s="0" t="n">
        <f aca="false">AH457-AR457</f>
        <v>0</v>
      </c>
    </row>
    <row r="458" customFormat="false" ht="12" hidden="false" customHeight="false" outlineLevel="0" collapsed="false">
      <c r="A458" s="3" t="n">
        <f aca="false">A457+1</f>
        <v>449</v>
      </c>
      <c r="B458" s="3" t="n">
        <f aca="false">IF(A458&lt;$N$4/3,0.1,(IF(A458&gt;2*$N$4/3,0.05,0.12)))</f>
        <v>0.12</v>
      </c>
      <c r="C458" s="4" t="n">
        <f aca="true">RAND()</f>
        <v>0.843612993826361</v>
      </c>
      <c r="D458" s="0" t="n">
        <f aca="false">IF((C458&gt;$M$2),1,0)</f>
        <v>0</v>
      </c>
      <c r="E458" s="0" t="n">
        <f aca="false">1-D458</f>
        <v>1</v>
      </c>
      <c r="F458" s="0" t="n">
        <f aca="true">RAND()</f>
        <v>0.327545254549205</v>
      </c>
      <c r="G458" s="0" t="n">
        <f aca="false">7.75+F458*10</f>
        <v>11.025452545492</v>
      </c>
      <c r="H458" s="0" t="n">
        <f aca="false">LOGINV(F458,2.64,1.139)</f>
        <v>8.425028425969</v>
      </c>
      <c r="I458" s="0" t="n">
        <v>19.5</v>
      </c>
      <c r="J458" s="4" t="n">
        <f aca="true">-LN(RAND())/B458</f>
        <v>3.33938224435517</v>
      </c>
      <c r="K458" s="4" t="n">
        <f aca="false">K457+J458</f>
        <v>4465.86950950032</v>
      </c>
      <c r="L458" s="4" t="n">
        <f aca="false">(1/$J$4)*(1+AB457)</f>
        <v>10</v>
      </c>
      <c r="M458" s="4" t="n">
        <f aca="false">L458+MAX(K458,Y$10:Y457)</f>
        <v>4708.82985076217</v>
      </c>
      <c r="N458" s="4" t="n">
        <f aca="false">K458</f>
        <v>4465.86950950032</v>
      </c>
      <c r="O458" s="4" t="n">
        <f aca="false">M458-K458</f>
        <v>242.960341261851</v>
      </c>
      <c r="P458" s="4" t="n">
        <f aca="false">N458-K458</f>
        <v>0</v>
      </c>
      <c r="Q458" s="4" t="n">
        <f aca="false">A458-MATCH(K458,$M$9:M457,1)</f>
        <v>24</v>
      </c>
      <c r="R458" s="0" t="n">
        <f aca="false">-G458*(O458/3600)</f>
        <v>-0.744096586949747</v>
      </c>
      <c r="S458" s="0" t="n">
        <f aca="false">-1*I458-(H458*(P458/3600))</f>
        <v>-19.5</v>
      </c>
      <c r="T458" s="0" t="n">
        <f aca="false">-H458*(O458/3600)</f>
        <v>-0.568596605976173</v>
      </c>
      <c r="U458" s="0" t="n">
        <f aca="false">T458-S458</f>
        <v>18.9314033940238</v>
      </c>
      <c r="V458" s="0" t="n">
        <f aca="false">1/(1+EXP(U458))</f>
        <v>6.00061783797159E-009</v>
      </c>
      <c r="W458" s="0" t="n">
        <f aca="true">RAND()</f>
        <v>0.540337640595982</v>
      </c>
      <c r="X458" s="0" t="n">
        <f aca="false">IF(W458&lt;V458,1,0)</f>
        <v>0</v>
      </c>
      <c r="Y458" s="0" t="n">
        <f aca="false">(M458*(1-X458)+N458*X458)*D458+M458*E458</f>
        <v>4708.82985076217</v>
      </c>
      <c r="Z458" s="0" t="n">
        <f aca="false">((1-X458)*O458+X458*P458)*D458+E458*O458</f>
        <v>242.960341261851</v>
      </c>
      <c r="AA458" s="0" t="n">
        <f aca="false">IF(D458*X458&gt;0,AA457,Q458)</f>
        <v>24</v>
      </c>
      <c r="AB458" s="0" t="n">
        <f aca="false">(X458*D458)</f>
        <v>0</v>
      </c>
      <c r="AC458" s="0" t="n">
        <f aca="false">SUM(AB$10:AB457)/K458</f>
        <v>0</v>
      </c>
      <c r="AD458" s="0" t="n">
        <f aca="false">R458*E458+D458*(X458*S458+(1-X458)*T458)</f>
        <v>-0.744096586949747</v>
      </c>
      <c r="AE458" s="0" t="n">
        <f aca="false">Z458</f>
        <v>242.960341261851</v>
      </c>
      <c r="AF458" s="0" t="n">
        <f aca="false">E458*O458</f>
        <v>242.960341261851</v>
      </c>
      <c r="AG458" s="0" t="n">
        <f aca="false">((1-X458)*O458+X458*P458)*D458</f>
        <v>0</v>
      </c>
      <c r="AH458" s="0" t="n">
        <f aca="false">D458*(LN(EXP(S458)+EXP(T458)))</f>
        <v>-0</v>
      </c>
      <c r="AJ458" s="0" t="n">
        <f aca="false">$J$5</f>
        <v>10</v>
      </c>
      <c r="AK458" s="4" t="n">
        <f aca="false">AJ458+MAX(K458,AK$10:AK457)</f>
        <v>4708.82985076217</v>
      </c>
      <c r="AL458" s="5" t="n">
        <f aca="false">AK458-K458</f>
        <v>242.960341261851</v>
      </c>
      <c r="AM458" s="0" t="n">
        <f aca="false">-G458*AL458/3600</f>
        <v>-0.744096586949747</v>
      </c>
      <c r="AN458" s="0" t="n">
        <f aca="false">-H458*AL458/3600</f>
        <v>-0.568596605976173</v>
      </c>
      <c r="AO458" s="0" t="n">
        <f aca="false">AM458*E458+AN458*D458</f>
        <v>-0.744096586949747</v>
      </c>
      <c r="AP458" s="0" t="n">
        <f aca="false">AL458*D458</f>
        <v>0</v>
      </c>
      <c r="AR458" s="0" t="n">
        <f aca="false">AN458*D458</f>
        <v>-0</v>
      </c>
      <c r="AS458" s="0" t="n">
        <f aca="false">AH458-AR458</f>
        <v>0</v>
      </c>
    </row>
    <row r="459" customFormat="false" ht="12" hidden="false" customHeight="false" outlineLevel="0" collapsed="false">
      <c r="A459" s="3" t="n">
        <f aca="false">A458+1</f>
        <v>450</v>
      </c>
      <c r="B459" s="3" t="n">
        <f aca="false">IF(A459&lt;$N$4/3,0.1,(IF(A459&gt;2*$N$4/3,0.05,0.12)))</f>
        <v>0.12</v>
      </c>
      <c r="C459" s="4" t="n">
        <f aca="true">RAND()</f>
        <v>0.2953862183918</v>
      </c>
      <c r="D459" s="0" t="n">
        <f aca="false">IF((C459&gt;$M$2),1,0)</f>
        <v>0</v>
      </c>
      <c r="E459" s="0" t="n">
        <f aca="false">1-D459</f>
        <v>1</v>
      </c>
      <c r="F459" s="0" t="n">
        <f aca="true">RAND()</f>
        <v>0.418345576165835</v>
      </c>
      <c r="G459" s="0" t="n">
        <f aca="false">7.75+F459*10</f>
        <v>11.9334557616584</v>
      </c>
      <c r="H459" s="0" t="n">
        <f aca="false">LOGINV(F459,2.64,1.139)</f>
        <v>11.0808737417776</v>
      </c>
      <c r="I459" s="0" t="n">
        <v>19.5</v>
      </c>
      <c r="J459" s="4" t="n">
        <f aca="true">-LN(RAND())/B459</f>
        <v>12.0648016735053</v>
      </c>
      <c r="K459" s="4" t="n">
        <f aca="false">K458+J459</f>
        <v>4477.93431117383</v>
      </c>
      <c r="L459" s="4" t="n">
        <f aca="false">(1/$J$4)*(1+AB458)</f>
        <v>10</v>
      </c>
      <c r="M459" s="4" t="n">
        <f aca="false">L459+MAX(K459,Y$10:Y458)</f>
        <v>4718.82985076217</v>
      </c>
      <c r="N459" s="4" t="n">
        <f aca="false">K459</f>
        <v>4477.93431117383</v>
      </c>
      <c r="O459" s="4" t="n">
        <f aca="false">M459-K459</f>
        <v>240.895539588346</v>
      </c>
      <c r="P459" s="4" t="n">
        <f aca="false">N459-K459</f>
        <v>0</v>
      </c>
      <c r="Q459" s="4" t="n">
        <f aca="false">A459-MATCH(K459,$M$9:M458,1)</f>
        <v>24</v>
      </c>
      <c r="R459" s="0" t="n">
        <f aca="false">-G459*(O459/3600)</f>
        <v>-0.798532295793985</v>
      </c>
      <c r="S459" s="0" t="n">
        <f aca="false">-1*I459-(H459*(P459/3600))</f>
        <v>-19.5</v>
      </c>
      <c r="T459" s="0" t="n">
        <f aca="false">-H459*(O459/3600)</f>
        <v>-0.741481405315513</v>
      </c>
      <c r="U459" s="0" t="n">
        <f aca="false">T459-S459</f>
        <v>18.7585185946845</v>
      </c>
      <c r="V459" s="0" t="n">
        <f aca="false">1/(1+EXP(U459))</f>
        <v>7.13310936280255E-009</v>
      </c>
      <c r="W459" s="0" t="n">
        <f aca="true">RAND()</f>
        <v>0.431895610393158</v>
      </c>
      <c r="X459" s="0" t="n">
        <f aca="false">IF(W459&lt;V459,1,0)</f>
        <v>0</v>
      </c>
      <c r="Y459" s="0" t="n">
        <f aca="false">(M459*(1-X459)+N459*X459)*D459+M459*E459</f>
        <v>4718.82985076217</v>
      </c>
      <c r="Z459" s="0" t="n">
        <f aca="false">((1-X459)*O459+X459*P459)*D459+E459*O459</f>
        <v>240.895539588346</v>
      </c>
      <c r="AA459" s="0" t="n">
        <f aca="false">IF(D459*X459&gt;0,AA458,Q459)</f>
        <v>24</v>
      </c>
      <c r="AB459" s="0" t="n">
        <f aca="false">(X459*D459)</f>
        <v>0</v>
      </c>
      <c r="AC459" s="0" t="n">
        <f aca="false">SUM(AB$10:AB458)/K459</f>
        <v>0</v>
      </c>
      <c r="AD459" s="0" t="n">
        <f aca="false">R459*E459+D459*(X459*S459+(1-X459)*T459)</f>
        <v>-0.798532295793985</v>
      </c>
      <c r="AE459" s="0" t="n">
        <f aca="false">Z459</f>
        <v>240.895539588346</v>
      </c>
      <c r="AF459" s="0" t="n">
        <f aca="false">E459*O459</f>
        <v>240.895539588346</v>
      </c>
      <c r="AG459" s="0" t="n">
        <f aca="false">((1-X459)*O459+X459*P459)*D459</f>
        <v>0</v>
      </c>
      <c r="AH459" s="0" t="n">
        <f aca="false">D459*(LN(EXP(S459)+EXP(T459)))</f>
        <v>-0</v>
      </c>
      <c r="AJ459" s="0" t="n">
        <f aca="false">$J$5</f>
        <v>10</v>
      </c>
      <c r="AK459" s="4" t="n">
        <f aca="false">AJ459+MAX(K459,AK$10:AK458)</f>
        <v>4718.82985076217</v>
      </c>
      <c r="AL459" s="5" t="n">
        <f aca="false">AK459-K459</f>
        <v>240.895539588346</v>
      </c>
      <c r="AM459" s="0" t="n">
        <f aca="false">-G459*AL459/3600</f>
        <v>-0.798532295793984</v>
      </c>
      <c r="AN459" s="0" t="n">
        <f aca="false">-H459*AL459/3600</f>
        <v>-0.741481405315513</v>
      </c>
      <c r="AO459" s="0" t="n">
        <f aca="false">AM459*E459+AN459*D459</f>
        <v>-0.798532295793984</v>
      </c>
      <c r="AP459" s="0" t="n">
        <f aca="false">AL459*D459</f>
        <v>0</v>
      </c>
      <c r="AR459" s="0" t="n">
        <f aca="false">AN459*D459</f>
        <v>-0</v>
      </c>
      <c r="AS459" s="0" t="n">
        <f aca="false">AH459-AR459</f>
        <v>0</v>
      </c>
    </row>
    <row r="460" customFormat="false" ht="12" hidden="false" customHeight="false" outlineLevel="0" collapsed="false">
      <c r="A460" s="3" t="n">
        <f aca="false">A459+1</f>
        <v>451</v>
      </c>
      <c r="B460" s="3" t="n">
        <f aca="false">IF(A460&lt;$N$4/3,0.1,(IF(A460&gt;2*$N$4/3,0.05,0.12)))</f>
        <v>0.12</v>
      </c>
      <c r="C460" s="4" t="n">
        <f aca="true">RAND()</f>
        <v>0.966836991459128</v>
      </c>
      <c r="D460" s="0" t="n">
        <f aca="false">IF((C460&gt;$M$2),1,0)</f>
        <v>1</v>
      </c>
      <c r="E460" s="0" t="n">
        <f aca="false">1-D460</f>
        <v>0</v>
      </c>
      <c r="F460" s="0" t="n">
        <f aca="true">RAND()</f>
        <v>0.955594853764063</v>
      </c>
      <c r="G460" s="0" t="n">
        <f aca="false">7.75+F460*10</f>
        <v>17.3059485376406</v>
      </c>
      <c r="H460" s="0" t="n">
        <f aca="false">LOGINV(F460,2.64,1.139)</f>
        <v>97.3433446748145</v>
      </c>
      <c r="I460" s="0" t="n">
        <v>19.5</v>
      </c>
      <c r="J460" s="4" t="n">
        <f aca="true">-LN(RAND())/B460</f>
        <v>32.6913780785926</v>
      </c>
      <c r="K460" s="4" t="n">
        <f aca="false">K459+J460</f>
        <v>4510.62568925242</v>
      </c>
      <c r="L460" s="4" t="n">
        <f aca="false">(1/$J$4)*(1+AB459)</f>
        <v>10</v>
      </c>
      <c r="M460" s="4" t="n">
        <f aca="false">L460+MAX(K460,Y$10:Y459)</f>
        <v>4728.82985076217</v>
      </c>
      <c r="N460" s="4" t="n">
        <f aca="false">K460</f>
        <v>4510.62568925242</v>
      </c>
      <c r="O460" s="4" t="n">
        <f aca="false">M460-K460</f>
        <v>218.204161509753</v>
      </c>
      <c r="P460" s="4" t="n">
        <f aca="false">N460-K460</f>
        <v>0</v>
      </c>
      <c r="Q460" s="4" t="n">
        <f aca="false">A460-MATCH(K460,$M$9:M459,1)</f>
        <v>21</v>
      </c>
      <c r="R460" s="0" t="n">
        <f aca="false">-G460*(O460/3600)</f>
        <v>-1.04895277494078</v>
      </c>
      <c r="S460" s="0" t="n">
        <f aca="false">-1*I460-(H460*(P460/3600))</f>
        <v>-19.5</v>
      </c>
      <c r="T460" s="0" t="n">
        <f aca="false">-H460*(O460/3600)</f>
        <v>-5.90020080647856</v>
      </c>
      <c r="U460" s="0" t="n">
        <f aca="false">T460-S460</f>
        <v>13.5997991935214</v>
      </c>
      <c r="V460" s="0" t="n">
        <f aca="false">1/(1+EXP(U460))</f>
        <v>1.24074266497318E-006</v>
      </c>
      <c r="W460" s="0" t="n">
        <f aca="true">RAND()</f>
        <v>0.0710221953325989</v>
      </c>
      <c r="X460" s="0" t="n">
        <f aca="false">IF(W460&lt;V460,1,0)</f>
        <v>0</v>
      </c>
      <c r="Y460" s="0" t="n">
        <f aca="false">(M460*(1-X460)+N460*X460)*D460+M460*E460</f>
        <v>4728.82985076217</v>
      </c>
      <c r="Z460" s="0" t="n">
        <f aca="false">((1-X460)*O460+X460*P460)*D460+E460*O460</f>
        <v>218.204161509753</v>
      </c>
      <c r="AA460" s="0" t="n">
        <f aca="false">IF(D460*X460&gt;0,AA459,Q460)</f>
        <v>21</v>
      </c>
      <c r="AB460" s="0" t="n">
        <f aca="false">(X460*D460)</f>
        <v>0</v>
      </c>
      <c r="AC460" s="0" t="n">
        <f aca="false">SUM(AB$10:AB459)/K460</f>
        <v>0</v>
      </c>
      <c r="AD460" s="0" t="n">
        <f aca="false">R460*E460+D460*(X460*S460+(1-X460)*T460)</f>
        <v>-5.90020080647856</v>
      </c>
      <c r="AE460" s="0" t="n">
        <f aca="false">Z460</f>
        <v>218.204161509753</v>
      </c>
      <c r="AF460" s="0" t="n">
        <f aca="false">E460*O460</f>
        <v>0</v>
      </c>
      <c r="AG460" s="0" t="n">
        <f aca="false">((1-X460)*O460+X460*P460)*D460</f>
        <v>218.204161509753</v>
      </c>
      <c r="AH460" s="0" t="n">
        <f aca="false">D460*(LN(EXP(S460)+EXP(T460)))</f>
        <v>-5.90019956573512</v>
      </c>
      <c r="AJ460" s="0" t="n">
        <f aca="false">$J$5</f>
        <v>10</v>
      </c>
      <c r="AK460" s="4" t="n">
        <f aca="false">AJ460+MAX(K460,AK$10:AK459)</f>
        <v>4728.82985076217</v>
      </c>
      <c r="AL460" s="5" t="n">
        <f aca="false">AK460-K460</f>
        <v>218.204161509753</v>
      </c>
      <c r="AM460" s="0" t="n">
        <f aca="false">-G460*AL460/3600</f>
        <v>-1.04895277494078</v>
      </c>
      <c r="AN460" s="0" t="n">
        <f aca="false">-H460*AL460/3600</f>
        <v>-5.90020080647856</v>
      </c>
      <c r="AO460" s="0" t="n">
        <f aca="false">AM460*E460+AN460*D460</f>
        <v>-5.90020080647856</v>
      </c>
      <c r="AP460" s="0" t="n">
        <f aca="false">AL460*D460</f>
        <v>218.204161509753</v>
      </c>
      <c r="AR460" s="0" t="n">
        <f aca="false">AN460*D460</f>
        <v>-5.90020080647856</v>
      </c>
      <c r="AS460" s="0" t="n">
        <f aca="false">AH460-AR460</f>
        <v>1.2407434359929E-006</v>
      </c>
    </row>
    <row r="461" customFormat="false" ht="12" hidden="false" customHeight="false" outlineLevel="0" collapsed="false">
      <c r="A461" s="3" t="n">
        <f aca="false">A460+1</f>
        <v>452</v>
      </c>
      <c r="B461" s="3" t="n">
        <f aca="false">IF(A461&lt;$N$4/3,0.1,(IF(A461&gt;2*$N$4/3,0.05,0.12)))</f>
        <v>0.12</v>
      </c>
      <c r="C461" s="4" t="n">
        <f aca="true">RAND()</f>
        <v>0.528195949835069</v>
      </c>
      <c r="D461" s="0" t="n">
        <f aca="false">IF((C461&gt;$M$2),1,0)</f>
        <v>0</v>
      </c>
      <c r="E461" s="0" t="n">
        <f aca="false">1-D461</f>
        <v>1</v>
      </c>
      <c r="F461" s="0" t="n">
        <f aca="true">RAND()</f>
        <v>0.583429951574892</v>
      </c>
      <c r="G461" s="0" t="n">
        <f aca="false">7.75+F461*10</f>
        <v>13.5842995157489</v>
      </c>
      <c r="H461" s="0" t="n">
        <f aca="false">LOGINV(F461,2.64,1.139)</f>
        <v>17.8135601546615</v>
      </c>
      <c r="I461" s="0" t="n">
        <v>19.5</v>
      </c>
      <c r="J461" s="4" t="n">
        <f aca="true">-LN(RAND())/B461</f>
        <v>11.8665999802786</v>
      </c>
      <c r="K461" s="4" t="n">
        <f aca="false">K460+J461</f>
        <v>4522.4922892327</v>
      </c>
      <c r="L461" s="4" t="n">
        <f aca="false">(1/$J$4)*(1+AB460)</f>
        <v>10</v>
      </c>
      <c r="M461" s="4" t="n">
        <f aca="false">L461+MAX(K461,Y$10:Y460)</f>
        <v>4738.82985076217</v>
      </c>
      <c r="N461" s="4" t="n">
        <f aca="false">K461</f>
        <v>4522.4922892327</v>
      </c>
      <c r="O461" s="4" t="n">
        <f aca="false">M461-K461</f>
        <v>216.337561529474</v>
      </c>
      <c r="P461" s="4" t="n">
        <f aca="false">N461-K461</f>
        <v>0</v>
      </c>
      <c r="Q461" s="4" t="n">
        <f aca="false">A461-MATCH(K461,$M$9:M460,1)</f>
        <v>21</v>
      </c>
      <c r="R461" s="0" t="n">
        <f aca="false">-G461*(O461/3600)</f>
        <v>-0.816331731200873</v>
      </c>
      <c r="S461" s="0" t="n">
        <f aca="false">-1*I461-(H461*(P461/3600))</f>
        <v>-19.5</v>
      </c>
      <c r="T461" s="0" t="n">
        <f aca="false">-H461*(O461/3600)</f>
        <v>-1.07048393500502</v>
      </c>
      <c r="U461" s="0" t="n">
        <f aca="false">T461-S461</f>
        <v>18.429516064995</v>
      </c>
      <c r="V461" s="0" t="n">
        <f aca="false">1/(1+EXP(U461))</f>
        <v>9.91203585883172E-009</v>
      </c>
      <c r="W461" s="0" t="n">
        <f aca="true">RAND()</f>
        <v>0.693550139451968</v>
      </c>
      <c r="X461" s="0" t="n">
        <f aca="false">IF(W461&lt;V461,1,0)</f>
        <v>0</v>
      </c>
      <c r="Y461" s="0" t="n">
        <f aca="false">(M461*(1-X461)+N461*X461)*D461+M461*E461</f>
        <v>4738.82985076217</v>
      </c>
      <c r="Z461" s="0" t="n">
        <f aca="false">((1-X461)*O461+X461*P461)*D461+E461*O461</f>
        <v>216.337561529474</v>
      </c>
      <c r="AA461" s="0" t="n">
        <f aca="false">IF(D461*X461&gt;0,AA460,Q461)</f>
        <v>21</v>
      </c>
      <c r="AB461" s="0" t="n">
        <f aca="false">(X461*D461)</f>
        <v>0</v>
      </c>
      <c r="AC461" s="0" t="n">
        <f aca="false">SUM(AB$10:AB460)/K461</f>
        <v>0</v>
      </c>
      <c r="AD461" s="0" t="n">
        <f aca="false">R461*E461+D461*(X461*S461+(1-X461)*T461)</f>
        <v>-0.816331731200873</v>
      </c>
      <c r="AE461" s="0" t="n">
        <f aca="false">Z461</f>
        <v>216.337561529474</v>
      </c>
      <c r="AF461" s="0" t="n">
        <f aca="false">E461*O461</f>
        <v>216.337561529474</v>
      </c>
      <c r="AG461" s="0" t="n">
        <f aca="false">((1-X461)*O461+X461*P461)*D461</f>
        <v>0</v>
      </c>
      <c r="AH461" s="0" t="n">
        <f aca="false">D461*(LN(EXP(S461)+EXP(T461)))</f>
        <v>-0</v>
      </c>
      <c r="AJ461" s="0" t="n">
        <f aca="false">$J$5</f>
        <v>10</v>
      </c>
      <c r="AK461" s="4" t="n">
        <f aca="false">AJ461+MAX(K461,AK$10:AK460)</f>
        <v>4738.82985076217</v>
      </c>
      <c r="AL461" s="5" t="n">
        <f aca="false">AK461-K461</f>
        <v>216.337561529474</v>
      </c>
      <c r="AM461" s="0" t="n">
        <f aca="false">-G461*AL461/3600</f>
        <v>-0.816331731200873</v>
      </c>
      <c r="AN461" s="0" t="n">
        <f aca="false">-H461*AL461/3600</f>
        <v>-1.07048393500502</v>
      </c>
      <c r="AO461" s="0" t="n">
        <f aca="false">AM461*E461+AN461*D461</f>
        <v>-0.816331731200873</v>
      </c>
      <c r="AP461" s="0" t="n">
        <f aca="false">AL461*D461</f>
        <v>0</v>
      </c>
      <c r="AR461" s="0" t="n">
        <f aca="false">AN461*D461</f>
        <v>-0</v>
      </c>
      <c r="AS461" s="0" t="n">
        <f aca="false">AH461-AR461</f>
        <v>0</v>
      </c>
    </row>
    <row r="462" customFormat="false" ht="12" hidden="false" customHeight="false" outlineLevel="0" collapsed="false">
      <c r="A462" s="3" t="n">
        <f aca="false">A461+1</f>
        <v>453</v>
      </c>
      <c r="B462" s="3" t="n">
        <f aca="false">IF(A462&lt;$N$4/3,0.1,(IF(A462&gt;2*$N$4/3,0.05,0.12)))</f>
        <v>0.12</v>
      </c>
      <c r="C462" s="4" t="n">
        <f aca="true">RAND()</f>
        <v>0.574333905405248</v>
      </c>
      <c r="D462" s="0" t="n">
        <f aca="false">IF((C462&gt;$M$2),1,0)</f>
        <v>0</v>
      </c>
      <c r="E462" s="0" t="n">
        <f aca="false">1-D462</f>
        <v>1</v>
      </c>
      <c r="F462" s="0" t="n">
        <f aca="true">RAND()</f>
        <v>0.58295632070469</v>
      </c>
      <c r="G462" s="0" t="n">
        <f aca="false">7.75+F462*10</f>
        <v>13.5795632070469</v>
      </c>
      <c r="H462" s="0" t="n">
        <f aca="false">LOGINV(F462,2.64,1.139)</f>
        <v>17.7889515630221</v>
      </c>
      <c r="I462" s="0" t="n">
        <v>19.5</v>
      </c>
      <c r="J462" s="4" t="n">
        <f aca="true">-LN(RAND())/B462</f>
        <v>8.85987331490054</v>
      </c>
      <c r="K462" s="4" t="n">
        <f aca="false">K461+J462</f>
        <v>4531.3521625476</v>
      </c>
      <c r="L462" s="4" t="n">
        <f aca="false">(1/$J$4)*(1+AB461)</f>
        <v>10</v>
      </c>
      <c r="M462" s="4" t="n">
        <f aca="false">L462+MAX(K462,Y$10:Y461)</f>
        <v>4748.82985076217</v>
      </c>
      <c r="N462" s="4" t="n">
        <f aca="false">K462</f>
        <v>4531.3521625476</v>
      </c>
      <c r="O462" s="4" t="n">
        <f aca="false">M462-K462</f>
        <v>217.477688214574</v>
      </c>
      <c r="P462" s="4" t="n">
        <f aca="false">N462-K462</f>
        <v>0</v>
      </c>
      <c r="Q462" s="4" t="n">
        <f aca="false">A462-MATCH(K462,$M$9:M461,1)</f>
        <v>21</v>
      </c>
      <c r="R462" s="0" t="n">
        <f aca="false">-G462*(O462/3600)</f>
        <v>-0.820347781453403</v>
      </c>
      <c r="S462" s="0" t="n">
        <f aca="false">-1*I462-(H462*(P462/3600))</f>
        <v>-19.5</v>
      </c>
      <c r="T462" s="0" t="n">
        <f aca="false">-H462*(O462/3600)</f>
        <v>-1.07463890602419</v>
      </c>
      <c r="U462" s="0" t="n">
        <f aca="false">T462-S462</f>
        <v>18.4253610939758</v>
      </c>
      <c r="V462" s="0" t="n">
        <f aca="false">1/(1+EXP(U462))</f>
        <v>9.95330575840168E-009</v>
      </c>
      <c r="W462" s="0" t="n">
        <f aca="true">RAND()</f>
        <v>0.0221673279751904</v>
      </c>
      <c r="X462" s="0" t="n">
        <f aca="false">IF(W462&lt;V462,1,0)</f>
        <v>0</v>
      </c>
      <c r="Y462" s="0" t="n">
        <f aca="false">(M462*(1-X462)+N462*X462)*D462+M462*E462</f>
        <v>4748.82985076217</v>
      </c>
      <c r="Z462" s="0" t="n">
        <f aca="false">((1-X462)*O462+X462*P462)*D462+E462*O462</f>
        <v>217.477688214574</v>
      </c>
      <c r="AA462" s="0" t="n">
        <f aca="false">IF(D462*X462&gt;0,AA461,Q462)</f>
        <v>21</v>
      </c>
      <c r="AB462" s="0" t="n">
        <f aca="false">(X462*D462)</f>
        <v>0</v>
      </c>
      <c r="AC462" s="0" t="n">
        <f aca="false">SUM(AB$10:AB461)/K462</f>
        <v>0</v>
      </c>
      <c r="AD462" s="0" t="n">
        <f aca="false">R462*E462+D462*(X462*S462+(1-X462)*T462)</f>
        <v>-0.820347781453403</v>
      </c>
      <c r="AE462" s="0" t="n">
        <f aca="false">Z462</f>
        <v>217.477688214574</v>
      </c>
      <c r="AF462" s="0" t="n">
        <f aca="false">E462*O462</f>
        <v>217.477688214574</v>
      </c>
      <c r="AG462" s="0" t="n">
        <f aca="false">((1-X462)*O462+X462*P462)*D462</f>
        <v>0</v>
      </c>
      <c r="AH462" s="0" t="n">
        <f aca="false">D462*(LN(EXP(S462)+EXP(T462)))</f>
        <v>-0</v>
      </c>
      <c r="AJ462" s="0" t="n">
        <f aca="false">$J$5</f>
        <v>10</v>
      </c>
      <c r="AK462" s="4" t="n">
        <f aca="false">AJ462+MAX(K462,AK$10:AK461)</f>
        <v>4748.82985076217</v>
      </c>
      <c r="AL462" s="5" t="n">
        <f aca="false">AK462-K462</f>
        <v>217.477688214574</v>
      </c>
      <c r="AM462" s="0" t="n">
        <f aca="false">-G462*AL462/3600</f>
        <v>-0.820347781453403</v>
      </c>
      <c r="AN462" s="0" t="n">
        <f aca="false">-H462*AL462/3600</f>
        <v>-1.07463890602419</v>
      </c>
      <c r="AO462" s="0" t="n">
        <f aca="false">AM462*E462+AN462*D462</f>
        <v>-0.820347781453403</v>
      </c>
      <c r="AP462" s="0" t="n">
        <f aca="false">AL462*D462</f>
        <v>0</v>
      </c>
      <c r="AR462" s="0" t="n">
        <f aca="false">AN462*D462</f>
        <v>-0</v>
      </c>
      <c r="AS462" s="0" t="n">
        <f aca="false">AH462-AR462</f>
        <v>0</v>
      </c>
    </row>
    <row r="463" customFormat="false" ht="12" hidden="false" customHeight="false" outlineLevel="0" collapsed="false">
      <c r="A463" s="3" t="n">
        <f aca="false">A462+1</f>
        <v>454</v>
      </c>
      <c r="B463" s="3" t="n">
        <f aca="false">IF(A463&lt;$N$4/3,0.1,(IF(A463&gt;2*$N$4/3,0.05,0.12)))</f>
        <v>0.12</v>
      </c>
      <c r="C463" s="4" t="n">
        <f aca="true">RAND()</f>
        <v>0.510638271040885</v>
      </c>
      <c r="D463" s="0" t="n">
        <f aca="false">IF((C463&gt;$M$2),1,0)</f>
        <v>0</v>
      </c>
      <c r="E463" s="0" t="n">
        <f aca="false">1-D463</f>
        <v>1</v>
      </c>
      <c r="F463" s="0" t="n">
        <f aca="true">RAND()</f>
        <v>0.867040175484646</v>
      </c>
      <c r="G463" s="0" t="n">
        <f aca="false">7.75+F463*10</f>
        <v>16.4204017548465</v>
      </c>
      <c r="H463" s="0" t="n">
        <f aca="false">LOGINV(F463,2.64,1.139)</f>
        <v>49.7567927525353</v>
      </c>
      <c r="I463" s="0" t="n">
        <v>19.5</v>
      </c>
      <c r="J463" s="4" t="n">
        <f aca="true">-LN(RAND())/B463</f>
        <v>14.8221521726618</v>
      </c>
      <c r="K463" s="4" t="n">
        <f aca="false">K462+J463</f>
        <v>4546.17431472026</v>
      </c>
      <c r="L463" s="4" t="n">
        <f aca="false">(1/$J$4)*(1+AB462)</f>
        <v>10</v>
      </c>
      <c r="M463" s="4" t="n">
        <f aca="false">L463+MAX(K463,Y$10:Y462)</f>
        <v>4758.82985076217</v>
      </c>
      <c r="N463" s="4" t="n">
        <f aca="false">K463</f>
        <v>4546.17431472026</v>
      </c>
      <c r="O463" s="4" t="n">
        <f aca="false">M463-K463</f>
        <v>212.655536041912</v>
      </c>
      <c r="P463" s="4" t="n">
        <f aca="false">N463-K463</f>
        <v>0</v>
      </c>
      <c r="Q463" s="4" t="n">
        <f aca="false">A463-MATCH(K463,$M$9:M462,1)</f>
        <v>21</v>
      </c>
      <c r="R463" s="0" t="n">
        <f aca="false">-G463*(O463/3600)</f>
        <v>-0.969969260333454</v>
      </c>
      <c r="S463" s="0" t="n">
        <f aca="false">-1*I463-(H463*(P463/3600))</f>
        <v>-19.5</v>
      </c>
      <c r="T463" s="0" t="n">
        <f aca="false">-H463*(O463/3600)</f>
        <v>-2.93918262069909</v>
      </c>
      <c r="U463" s="0" t="n">
        <f aca="false">T463-S463</f>
        <v>16.5608173793009</v>
      </c>
      <c r="V463" s="0" t="n">
        <f aca="false">1/(1+EXP(U463))</f>
        <v>6.4228587093456E-008</v>
      </c>
      <c r="W463" s="0" t="n">
        <f aca="true">RAND()</f>
        <v>0.47839695498385</v>
      </c>
      <c r="X463" s="0" t="n">
        <f aca="false">IF(W463&lt;V463,1,0)</f>
        <v>0</v>
      </c>
      <c r="Y463" s="0" t="n">
        <f aca="false">(M463*(1-X463)+N463*X463)*D463+M463*E463</f>
        <v>4758.82985076217</v>
      </c>
      <c r="Z463" s="0" t="n">
        <f aca="false">((1-X463)*O463+X463*P463)*D463+E463*O463</f>
        <v>212.655536041912</v>
      </c>
      <c r="AA463" s="0" t="n">
        <f aca="false">IF(D463*X463&gt;0,AA462,Q463)</f>
        <v>21</v>
      </c>
      <c r="AB463" s="0" t="n">
        <f aca="false">(X463*D463)</f>
        <v>0</v>
      </c>
      <c r="AC463" s="0" t="n">
        <f aca="false">SUM(AB$10:AB462)/K463</f>
        <v>0</v>
      </c>
      <c r="AD463" s="0" t="n">
        <f aca="false">R463*E463+D463*(X463*S463+(1-X463)*T463)</f>
        <v>-0.969969260333454</v>
      </c>
      <c r="AE463" s="0" t="n">
        <f aca="false">Z463</f>
        <v>212.655536041912</v>
      </c>
      <c r="AF463" s="0" t="n">
        <f aca="false">E463*O463</f>
        <v>212.655536041912</v>
      </c>
      <c r="AG463" s="0" t="n">
        <f aca="false">((1-X463)*O463+X463*P463)*D463</f>
        <v>0</v>
      </c>
      <c r="AH463" s="0" t="n">
        <f aca="false">D463*(LN(EXP(S463)+EXP(T463)))</f>
        <v>-0</v>
      </c>
      <c r="AJ463" s="0" t="n">
        <f aca="false">$J$5</f>
        <v>10</v>
      </c>
      <c r="AK463" s="4" t="n">
        <f aca="false">AJ463+MAX(K463,AK$10:AK462)</f>
        <v>4758.82985076217</v>
      </c>
      <c r="AL463" s="5" t="n">
        <f aca="false">AK463-K463</f>
        <v>212.655536041912</v>
      </c>
      <c r="AM463" s="0" t="n">
        <f aca="false">-G463*AL463/3600</f>
        <v>-0.969969260333454</v>
      </c>
      <c r="AN463" s="0" t="n">
        <f aca="false">-H463*AL463/3600</f>
        <v>-2.93918262069909</v>
      </c>
      <c r="AO463" s="0" t="n">
        <f aca="false">AM463*E463+AN463*D463</f>
        <v>-0.969969260333454</v>
      </c>
      <c r="AP463" s="0" t="n">
        <f aca="false">AL463*D463</f>
        <v>0</v>
      </c>
      <c r="AR463" s="0" t="n">
        <f aca="false">AN463*D463</f>
        <v>-0</v>
      </c>
      <c r="AS463" s="0" t="n">
        <f aca="false">AH463-AR463</f>
        <v>0</v>
      </c>
    </row>
    <row r="464" customFormat="false" ht="12" hidden="false" customHeight="false" outlineLevel="0" collapsed="false">
      <c r="A464" s="3" t="n">
        <f aca="false">A463+1</f>
        <v>455</v>
      </c>
      <c r="B464" s="3" t="n">
        <f aca="false">IF(A464&lt;$N$4/3,0.1,(IF(A464&gt;2*$N$4/3,0.05,0.12)))</f>
        <v>0.12</v>
      </c>
      <c r="C464" s="4" t="n">
        <f aca="true">RAND()</f>
        <v>0.479536578349026</v>
      </c>
      <c r="D464" s="0" t="n">
        <f aca="false">IF((C464&gt;$M$2),1,0)</f>
        <v>0</v>
      </c>
      <c r="E464" s="0" t="n">
        <f aca="false">1-D464</f>
        <v>1</v>
      </c>
      <c r="F464" s="0" t="n">
        <f aca="true">RAND()</f>
        <v>0.589490564145937</v>
      </c>
      <c r="G464" s="0" t="n">
        <f aca="false">7.75+F464*10</f>
        <v>13.6449056414594</v>
      </c>
      <c r="H464" s="0" t="n">
        <f aca="false">LOGINV(F464,2.64,1.139)</f>
        <v>18.1320545305973</v>
      </c>
      <c r="I464" s="0" t="n">
        <v>19.5</v>
      </c>
      <c r="J464" s="4" t="n">
        <f aca="true">-LN(RAND())/B464</f>
        <v>0.987319347476221</v>
      </c>
      <c r="K464" s="4" t="n">
        <f aca="false">K463+J464</f>
        <v>4547.16163406774</v>
      </c>
      <c r="L464" s="4" t="n">
        <f aca="false">(1/$J$4)*(1+AB463)</f>
        <v>10</v>
      </c>
      <c r="M464" s="4" t="n">
        <f aca="false">L464+MAX(K464,Y$10:Y463)</f>
        <v>4768.82985076217</v>
      </c>
      <c r="N464" s="4" t="n">
        <f aca="false">K464</f>
        <v>4547.16163406774</v>
      </c>
      <c r="O464" s="4" t="n">
        <f aca="false">M464-K464</f>
        <v>221.668216694437</v>
      </c>
      <c r="P464" s="4" t="n">
        <f aca="false">N464-K464</f>
        <v>0</v>
      </c>
      <c r="Q464" s="4" t="n">
        <f aca="false">A464-MATCH(K464,$M$9:M463,1)</f>
        <v>22</v>
      </c>
      <c r="R464" s="0" t="n">
        <f aca="false">-G464*(O464/3600)</f>
        <v>-0.840178305696155</v>
      </c>
      <c r="S464" s="0" t="n">
        <f aca="false">-1*I464-(H464*(P464/3600))</f>
        <v>-19.5</v>
      </c>
      <c r="T464" s="0" t="n">
        <f aca="false">-H464*(O464/3600)</f>
        <v>-1.11647227577883</v>
      </c>
      <c r="U464" s="0" t="n">
        <f aca="false">T464-S464</f>
        <v>18.3835277242212</v>
      </c>
      <c r="V464" s="0" t="n">
        <f aca="false">1/(1+EXP(U464))</f>
        <v>1.03785180972333E-008</v>
      </c>
      <c r="W464" s="0" t="n">
        <f aca="true">RAND()</f>
        <v>0.296765447086023</v>
      </c>
      <c r="X464" s="0" t="n">
        <f aca="false">IF(W464&lt;V464,1,0)</f>
        <v>0</v>
      </c>
      <c r="Y464" s="0" t="n">
        <f aca="false">(M464*(1-X464)+N464*X464)*D464+M464*E464</f>
        <v>4768.82985076217</v>
      </c>
      <c r="Z464" s="0" t="n">
        <f aca="false">((1-X464)*O464+X464*P464)*D464+E464*O464</f>
        <v>221.668216694437</v>
      </c>
      <c r="AA464" s="0" t="n">
        <f aca="false">IF(D464*X464&gt;0,AA463,Q464)</f>
        <v>22</v>
      </c>
      <c r="AB464" s="0" t="n">
        <f aca="false">(X464*D464)</f>
        <v>0</v>
      </c>
      <c r="AC464" s="0" t="n">
        <f aca="false">SUM(AB$10:AB463)/K464</f>
        <v>0</v>
      </c>
      <c r="AD464" s="0" t="n">
        <f aca="false">R464*E464+D464*(X464*S464+(1-X464)*T464)</f>
        <v>-0.840178305696155</v>
      </c>
      <c r="AE464" s="0" t="n">
        <f aca="false">Z464</f>
        <v>221.668216694437</v>
      </c>
      <c r="AF464" s="0" t="n">
        <f aca="false">E464*O464</f>
        <v>221.668216694437</v>
      </c>
      <c r="AG464" s="0" t="n">
        <f aca="false">((1-X464)*O464+X464*P464)*D464</f>
        <v>0</v>
      </c>
      <c r="AH464" s="0" t="n">
        <f aca="false">D464*(LN(EXP(S464)+EXP(T464)))</f>
        <v>-0</v>
      </c>
      <c r="AJ464" s="0" t="n">
        <f aca="false">$J$5</f>
        <v>10</v>
      </c>
      <c r="AK464" s="4" t="n">
        <f aca="false">AJ464+MAX(K464,AK$10:AK463)</f>
        <v>4768.82985076217</v>
      </c>
      <c r="AL464" s="5" t="n">
        <f aca="false">AK464-K464</f>
        <v>221.668216694437</v>
      </c>
      <c r="AM464" s="0" t="n">
        <f aca="false">-G464*AL464/3600</f>
        <v>-0.840178305696155</v>
      </c>
      <c r="AN464" s="0" t="n">
        <f aca="false">-H464*AL464/3600</f>
        <v>-1.11647227577883</v>
      </c>
      <c r="AO464" s="0" t="n">
        <f aca="false">AM464*E464+AN464*D464</f>
        <v>-0.840178305696155</v>
      </c>
      <c r="AP464" s="0" t="n">
        <f aca="false">AL464*D464</f>
        <v>0</v>
      </c>
      <c r="AR464" s="0" t="n">
        <f aca="false">AN464*D464</f>
        <v>-0</v>
      </c>
      <c r="AS464" s="0" t="n">
        <f aca="false">AH464-AR464</f>
        <v>0</v>
      </c>
    </row>
    <row r="465" customFormat="false" ht="12" hidden="false" customHeight="false" outlineLevel="0" collapsed="false">
      <c r="A465" s="3" t="n">
        <f aca="false">A464+1</f>
        <v>456</v>
      </c>
      <c r="B465" s="3" t="n">
        <f aca="false">IF(A465&lt;$N$4/3,0.1,(IF(A465&gt;2*$N$4/3,0.05,0.12)))</f>
        <v>0.12</v>
      </c>
      <c r="C465" s="4" t="n">
        <f aca="true">RAND()</f>
        <v>0.514409605445765</v>
      </c>
      <c r="D465" s="0" t="n">
        <f aca="false">IF((C465&gt;$M$2),1,0)</f>
        <v>0</v>
      </c>
      <c r="E465" s="0" t="n">
        <f aca="false">1-D465</f>
        <v>1</v>
      </c>
      <c r="F465" s="0" t="n">
        <f aca="true">RAND()</f>
        <v>0.255652740738924</v>
      </c>
      <c r="G465" s="0" t="n">
        <f aca="false">7.75+F465*10</f>
        <v>10.3065274073892</v>
      </c>
      <c r="H465" s="0" t="n">
        <f aca="false">LOGINV(F465,2.64,1.139)</f>
        <v>6.63194178315443</v>
      </c>
      <c r="I465" s="0" t="n">
        <v>19.5</v>
      </c>
      <c r="J465" s="4" t="n">
        <f aca="true">-LN(RAND())/B465</f>
        <v>9.29138430266659</v>
      </c>
      <c r="K465" s="4" t="n">
        <f aca="false">K464+J465</f>
        <v>4556.4530183704</v>
      </c>
      <c r="L465" s="4" t="n">
        <f aca="false">(1/$J$4)*(1+AB464)</f>
        <v>10</v>
      </c>
      <c r="M465" s="4" t="n">
        <f aca="false">L465+MAX(K465,Y$10:Y464)</f>
        <v>4778.82985076217</v>
      </c>
      <c r="N465" s="4" t="n">
        <f aca="false">K465</f>
        <v>4556.4530183704</v>
      </c>
      <c r="O465" s="4" t="n">
        <f aca="false">M465-K465</f>
        <v>222.37683239177</v>
      </c>
      <c r="P465" s="4" t="n">
        <f aca="false">N465-K465</f>
        <v>0</v>
      </c>
      <c r="Q465" s="4" t="n">
        <f aca="false">A465-MATCH(K465,$M$9:M464,1)</f>
        <v>22</v>
      </c>
      <c r="R465" s="0" t="n">
        <f aca="false">-G465*(O465/3600)</f>
        <v>-0.636648032726162</v>
      </c>
      <c r="S465" s="0" t="n">
        <f aca="false">-1*I465-(H465*(P465/3600))</f>
        <v>-19.5</v>
      </c>
      <c r="T465" s="0" t="n">
        <f aca="false">-H465*(O465/3600)</f>
        <v>-0.409663946206808</v>
      </c>
      <c r="U465" s="0" t="n">
        <f aca="false">T465-S465</f>
        <v>19.0903360537932</v>
      </c>
      <c r="V465" s="0" t="n">
        <f aca="false">1/(1+EXP(U465))</f>
        <v>5.11884986479283E-009</v>
      </c>
      <c r="W465" s="0" t="n">
        <f aca="true">RAND()</f>
        <v>0.580788941035743</v>
      </c>
      <c r="X465" s="0" t="n">
        <f aca="false">IF(W465&lt;V465,1,0)</f>
        <v>0</v>
      </c>
      <c r="Y465" s="0" t="n">
        <f aca="false">(M465*(1-X465)+N465*X465)*D465+M465*E465</f>
        <v>4778.82985076217</v>
      </c>
      <c r="Z465" s="0" t="n">
        <f aca="false">((1-X465)*O465+X465*P465)*D465+E465*O465</f>
        <v>222.37683239177</v>
      </c>
      <c r="AA465" s="0" t="n">
        <f aca="false">IF(D465*X465&gt;0,AA464,Q465)</f>
        <v>22</v>
      </c>
      <c r="AB465" s="0" t="n">
        <f aca="false">(X465*D465)</f>
        <v>0</v>
      </c>
      <c r="AC465" s="0" t="n">
        <f aca="false">SUM(AB$10:AB464)/K465</f>
        <v>0</v>
      </c>
      <c r="AD465" s="0" t="n">
        <f aca="false">R465*E465+D465*(X465*S465+(1-X465)*T465)</f>
        <v>-0.636648032726162</v>
      </c>
      <c r="AE465" s="0" t="n">
        <f aca="false">Z465</f>
        <v>222.37683239177</v>
      </c>
      <c r="AF465" s="0" t="n">
        <f aca="false">E465*O465</f>
        <v>222.37683239177</v>
      </c>
      <c r="AG465" s="0" t="n">
        <f aca="false">((1-X465)*O465+X465*P465)*D465</f>
        <v>0</v>
      </c>
      <c r="AH465" s="0" t="n">
        <f aca="false">D465*(LN(EXP(S465)+EXP(T465)))</f>
        <v>-0</v>
      </c>
      <c r="AJ465" s="0" t="n">
        <f aca="false">$J$5</f>
        <v>10</v>
      </c>
      <c r="AK465" s="4" t="n">
        <f aca="false">AJ465+MAX(K465,AK$10:AK464)</f>
        <v>4778.82985076217</v>
      </c>
      <c r="AL465" s="5" t="n">
        <f aca="false">AK465-K465</f>
        <v>222.37683239177</v>
      </c>
      <c r="AM465" s="0" t="n">
        <f aca="false">-G465*AL465/3600</f>
        <v>-0.636648032726162</v>
      </c>
      <c r="AN465" s="0" t="n">
        <f aca="false">-H465*AL465/3600</f>
        <v>-0.409663946206808</v>
      </c>
      <c r="AO465" s="0" t="n">
        <f aca="false">AM465*E465+AN465*D465</f>
        <v>-0.636648032726162</v>
      </c>
      <c r="AP465" s="0" t="n">
        <f aca="false">AL465*D465</f>
        <v>0</v>
      </c>
      <c r="AR465" s="0" t="n">
        <f aca="false">AN465*D465</f>
        <v>-0</v>
      </c>
      <c r="AS465" s="0" t="n">
        <f aca="false">AH465-AR465</f>
        <v>0</v>
      </c>
    </row>
    <row r="466" customFormat="false" ht="12" hidden="false" customHeight="false" outlineLevel="0" collapsed="false">
      <c r="A466" s="3" t="n">
        <f aca="false">A465+1</f>
        <v>457</v>
      </c>
      <c r="B466" s="3" t="n">
        <f aca="false">IF(A466&lt;$N$4/3,0.1,(IF(A466&gt;2*$N$4/3,0.05,0.12)))</f>
        <v>0.12</v>
      </c>
      <c r="C466" s="4" t="n">
        <f aca="true">RAND()</f>
        <v>0.131348388133315</v>
      </c>
      <c r="D466" s="0" t="n">
        <f aca="false">IF((C466&gt;$M$2),1,0)</f>
        <v>0</v>
      </c>
      <c r="E466" s="0" t="n">
        <f aca="false">1-D466</f>
        <v>1</v>
      </c>
      <c r="F466" s="0" t="n">
        <f aca="true">RAND()</f>
        <v>0.859377371260376</v>
      </c>
      <c r="G466" s="0" t="n">
        <f aca="false">7.75+F466*10</f>
        <v>16.3437737126038</v>
      </c>
      <c r="H466" s="0" t="n">
        <f aca="false">LOGINV(F466,2.64,1.139)</f>
        <v>47.8132275792231</v>
      </c>
      <c r="I466" s="0" t="n">
        <v>19.5</v>
      </c>
      <c r="J466" s="4" t="n">
        <f aca="true">-LN(RAND())/B466</f>
        <v>0.874224932180839</v>
      </c>
      <c r="K466" s="4" t="n">
        <f aca="false">K465+J466</f>
        <v>4557.32724330258</v>
      </c>
      <c r="L466" s="4" t="n">
        <f aca="false">(1/$J$4)*(1+AB465)</f>
        <v>10</v>
      </c>
      <c r="M466" s="4" t="n">
        <f aca="false">L466+MAX(K466,Y$10:Y465)</f>
        <v>4788.82985076217</v>
      </c>
      <c r="N466" s="4" t="n">
        <f aca="false">K466</f>
        <v>4557.32724330258</v>
      </c>
      <c r="O466" s="4" t="n">
        <f aca="false">M466-K466</f>
        <v>231.502607459589</v>
      </c>
      <c r="P466" s="4" t="n">
        <f aca="false">N466-K466</f>
        <v>0</v>
      </c>
      <c r="Q466" s="4" t="n">
        <f aca="false">A466-MATCH(K466,$M$9:M465,1)</f>
        <v>23</v>
      </c>
      <c r="R466" s="0" t="n">
        <f aca="false">-G466*(O466/3600)</f>
        <v>-1.0510072861659</v>
      </c>
      <c r="S466" s="0" t="n">
        <f aca="false">-1*I466-(H466*(P466/3600))</f>
        <v>-19.5</v>
      </c>
      <c r="T466" s="0" t="n">
        <f aca="false">-H466*(O466/3600)</f>
        <v>-3.0746907932358</v>
      </c>
      <c r="U466" s="0" t="n">
        <f aca="false">T466-S466</f>
        <v>16.4253092067642</v>
      </c>
      <c r="V466" s="0" t="n">
        <f aca="false">1/(1+EXP(U466))</f>
        <v>7.35493461129137E-008</v>
      </c>
      <c r="W466" s="0" t="n">
        <f aca="true">RAND()</f>
        <v>0.795504350138833</v>
      </c>
      <c r="X466" s="0" t="n">
        <f aca="false">IF(W466&lt;V466,1,0)</f>
        <v>0</v>
      </c>
      <c r="Y466" s="0" t="n">
        <f aca="false">(M466*(1-X466)+N466*X466)*D466+M466*E466</f>
        <v>4788.82985076217</v>
      </c>
      <c r="Z466" s="0" t="n">
        <f aca="false">((1-X466)*O466+X466*P466)*D466+E466*O466</f>
        <v>231.502607459589</v>
      </c>
      <c r="AA466" s="0" t="n">
        <f aca="false">IF(D466*X466&gt;0,AA465,Q466)</f>
        <v>23</v>
      </c>
      <c r="AB466" s="0" t="n">
        <f aca="false">(X466*D466)</f>
        <v>0</v>
      </c>
      <c r="AC466" s="0" t="n">
        <f aca="false">SUM(AB$10:AB465)/K466</f>
        <v>0</v>
      </c>
      <c r="AD466" s="0" t="n">
        <f aca="false">R466*E466+D466*(X466*S466+(1-X466)*T466)</f>
        <v>-1.0510072861659</v>
      </c>
      <c r="AE466" s="0" t="n">
        <f aca="false">Z466</f>
        <v>231.502607459589</v>
      </c>
      <c r="AF466" s="0" t="n">
        <f aca="false">E466*O466</f>
        <v>231.502607459589</v>
      </c>
      <c r="AG466" s="0" t="n">
        <f aca="false">((1-X466)*O466+X466*P466)*D466</f>
        <v>0</v>
      </c>
      <c r="AH466" s="0" t="n">
        <f aca="false">D466*(LN(EXP(S466)+EXP(T466)))</f>
        <v>-0</v>
      </c>
      <c r="AJ466" s="0" t="n">
        <f aca="false">$J$5</f>
        <v>10</v>
      </c>
      <c r="AK466" s="4" t="n">
        <f aca="false">AJ466+MAX(K466,AK$10:AK465)</f>
        <v>4788.82985076217</v>
      </c>
      <c r="AL466" s="5" t="n">
        <f aca="false">AK466-K466</f>
        <v>231.502607459589</v>
      </c>
      <c r="AM466" s="0" t="n">
        <f aca="false">-G466*AL466/3600</f>
        <v>-1.0510072861659</v>
      </c>
      <c r="AN466" s="0" t="n">
        <f aca="false">-H466*AL466/3600</f>
        <v>-3.0746907932358</v>
      </c>
      <c r="AO466" s="0" t="n">
        <f aca="false">AM466*E466+AN466*D466</f>
        <v>-1.0510072861659</v>
      </c>
      <c r="AP466" s="0" t="n">
        <f aca="false">AL466*D466</f>
        <v>0</v>
      </c>
      <c r="AR466" s="0" t="n">
        <f aca="false">AN466*D466</f>
        <v>-0</v>
      </c>
      <c r="AS466" s="0" t="n">
        <f aca="false">AH466-AR466</f>
        <v>0</v>
      </c>
    </row>
    <row r="467" customFormat="false" ht="12" hidden="false" customHeight="false" outlineLevel="0" collapsed="false">
      <c r="A467" s="3" t="n">
        <f aca="false">A466+1</f>
        <v>458</v>
      </c>
      <c r="B467" s="3" t="n">
        <f aca="false">IF(A467&lt;$N$4/3,0.1,(IF(A467&gt;2*$N$4/3,0.05,0.12)))</f>
        <v>0.12</v>
      </c>
      <c r="C467" s="4" t="n">
        <f aca="true">RAND()</f>
        <v>0.62258679348524</v>
      </c>
      <c r="D467" s="0" t="n">
        <f aca="false">IF((C467&gt;$M$2),1,0)</f>
        <v>0</v>
      </c>
      <c r="E467" s="0" t="n">
        <f aca="false">1-D467</f>
        <v>1</v>
      </c>
      <c r="F467" s="0" t="n">
        <f aca="true">RAND()</f>
        <v>0.978147396688506</v>
      </c>
      <c r="G467" s="0" t="n">
        <f aca="false">7.75+F467*10</f>
        <v>17.5314739668851</v>
      </c>
      <c r="H467" s="0" t="n">
        <f aca="false">LOGINV(F467,2.64,1.139)</f>
        <v>139.387414777375</v>
      </c>
      <c r="I467" s="0" t="n">
        <v>19.5</v>
      </c>
      <c r="J467" s="4" t="n">
        <f aca="true">-LN(RAND())/B467</f>
        <v>6.71687603763799</v>
      </c>
      <c r="K467" s="4" t="n">
        <f aca="false">K466+J467</f>
        <v>4564.04411934022</v>
      </c>
      <c r="L467" s="4" t="n">
        <f aca="false">(1/$J$4)*(1+AB466)</f>
        <v>10</v>
      </c>
      <c r="M467" s="4" t="n">
        <f aca="false">L467+MAX(K467,Y$10:Y466)</f>
        <v>4798.82985076217</v>
      </c>
      <c r="N467" s="4" t="n">
        <f aca="false">K467</f>
        <v>4564.04411934022</v>
      </c>
      <c r="O467" s="4" t="n">
        <f aca="false">M467-K467</f>
        <v>234.785731421951</v>
      </c>
      <c r="P467" s="4" t="n">
        <f aca="false">N467-K467</f>
        <v>0</v>
      </c>
      <c r="Q467" s="4" t="n">
        <f aca="false">A467-MATCH(K467,$M$9:M466,1)</f>
        <v>23</v>
      </c>
      <c r="R467" s="0" t="n">
        <f aca="false">-G467*(O467/3600)</f>
        <v>-1.14337220506111</v>
      </c>
      <c r="S467" s="0" t="n">
        <f aca="false">-1*I467-(H467*(P467/3600))</f>
        <v>-19.5</v>
      </c>
      <c r="T467" s="0" t="n">
        <f aca="false">-H467*(O467/3600)</f>
        <v>-9.09060448042247</v>
      </c>
      <c r="U467" s="0" t="n">
        <f aca="false">T467-S467</f>
        <v>10.4093955195775</v>
      </c>
      <c r="V467" s="0" t="n">
        <f aca="false">1/(1+EXP(U467))</f>
        <v>3.01469841792567E-005</v>
      </c>
      <c r="W467" s="0" t="n">
        <f aca="true">RAND()</f>
        <v>0.301347539595388</v>
      </c>
      <c r="X467" s="0" t="n">
        <f aca="false">IF(W467&lt;V467,1,0)</f>
        <v>0</v>
      </c>
      <c r="Y467" s="0" t="n">
        <f aca="false">(M467*(1-X467)+N467*X467)*D467+M467*E467</f>
        <v>4798.82985076217</v>
      </c>
      <c r="Z467" s="0" t="n">
        <f aca="false">((1-X467)*O467+X467*P467)*D467+E467*O467</f>
        <v>234.785731421951</v>
      </c>
      <c r="AA467" s="0" t="n">
        <f aca="false">IF(D467*X467&gt;0,AA466,Q467)</f>
        <v>23</v>
      </c>
      <c r="AB467" s="0" t="n">
        <f aca="false">(X467*D467)</f>
        <v>0</v>
      </c>
      <c r="AC467" s="0" t="n">
        <f aca="false">SUM(AB$10:AB466)/K467</f>
        <v>0</v>
      </c>
      <c r="AD467" s="0" t="n">
        <f aca="false">R467*E467+D467*(X467*S467+(1-X467)*T467)</f>
        <v>-1.14337220506111</v>
      </c>
      <c r="AE467" s="0" t="n">
        <f aca="false">Z467</f>
        <v>234.785731421951</v>
      </c>
      <c r="AF467" s="0" t="n">
        <f aca="false">E467*O467</f>
        <v>234.785731421951</v>
      </c>
      <c r="AG467" s="0" t="n">
        <f aca="false">((1-X467)*O467+X467*P467)*D467</f>
        <v>0</v>
      </c>
      <c r="AH467" s="0" t="n">
        <f aca="false">D467*(LN(EXP(S467)+EXP(T467)))</f>
        <v>-0</v>
      </c>
      <c r="AJ467" s="0" t="n">
        <f aca="false">$J$5</f>
        <v>10</v>
      </c>
      <c r="AK467" s="4" t="n">
        <f aca="false">AJ467+MAX(K467,AK$10:AK466)</f>
        <v>4798.82985076217</v>
      </c>
      <c r="AL467" s="5" t="n">
        <f aca="false">AK467-K467</f>
        <v>234.785731421951</v>
      </c>
      <c r="AM467" s="0" t="n">
        <f aca="false">-G467*AL467/3600</f>
        <v>-1.14337220506111</v>
      </c>
      <c r="AN467" s="0" t="n">
        <f aca="false">-H467*AL467/3600</f>
        <v>-9.09060448042247</v>
      </c>
      <c r="AO467" s="0" t="n">
        <f aca="false">AM467*E467+AN467*D467</f>
        <v>-1.14337220506111</v>
      </c>
      <c r="AP467" s="0" t="n">
        <f aca="false">AL467*D467</f>
        <v>0</v>
      </c>
      <c r="AR467" s="0" t="n">
        <f aca="false">AN467*D467</f>
        <v>-0</v>
      </c>
      <c r="AS467" s="0" t="n">
        <f aca="false">AH467-AR467</f>
        <v>0</v>
      </c>
    </row>
    <row r="468" customFormat="false" ht="12" hidden="false" customHeight="false" outlineLevel="0" collapsed="false">
      <c r="A468" s="3" t="n">
        <f aca="false">A467+1</f>
        <v>459</v>
      </c>
      <c r="B468" s="3" t="n">
        <f aca="false">IF(A468&lt;$N$4/3,0.1,(IF(A468&gt;2*$N$4/3,0.05,0.12)))</f>
        <v>0.12</v>
      </c>
      <c r="C468" s="4" t="n">
        <f aca="true">RAND()</f>
        <v>0.430795578005558</v>
      </c>
      <c r="D468" s="0" t="n">
        <f aca="false">IF((C468&gt;$M$2),1,0)</f>
        <v>0</v>
      </c>
      <c r="E468" s="0" t="n">
        <f aca="false">1-D468</f>
        <v>1</v>
      </c>
      <c r="F468" s="0" t="n">
        <f aca="true">RAND()</f>
        <v>0.470274688910336</v>
      </c>
      <c r="G468" s="0" t="n">
        <f aca="false">7.75+F468*10</f>
        <v>12.4527468891034</v>
      </c>
      <c r="H468" s="0" t="n">
        <f aca="false">LOGINV(F468,2.64,1.139)</f>
        <v>12.8719957808671</v>
      </c>
      <c r="I468" s="0" t="n">
        <v>19.5</v>
      </c>
      <c r="J468" s="4" t="n">
        <f aca="true">-LN(RAND())/B468</f>
        <v>9.04227831610348</v>
      </c>
      <c r="K468" s="4" t="n">
        <f aca="false">K467+J468</f>
        <v>4573.08639765632</v>
      </c>
      <c r="L468" s="4" t="n">
        <f aca="false">(1/$J$4)*(1+AB467)</f>
        <v>10</v>
      </c>
      <c r="M468" s="4" t="n">
        <f aca="false">L468+MAX(K468,Y$10:Y467)</f>
        <v>4808.82985076217</v>
      </c>
      <c r="N468" s="4" t="n">
        <f aca="false">K468</f>
        <v>4573.08639765632</v>
      </c>
      <c r="O468" s="4" t="n">
        <f aca="false">M468-K468</f>
        <v>235.743453105847</v>
      </c>
      <c r="P468" s="4" t="n">
        <f aca="false">N468-K468</f>
        <v>0</v>
      </c>
      <c r="Q468" s="4" t="n">
        <f aca="false">A468-MATCH(K468,$M$9:M467,1)</f>
        <v>23</v>
      </c>
      <c r="R468" s="0" t="n">
        <f aca="false">-G468*(O468/3600)</f>
        <v>-0.815459320080644</v>
      </c>
      <c r="S468" s="0" t="n">
        <f aca="false">-1*I468-(H468*(P468/3600))</f>
        <v>-19.5</v>
      </c>
      <c r="T468" s="0" t="n">
        <f aca="false">-H468*(O468/3600)</f>
        <v>-0.842913537151531</v>
      </c>
      <c r="U468" s="0" t="n">
        <f aca="false">T468-S468</f>
        <v>18.6570864628485</v>
      </c>
      <c r="V468" s="0" t="n">
        <f aca="false">1/(1+EXP(U468))</f>
        <v>7.89460303750384E-009</v>
      </c>
      <c r="W468" s="0" t="n">
        <f aca="true">RAND()</f>
        <v>0.866800897620308</v>
      </c>
      <c r="X468" s="0" t="n">
        <f aca="false">IF(W468&lt;V468,1,0)</f>
        <v>0</v>
      </c>
      <c r="Y468" s="0" t="n">
        <f aca="false">(M468*(1-X468)+N468*X468)*D468+M468*E468</f>
        <v>4808.82985076217</v>
      </c>
      <c r="Z468" s="0" t="n">
        <f aca="false">((1-X468)*O468+X468*P468)*D468+E468*O468</f>
        <v>235.743453105847</v>
      </c>
      <c r="AA468" s="0" t="n">
        <f aca="false">IF(D468*X468&gt;0,AA467,Q468)</f>
        <v>23</v>
      </c>
      <c r="AB468" s="0" t="n">
        <f aca="false">(X468*D468)</f>
        <v>0</v>
      </c>
      <c r="AC468" s="0" t="n">
        <f aca="false">SUM(AB$10:AB467)/K468</f>
        <v>0</v>
      </c>
      <c r="AD468" s="0" t="n">
        <f aca="false">R468*E468+D468*(X468*S468+(1-X468)*T468)</f>
        <v>-0.815459320080644</v>
      </c>
      <c r="AE468" s="0" t="n">
        <f aca="false">Z468</f>
        <v>235.743453105847</v>
      </c>
      <c r="AF468" s="0" t="n">
        <f aca="false">E468*O468</f>
        <v>235.743453105847</v>
      </c>
      <c r="AG468" s="0" t="n">
        <f aca="false">((1-X468)*O468+X468*P468)*D468</f>
        <v>0</v>
      </c>
      <c r="AH468" s="0" t="n">
        <f aca="false">D468*(LN(EXP(S468)+EXP(T468)))</f>
        <v>-0</v>
      </c>
      <c r="AJ468" s="0" t="n">
        <f aca="false">$J$5</f>
        <v>10</v>
      </c>
      <c r="AK468" s="4" t="n">
        <f aca="false">AJ468+MAX(K468,AK$10:AK467)</f>
        <v>4808.82985076217</v>
      </c>
      <c r="AL468" s="5" t="n">
        <f aca="false">AK468-K468</f>
        <v>235.743453105847</v>
      </c>
      <c r="AM468" s="0" t="n">
        <f aca="false">-G468*AL468/3600</f>
        <v>-0.815459320080644</v>
      </c>
      <c r="AN468" s="0" t="n">
        <f aca="false">-H468*AL468/3600</f>
        <v>-0.842913537151531</v>
      </c>
      <c r="AO468" s="0" t="n">
        <f aca="false">AM468*E468+AN468*D468</f>
        <v>-0.815459320080644</v>
      </c>
      <c r="AP468" s="0" t="n">
        <f aca="false">AL468*D468</f>
        <v>0</v>
      </c>
      <c r="AR468" s="0" t="n">
        <f aca="false">AN468*D468</f>
        <v>-0</v>
      </c>
      <c r="AS468" s="0" t="n">
        <f aca="false">AH468-AR468</f>
        <v>0</v>
      </c>
    </row>
    <row r="469" customFormat="false" ht="12" hidden="false" customHeight="false" outlineLevel="0" collapsed="false">
      <c r="A469" s="3" t="n">
        <f aca="false">A468+1</f>
        <v>460</v>
      </c>
      <c r="B469" s="3" t="n">
        <f aca="false">IF(A469&lt;$N$4/3,0.1,(IF(A469&gt;2*$N$4/3,0.05,0.12)))</f>
        <v>0.12</v>
      </c>
      <c r="C469" s="4" t="n">
        <f aca="true">RAND()</f>
        <v>0.559490701983728</v>
      </c>
      <c r="D469" s="0" t="n">
        <f aca="false">IF((C469&gt;$M$2),1,0)</f>
        <v>0</v>
      </c>
      <c r="E469" s="0" t="n">
        <f aca="false">1-D469</f>
        <v>1</v>
      </c>
      <c r="F469" s="0" t="n">
        <f aca="true">RAND()</f>
        <v>0.206509163365676</v>
      </c>
      <c r="G469" s="0" t="n">
        <f aca="false">7.75+F469*10</f>
        <v>9.81509163365676</v>
      </c>
      <c r="H469" s="0" t="n">
        <f aca="false">LOGINV(F469,2.64,1.139)</f>
        <v>5.5158286965298</v>
      </c>
      <c r="I469" s="0" t="n">
        <v>19.5</v>
      </c>
      <c r="J469" s="4" t="n">
        <f aca="true">-LN(RAND())/B469</f>
        <v>11.1902510308185</v>
      </c>
      <c r="K469" s="4" t="n">
        <f aca="false">K468+J469</f>
        <v>4584.27664868714</v>
      </c>
      <c r="L469" s="4" t="n">
        <f aca="false">(1/$J$4)*(1+AB468)</f>
        <v>10</v>
      </c>
      <c r="M469" s="4" t="n">
        <f aca="false">L469+MAX(K469,Y$10:Y468)</f>
        <v>4818.82985076217</v>
      </c>
      <c r="N469" s="4" t="n">
        <f aca="false">K469</f>
        <v>4584.27664868714</v>
      </c>
      <c r="O469" s="4" t="n">
        <f aca="false">M469-K469</f>
        <v>234.553202075029</v>
      </c>
      <c r="P469" s="4" t="n">
        <f aca="false">N469-K469</f>
        <v>0</v>
      </c>
      <c r="Q469" s="4" t="n">
        <f aca="false">A469-MATCH(K469,$M$9:M468,1)</f>
        <v>23</v>
      </c>
      <c r="R469" s="0" t="n">
        <f aca="false">-G469*(O469/3600)</f>
        <v>-0.63948921425945</v>
      </c>
      <c r="S469" s="0" t="n">
        <f aca="false">-1*I469-(H469*(P469/3600))</f>
        <v>-19.5</v>
      </c>
      <c r="T469" s="0" t="n">
        <f aca="false">-H469*(O469/3600)</f>
        <v>-0.359376467463444</v>
      </c>
      <c r="U469" s="0" t="n">
        <f aca="false">T469-S469</f>
        <v>19.1406235325366</v>
      </c>
      <c r="V469" s="0" t="n">
        <f aca="false">1/(1+EXP(U469))</f>
        <v>4.86780102172756E-009</v>
      </c>
      <c r="W469" s="0" t="n">
        <f aca="true">RAND()</f>
        <v>0.907313527049045</v>
      </c>
      <c r="X469" s="0" t="n">
        <f aca="false">IF(W469&lt;V469,1,0)</f>
        <v>0</v>
      </c>
      <c r="Y469" s="0" t="n">
        <f aca="false">(M469*(1-X469)+N469*X469)*D469+M469*E469</f>
        <v>4818.82985076217</v>
      </c>
      <c r="Z469" s="0" t="n">
        <f aca="false">((1-X469)*O469+X469*P469)*D469+E469*O469</f>
        <v>234.553202075029</v>
      </c>
      <c r="AA469" s="0" t="n">
        <f aca="false">IF(D469*X469&gt;0,AA468,Q469)</f>
        <v>23</v>
      </c>
      <c r="AB469" s="0" t="n">
        <f aca="false">(X469*D469)</f>
        <v>0</v>
      </c>
      <c r="AC469" s="0" t="n">
        <f aca="false">SUM(AB$10:AB468)/K469</f>
        <v>0</v>
      </c>
      <c r="AD469" s="0" t="n">
        <f aca="false">R469*E469+D469*(X469*S469+(1-X469)*T469)</f>
        <v>-0.63948921425945</v>
      </c>
      <c r="AE469" s="0" t="n">
        <f aca="false">Z469</f>
        <v>234.553202075029</v>
      </c>
      <c r="AF469" s="0" t="n">
        <f aca="false">E469*O469</f>
        <v>234.553202075029</v>
      </c>
      <c r="AG469" s="0" t="n">
        <f aca="false">((1-X469)*O469+X469*P469)*D469</f>
        <v>0</v>
      </c>
      <c r="AH469" s="0" t="n">
        <f aca="false">D469*(LN(EXP(S469)+EXP(T469)))</f>
        <v>-0</v>
      </c>
      <c r="AJ469" s="0" t="n">
        <f aca="false">$J$5</f>
        <v>10</v>
      </c>
      <c r="AK469" s="4" t="n">
        <f aca="false">AJ469+MAX(K469,AK$10:AK468)</f>
        <v>4818.82985076217</v>
      </c>
      <c r="AL469" s="5" t="n">
        <f aca="false">AK469-K469</f>
        <v>234.553202075029</v>
      </c>
      <c r="AM469" s="0" t="n">
        <f aca="false">-G469*AL469/3600</f>
        <v>-0.63948921425945</v>
      </c>
      <c r="AN469" s="0" t="n">
        <f aca="false">-H469*AL469/3600</f>
        <v>-0.359376467463444</v>
      </c>
      <c r="AO469" s="0" t="n">
        <f aca="false">AM469*E469+AN469*D469</f>
        <v>-0.63948921425945</v>
      </c>
      <c r="AP469" s="0" t="n">
        <f aca="false">AL469*D469</f>
        <v>0</v>
      </c>
      <c r="AR469" s="0" t="n">
        <f aca="false">AN469*D469</f>
        <v>-0</v>
      </c>
      <c r="AS469" s="0" t="n">
        <f aca="false">AH469-AR469</f>
        <v>0</v>
      </c>
    </row>
    <row r="470" customFormat="false" ht="12" hidden="false" customHeight="false" outlineLevel="0" collapsed="false">
      <c r="A470" s="3" t="n">
        <f aca="false">A469+1</f>
        <v>461</v>
      </c>
      <c r="B470" s="3" t="n">
        <f aca="false">IF(A470&lt;$N$4/3,0.1,(IF(A470&gt;2*$N$4/3,0.05,0.12)))</f>
        <v>0.12</v>
      </c>
      <c r="C470" s="4" t="n">
        <f aca="true">RAND()</f>
        <v>0.731153283908615</v>
      </c>
      <c r="D470" s="0" t="n">
        <f aca="false">IF((C470&gt;$M$2),1,0)</f>
        <v>0</v>
      </c>
      <c r="E470" s="0" t="n">
        <f aca="false">1-D470</f>
        <v>1</v>
      </c>
      <c r="F470" s="0" t="n">
        <f aca="true">RAND()</f>
        <v>0.827992723911264</v>
      </c>
      <c r="G470" s="0" t="n">
        <f aca="false">7.75+F470*10</f>
        <v>16.0299272391126</v>
      </c>
      <c r="H470" s="0" t="n">
        <f aca="false">LOGINV(F470,2.64,1.139)</f>
        <v>41.1734384827541</v>
      </c>
      <c r="I470" s="0" t="n">
        <v>19.5</v>
      </c>
      <c r="J470" s="4" t="n">
        <f aca="true">-LN(RAND())/B470</f>
        <v>1.62949746889076</v>
      </c>
      <c r="K470" s="4" t="n">
        <f aca="false">K469+J470</f>
        <v>4585.90614615603</v>
      </c>
      <c r="L470" s="4" t="n">
        <f aca="false">(1/$J$4)*(1+AB469)</f>
        <v>10</v>
      </c>
      <c r="M470" s="4" t="n">
        <f aca="false">L470+MAX(K470,Y$10:Y469)</f>
        <v>4828.82985076217</v>
      </c>
      <c r="N470" s="4" t="n">
        <f aca="false">K470</f>
        <v>4585.90614615603</v>
      </c>
      <c r="O470" s="4" t="n">
        <f aca="false">M470-K470</f>
        <v>242.923704606138</v>
      </c>
      <c r="P470" s="4" t="n">
        <f aca="false">N470-K470</f>
        <v>0</v>
      </c>
      <c r="Q470" s="4" t="n">
        <f aca="false">A470-MATCH(K470,$M$9:M469,1)</f>
        <v>24</v>
      </c>
      <c r="R470" s="0" t="n">
        <f aca="false">-G470*(O470/3600)</f>
        <v>-1.0816803637478</v>
      </c>
      <c r="S470" s="0" t="n">
        <f aca="false">-1*I470-(H470*(P470/3600))</f>
        <v>-19.5</v>
      </c>
      <c r="T470" s="0" t="n">
        <f aca="false">-H470*(O470/3600)</f>
        <v>-2.77833450211209</v>
      </c>
      <c r="U470" s="0" t="n">
        <f aca="false">T470-S470</f>
        <v>16.7216654978879</v>
      </c>
      <c r="V470" s="0" t="n">
        <f aca="false">1/(1+EXP(U470))</f>
        <v>5.46855925472156E-008</v>
      </c>
      <c r="W470" s="0" t="n">
        <f aca="true">RAND()</f>
        <v>0.305983624200133</v>
      </c>
      <c r="X470" s="0" t="n">
        <f aca="false">IF(W470&lt;V470,1,0)</f>
        <v>0</v>
      </c>
      <c r="Y470" s="0" t="n">
        <f aca="false">(M470*(1-X470)+N470*X470)*D470+M470*E470</f>
        <v>4828.82985076217</v>
      </c>
      <c r="Z470" s="0" t="n">
        <f aca="false">((1-X470)*O470+X470*P470)*D470+E470*O470</f>
        <v>242.923704606138</v>
      </c>
      <c r="AA470" s="0" t="n">
        <f aca="false">IF(D470*X470&gt;0,AA469,Q470)</f>
        <v>24</v>
      </c>
      <c r="AB470" s="0" t="n">
        <f aca="false">(X470*D470)</f>
        <v>0</v>
      </c>
      <c r="AC470" s="0" t="n">
        <f aca="false">SUM(AB$10:AB469)/K470</f>
        <v>0</v>
      </c>
      <c r="AD470" s="0" t="n">
        <f aca="false">R470*E470+D470*(X470*S470+(1-X470)*T470)</f>
        <v>-1.0816803637478</v>
      </c>
      <c r="AE470" s="0" t="n">
        <f aca="false">Z470</f>
        <v>242.923704606138</v>
      </c>
      <c r="AF470" s="0" t="n">
        <f aca="false">E470*O470</f>
        <v>242.923704606138</v>
      </c>
      <c r="AG470" s="0" t="n">
        <f aca="false">((1-X470)*O470+X470*P470)*D470</f>
        <v>0</v>
      </c>
      <c r="AH470" s="0" t="n">
        <f aca="false">D470*(LN(EXP(S470)+EXP(T470)))</f>
        <v>-0</v>
      </c>
      <c r="AJ470" s="0" t="n">
        <f aca="false">$J$5</f>
        <v>10</v>
      </c>
      <c r="AK470" s="4" t="n">
        <f aca="false">AJ470+MAX(K470,AK$10:AK469)</f>
        <v>4828.82985076217</v>
      </c>
      <c r="AL470" s="5" t="n">
        <f aca="false">AK470-K470</f>
        <v>242.923704606138</v>
      </c>
      <c r="AM470" s="0" t="n">
        <f aca="false">-G470*AL470/3600</f>
        <v>-1.0816803637478</v>
      </c>
      <c r="AN470" s="0" t="n">
        <f aca="false">-H470*AL470/3600</f>
        <v>-2.7783345021121</v>
      </c>
      <c r="AO470" s="0" t="n">
        <f aca="false">AM470*E470+AN470*D470</f>
        <v>-1.0816803637478</v>
      </c>
      <c r="AP470" s="0" t="n">
        <f aca="false">AL470*D470</f>
        <v>0</v>
      </c>
      <c r="AR470" s="0" t="n">
        <f aca="false">AN470*D470</f>
        <v>-0</v>
      </c>
      <c r="AS470" s="0" t="n">
        <f aca="false">AH470-AR470</f>
        <v>0</v>
      </c>
    </row>
    <row r="471" customFormat="false" ht="12" hidden="false" customHeight="false" outlineLevel="0" collapsed="false">
      <c r="A471" s="3" t="n">
        <f aca="false">A470+1</f>
        <v>462</v>
      </c>
      <c r="B471" s="3" t="n">
        <f aca="false">IF(A471&lt;$N$4/3,0.1,(IF(A471&gt;2*$N$4/3,0.05,0.12)))</f>
        <v>0.12</v>
      </c>
      <c r="C471" s="4" t="n">
        <f aca="true">RAND()</f>
        <v>0.111761075553749</v>
      </c>
      <c r="D471" s="0" t="n">
        <f aca="false">IF((C471&gt;$M$2),1,0)</f>
        <v>0</v>
      </c>
      <c r="E471" s="0" t="n">
        <f aca="false">1-D471</f>
        <v>1</v>
      </c>
      <c r="F471" s="0" t="n">
        <f aca="true">RAND()</f>
        <v>0.428948806548023</v>
      </c>
      <c r="G471" s="0" t="n">
        <f aca="false">7.75+F471*10</f>
        <v>12.0394880654802</v>
      </c>
      <c r="H471" s="0" t="n">
        <f aca="false">LOGINV(F471,2.64,1.139)</f>
        <v>11.4279355885758</v>
      </c>
      <c r="I471" s="0" t="n">
        <v>19.5</v>
      </c>
      <c r="J471" s="4" t="n">
        <f aca="true">-LN(RAND())/B471</f>
        <v>22.0530135340896</v>
      </c>
      <c r="K471" s="4" t="n">
        <f aca="false">K470+J471</f>
        <v>4607.95915969012</v>
      </c>
      <c r="L471" s="4" t="n">
        <f aca="false">(1/$J$4)*(1+AB470)</f>
        <v>10</v>
      </c>
      <c r="M471" s="4" t="n">
        <f aca="false">L471+MAX(K471,Y$10:Y470)</f>
        <v>4838.82985076217</v>
      </c>
      <c r="N471" s="4" t="n">
        <f aca="false">K471</f>
        <v>4607.95915969012</v>
      </c>
      <c r="O471" s="4" t="n">
        <f aca="false">M471-K471</f>
        <v>230.870691072048</v>
      </c>
      <c r="P471" s="4" t="n">
        <f aca="false">N471-K471</f>
        <v>0</v>
      </c>
      <c r="Q471" s="4" t="n">
        <f aca="false">A471-MATCH(K471,$M$9:M470,1)</f>
        <v>23</v>
      </c>
      <c r="R471" s="0" t="n">
        <f aca="false">-G471*(O471/3600)</f>
        <v>-0.772101369397528</v>
      </c>
      <c r="S471" s="0" t="n">
        <f aca="false">-1*I471-(H471*(P471/3600))</f>
        <v>-19.5</v>
      </c>
      <c r="T471" s="0" t="n">
        <f aca="false">-H471*(O471/3600)</f>
        <v>-0.732882051905928</v>
      </c>
      <c r="U471" s="0" t="n">
        <f aca="false">T471-S471</f>
        <v>18.7671179480941</v>
      </c>
      <c r="V471" s="0" t="n">
        <f aca="false">1/(1+EXP(U471))</f>
        <v>7.0720322232522E-009</v>
      </c>
      <c r="W471" s="0" t="n">
        <f aca="true">RAND()</f>
        <v>0.608005396010775</v>
      </c>
      <c r="X471" s="0" t="n">
        <f aca="false">IF(W471&lt;V471,1,0)</f>
        <v>0</v>
      </c>
      <c r="Y471" s="0" t="n">
        <f aca="false">(M471*(1-X471)+N471*X471)*D471+M471*E471</f>
        <v>4838.82985076217</v>
      </c>
      <c r="Z471" s="0" t="n">
        <f aca="false">((1-X471)*O471+X471*P471)*D471+E471*O471</f>
        <v>230.870691072048</v>
      </c>
      <c r="AA471" s="0" t="n">
        <f aca="false">IF(D471*X471&gt;0,AA470,Q471)</f>
        <v>23</v>
      </c>
      <c r="AB471" s="0" t="n">
        <f aca="false">(X471*D471)</f>
        <v>0</v>
      </c>
      <c r="AC471" s="0" t="n">
        <f aca="false">SUM(AB$10:AB470)/K471</f>
        <v>0</v>
      </c>
      <c r="AD471" s="0" t="n">
        <f aca="false">R471*E471+D471*(X471*S471+(1-X471)*T471)</f>
        <v>-0.772101369397528</v>
      </c>
      <c r="AE471" s="0" t="n">
        <f aca="false">Z471</f>
        <v>230.870691072048</v>
      </c>
      <c r="AF471" s="0" t="n">
        <f aca="false">E471*O471</f>
        <v>230.870691072048</v>
      </c>
      <c r="AG471" s="0" t="n">
        <f aca="false">((1-X471)*O471+X471*P471)*D471</f>
        <v>0</v>
      </c>
      <c r="AH471" s="0" t="n">
        <f aca="false">D471*(LN(EXP(S471)+EXP(T471)))</f>
        <v>-0</v>
      </c>
      <c r="AJ471" s="0" t="n">
        <f aca="false">$J$5</f>
        <v>10</v>
      </c>
      <c r="AK471" s="4" t="n">
        <f aca="false">AJ471+MAX(K471,AK$10:AK470)</f>
        <v>4838.82985076217</v>
      </c>
      <c r="AL471" s="5" t="n">
        <f aca="false">AK471-K471</f>
        <v>230.870691072048</v>
      </c>
      <c r="AM471" s="0" t="n">
        <f aca="false">-G471*AL471/3600</f>
        <v>-0.772101369397528</v>
      </c>
      <c r="AN471" s="0" t="n">
        <f aca="false">-H471*AL471/3600</f>
        <v>-0.732882051905928</v>
      </c>
      <c r="AO471" s="0" t="n">
        <f aca="false">AM471*E471+AN471*D471</f>
        <v>-0.772101369397528</v>
      </c>
      <c r="AP471" s="0" t="n">
        <f aca="false">AL471*D471</f>
        <v>0</v>
      </c>
      <c r="AR471" s="0" t="n">
        <f aca="false">AN471*D471</f>
        <v>-0</v>
      </c>
      <c r="AS471" s="0" t="n">
        <f aca="false">AH471-AR471</f>
        <v>0</v>
      </c>
    </row>
    <row r="472" customFormat="false" ht="12" hidden="false" customHeight="false" outlineLevel="0" collapsed="false">
      <c r="A472" s="3" t="n">
        <f aca="false">A471+1</f>
        <v>463</v>
      </c>
      <c r="B472" s="3" t="n">
        <f aca="false">IF(A472&lt;$N$4/3,0.1,(IF(A472&gt;2*$N$4/3,0.05,0.12)))</f>
        <v>0.12</v>
      </c>
      <c r="C472" s="4" t="n">
        <f aca="true">RAND()</f>
        <v>0.611110262959195</v>
      </c>
      <c r="D472" s="0" t="n">
        <f aca="false">IF((C472&gt;$M$2),1,0)</f>
        <v>0</v>
      </c>
      <c r="E472" s="0" t="n">
        <f aca="false">1-D472</f>
        <v>1</v>
      </c>
      <c r="F472" s="0" t="n">
        <f aca="true">RAND()</f>
        <v>0.742286089479789</v>
      </c>
      <c r="G472" s="0" t="n">
        <f aca="false">7.75+F472*10</f>
        <v>15.1728608947979</v>
      </c>
      <c r="H472" s="0" t="n">
        <f aca="false">LOGINV(F472,2.64,1.139)</f>
        <v>29.3947557298001</v>
      </c>
      <c r="I472" s="0" t="n">
        <v>19.5</v>
      </c>
      <c r="J472" s="4" t="n">
        <f aca="true">-LN(RAND())/B472</f>
        <v>8.2788319330486</v>
      </c>
      <c r="K472" s="4" t="n">
        <f aca="false">K471+J472</f>
        <v>4616.23799162317</v>
      </c>
      <c r="L472" s="4" t="n">
        <f aca="false">(1/$J$4)*(1+AB471)</f>
        <v>10</v>
      </c>
      <c r="M472" s="4" t="n">
        <f aca="false">L472+MAX(K472,Y$10:Y471)</f>
        <v>4848.82985076217</v>
      </c>
      <c r="N472" s="4" t="n">
        <f aca="false">K472</f>
        <v>4616.23799162317</v>
      </c>
      <c r="O472" s="4" t="n">
        <f aca="false">M472-K472</f>
        <v>232.591859139</v>
      </c>
      <c r="P472" s="4" t="n">
        <f aca="false">N472-K472</f>
        <v>0</v>
      </c>
      <c r="Q472" s="4" t="n">
        <f aca="false">A472-MATCH(K472,$M$9:M471,1)</f>
        <v>23</v>
      </c>
      <c r="R472" s="0" t="n">
        <f aca="false">-G472*(O472/3600)</f>
        <v>-0.98030108999402</v>
      </c>
      <c r="S472" s="0" t="n">
        <f aca="false">-1*I472-(H472*(P472/3600))</f>
        <v>-19.5</v>
      </c>
      <c r="T472" s="0" t="n">
        <f aca="false">-H472*(O472/3600)</f>
        <v>-1.89916135670305</v>
      </c>
      <c r="U472" s="0" t="n">
        <f aca="false">T472-S472</f>
        <v>17.600838643297</v>
      </c>
      <c r="V472" s="0" t="n">
        <f aca="false">1/(1+EXP(U472))</f>
        <v>2.27014130386356E-008</v>
      </c>
      <c r="W472" s="0" t="n">
        <f aca="true">RAND()</f>
        <v>0.839448332973891</v>
      </c>
      <c r="X472" s="0" t="n">
        <f aca="false">IF(W472&lt;V472,1,0)</f>
        <v>0</v>
      </c>
      <c r="Y472" s="0" t="n">
        <f aca="false">(M472*(1-X472)+N472*X472)*D472+M472*E472</f>
        <v>4848.82985076217</v>
      </c>
      <c r="Z472" s="0" t="n">
        <f aca="false">((1-X472)*O472+X472*P472)*D472+E472*O472</f>
        <v>232.591859139</v>
      </c>
      <c r="AA472" s="0" t="n">
        <f aca="false">IF(D472*X472&gt;0,AA471,Q472)</f>
        <v>23</v>
      </c>
      <c r="AB472" s="0" t="n">
        <f aca="false">(X472*D472)</f>
        <v>0</v>
      </c>
      <c r="AC472" s="0" t="n">
        <f aca="false">SUM(AB$10:AB471)/K472</f>
        <v>0</v>
      </c>
      <c r="AD472" s="0" t="n">
        <f aca="false">R472*E472+D472*(X472*S472+(1-X472)*T472)</f>
        <v>-0.98030108999402</v>
      </c>
      <c r="AE472" s="0" t="n">
        <f aca="false">Z472</f>
        <v>232.591859139</v>
      </c>
      <c r="AF472" s="0" t="n">
        <f aca="false">E472*O472</f>
        <v>232.591859139</v>
      </c>
      <c r="AG472" s="0" t="n">
        <f aca="false">((1-X472)*O472+X472*P472)*D472</f>
        <v>0</v>
      </c>
      <c r="AH472" s="0" t="n">
        <f aca="false">D472*(LN(EXP(S472)+EXP(T472)))</f>
        <v>-0</v>
      </c>
      <c r="AJ472" s="0" t="n">
        <f aca="false">$J$5</f>
        <v>10</v>
      </c>
      <c r="AK472" s="4" t="n">
        <f aca="false">AJ472+MAX(K472,AK$10:AK471)</f>
        <v>4848.82985076217</v>
      </c>
      <c r="AL472" s="5" t="n">
        <f aca="false">AK472-K472</f>
        <v>232.591859139</v>
      </c>
      <c r="AM472" s="0" t="n">
        <f aca="false">-G472*AL472/3600</f>
        <v>-0.98030108999402</v>
      </c>
      <c r="AN472" s="0" t="n">
        <f aca="false">-H472*AL472/3600</f>
        <v>-1.89916135670305</v>
      </c>
      <c r="AO472" s="0" t="n">
        <f aca="false">AM472*E472+AN472*D472</f>
        <v>-0.98030108999402</v>
      </c>
      <c r="AP472" s="0" t="n">
        <f aca="false">AL472*D472</f>
        <v>0</v>
      </c>
      <c r="AR472" s="0" t="n">
        <f aca="false">AN472*D472</f>
        <v>-0</v>
      </c>
      <c r="AS472" s="0" t="n">
        <f aca="false">AH472-AR472</f>
        <v>0</v>
      </c>
    </row>
    <row r="473" customFormat="false" ht="12" hidden="false" customHeight="false" outlineLevel="0" collapsed="false">
      <c r="A473" s="3" t="n">
        <f aca="false">A472+1</f>
        <v>464</v>
      </c>
      <c r="B473" s="3" t="n">
        <f aca="false">IF(A473&lt;$N$4/3,0.1,(IF(A473&gt;2*$N$4/3,0.05,0.12)))</f>
        <v>0.12</v>
      </c>
      <c r="C473" s="4" t="n">
        <f aca="true">RAND()</f>
        <v>0.188410603721061</v>
      </c>
      <c r="D473" s="0" t="n">
        <f aca="false">IF((C473&gt;$M$2),1,0)</f>
        <v>0</v>
      </c>
      <c r="E473" s="0" t="n">
        <f aca="false">1-D473</f>
        <v>1</v>
      </c>
      <c r="F473" s="0" t="n">
        <f aca="true">RAND()</f>
        <v>0.625239411909618</v>
      </c>
      <c r="G473" s="0" t="n">
        <f aca="false">7.75+F473*10</f>
        <v>14.0023941190962</v>
      </c>
      <c r="H473" s="0" t="n">
        <f aca="false">LOGINV(F473,2.64,1.139)</f>
        <v>20.1589717332235</v>
      </c>
      <c r="I473" s="0" t="n">
        <v>19.5</v>
      </c>
      <c r="J473" s="4" t="n">
        <f aca="true">-LN(RAND())/B473</f>
        <v>5.85278451644217</v>
      </c>
      <c r="K473" s="4" t="n">
        <f aca="false">K472+J473</f>
        <v>4622.09077613961</v>
      </c>
      <c r="L473" s="4" t="n">
        <f aca="false">(1/$J$4)*(1+AB472)</f>
        <v>10</v>
      </c>
      <c r="M473" s="4" t="n">
        <f aca="false">L473+MAX(K473,Y$10:Y472)</f>
        <v>4858.82985076217</v>
      </c>
      <c r="N473" s="4" t="n">
        <f aca="false">K473</f>
        <v>4622.09077613961</v>
      </c>
      <c r="O473" s="4" t="n">
        <f aca="false">M473-K473</f>
        <v>236.739074622557</v>
      </c>
      <c r="P473" s="4" t="n">
        <f aca="false">N473-K473</f>
        <v>0</v>
      </c>
      <c r="Q473" s="4" t="n">
        <f aca="false">A473-MATCH(K473,$M$9:M472,1)</f>
        <v>23</v>
      </c>
      <c r="R473" s="0" t="n">
        <f aca="false">-G473*(O473/3600)</f>
        <v>-0.920809396181992</v>
      </c>
      <c r="S473" s="0" t="n">
        <f aca="false">-1*I473-(H473*(P473/3600))</f>
        <v>-19.5</v>
      </c>
      <c r="T473" s="0" t="n">
        <f aca="false">-H473*(O473/3600)</f>
        <v>-1.3256711981849</v>
      </c>
      <c r="U473" s="0" t="n">
        <f aca="false">T473-S473</f>
        <v>18.1743288018151</v>
      </c>
      <c r="V473" s="0" t="n">
        <f aca="false">1/(1+EXP(U473))</f>
        <v>1.27934973503727E-008</v>
      </c>
      <c r="W473" s="0" t="n">
        <f aca="true">RAND()</f>
        <v>0.704524006168758</v>
      </c>
      <c r="X473" s="0" t="n">
        <f aca="false">IF(W473&lt;V473,1,0)</f>
        <v>0</v>
      </c>
      <c r="Y473" s="0" t="n">
        <f aca="false">(M473*(1-X473)+N473*X473)*D473+M473*E473</f>
        <v>4858.82985076217</v>
      </c>
      <c r="Z473" s="0" t="n">
        <f aca="false">((1-X473)*O473+X473*P473)*D473+E473*O473</f>
        <v>236.739074622557</v>
      </c>
      <c r="AA473" s="0" t="n">
        <f aca="false">IF(D473*X473&gt;0,AA472,Q473)</f>
        <v>23</v>
      </c>
      <c r="AB473" s="0" t="n">
        <f aca="false">(X473*D473)</f>
        <v>0</v>
      </c>
      <c r="AC473" s="0" t="n">
        <f aca="false">SUM(AB$10:AB472)/K473</f>
        <v>0</v>
      </c>
      <c r="AD473" s="0" t="n">
        <f aca="false">R473*E473+D473*(X473*S473+(1-X473)*T473)</f>
        <v>-0.920809396181992</v>
      </c>
      <c r="AE473" s="0" t="n">
        <f aca="false">Z473</f>
        <v>236.739074622557</v>
      </c>
      <c r="AF473" s="0" t="n">
        <f aca="false">E473*O473</f>
        <v>236.739074622557</v>
      </c>
      <c r="AG473" s="0" t="n">
        <f aca="false">((1-X473)*O473+X473*P473)*D473</f>
        <v>0</v>
      </c>
      <c r="AH473" s="0" t="n">
        <f aca="false">D473*(LN(EXP(S473)+EXP(T473)))</f>
        <v>-0</v>
      </c>
      <c r="AJ473" s="0" t="n">
        <f aca="false">$J$5</f>
        <v>10</v>
      </c>
      <c r="AK473" s="4" t="n">
        <f aca="false">AJ473+MAX(K473,AK$10:AK472)</f>
        <v>4858.82985076217</v>
      </c>
      <c r="AL473" s="5" t="n">
        <f aca="false">AK473-K473</f>
        <v>236.739074622557</v>
      </c>
      <c r="AM473" s="0" t="n">
        <f aca="false">-G473*AL473/3600</f>
        <v>-0.920809396181991</v>
      </c>
      <c r="AN473" s="0" t="n">
        <f aca="false">-H473*AL473/3600</f>
        <v>-1.3256711981849</v>
      </c>
      <c r="AO473" s="0" t="n">
        <f aca="false">AM473*E473+AN473*D473</f>
        <v>-0.920809396181991</v>
      </c>
      <c r="AP473" s="0" t="n">
        <f aca="false">AL473*D473</f>
        <v>0</v>
      </c>
      <c r="AR473" s="0" t="n">
        <f aca="false">AN473*D473</f>
        <v>-0</v>
      </c>
      <c r="AS473" s="0" t="n">
        <f aca="false">AH473-AR473</f>
        <v>0</v>
      </c>
    </row>
    <row r="474" customFormat="false" ht="12" hidden="false" customHeight="false" outlineLevel="0" collapsed="false">
      <c r="A474" s="3" t="n">
        <f aca="false">A473+1</f>
        <v>465</v>
      </c>
      <c r="B474" s="3" t="n">
        <f aca="false">IF(A474&lt;$N$4/3,0.1,(IF(A474&gt;2*$N$4/3,0.05,0.12)))</f>
        <v>0.12</v>
      </c>
      <c r="C474" s="4" t="n">
        <f aca="true">RAND()</f>
        <v>0.34799671915497</v>
      </c>
      <c r="D474" s="0" t="n">
        <f aca="false">IF((C474&gt;$M$2),1,0)</f>
        <v>0</v>
      </c>
      <c r="E474" s="0" t="n">
        <f aca="false">1-D474</f>
        <v>1</v>
      </c>
      <c r="F474" s="0" t="n">
        <f aca="true">RAND()</f>
        <v>0.382710019627596</v>
      </c>
      <c r="G474" s="0" t="n">
        <f aca="false">7.75+F474*10</f>
        <v>11.577100196276</v>
      </c>
      <c r="H474" s="0" t="n">
        <f aca="false">LOGINV(F474,2.64,1.139)</f>
        <v>9.97573315550312</v>
      </c>
      <c r="I474" s="0" t="n">
        <v>19.5</v>
      </c>
      <c r="J474" s="4" t="n">
        <f aca="true">-LN(RAND())/B474</f>
        <v>6.38196032427631</v>
      </c>
      <c r="K474" s="4" t="n">
        <f aca="false">K473+J474</f>
        <v>4628.47273646389</v>
      </c>
      <c r="L474" s="4" t="n">
        <f aca="false">(1/$J$4)*(1+AB473)</f>
        <v>10</v>
      </c>
      <c r="M474" s="4" t="n">
        <f aca="false">L474+MAX(K474,Y$10:Y473)</f>
        <v>4868.82985076217</v>
      </c>
      <c r="N474" s="4" t="n">
        <f aca="false">K474</f>
        <v>4628.47273646389</v>
      </c>
      <c r="O474" s="4" t="n">
        <f aca="false">M474-K474</f>
        <v>240.357114298281</v>
      </c>
      <c r="P474" s="4" t="n">
        <f aca="false">N474-K474</f>
        <v>0</v>
      </c>
      <c r="Q474" s="4" t="n">
        <f aca="false">A474-MATCH(K474,$M$9:M473,1)</f>
        <v>24</v>
      </c>
      <c r="R474" s="0" t="n">
        <f aca="false">-G474*(O474/3600)</f>
        <v>-0.772955109755264</v>
      </c>
      <c r="S474" s="0" t="n">
        <f aca="false">-1*I474-(H474*(P474/3600))</f>
        <v>-19.5</v>
      </c>
      <c r="T474" s="0" t="n">
        <f aca="false">-H474*(O474/3600)</f>
        <v>-0.666038453962893</v>
      </c>
      <c r="U474" s="0" t="n">
        <f aca="false">T474-S474</f>
        <v>18.8339615460371</v>
      </c>
      <c r="V474" s="0" t="n">
        <f aca="false">1/(1+EXP(U474))</f>
        <v>6.61476508387456E-009</v>
      </c>
      <c r="W474" s="0" t="n">
        <f aca="true">RAND()</f>
        <v>0.501339210325573</v>
      </c>
      <c r="X474" s="0" t="n">
        <f aca="false">IF(W474&lt;V474,1,0)</f>
        <v>0</v>
      </c>
      <c r="Y474" s="0" t="n">
        <f aca="false">(M474*(1-X474)+N474*X474)*D474+M474*E474</f>
        <v>4868.82985076217</v>
      </c>
      <c r="Z474" s="0" t="n">
        <f aca="false">((1-X474)*O474+X474*P474)*D474+E474*O474</f>
        <v>240.357114298281</v>
      </c>
      <c r="AA474" s="0" t="n">
        <f aca="false">IF(D474*X474&gt;0,AA473,Q474)</f>
        <v>24</v>
      </c>
      <c r="AB474" s="0" t="n">
        <f aca="false">(X474*D474)</f>
        <v>0</v>
      </c>
      <c r="AC474" s="0" t="n">
        <f aca="false">SUM(AB$10:AB473)/K474</f>
        <v>0</v>
      </c>
      <c r="AD474" s="0" t="n">
        <f aca="false">R474*E474+D474*(X474*S474+(1-X474)*T474)</f>
        <v>-0.772955109755264</v>
      </c>
      <c r="AE474" s="0" t="n">
        <f aca="false">Z474</f>
        <v>240.357114298281</v>
      </c>
      <c r="AF474" s="0" t="n">
        <f aca="false">E474*O474</f>
        <v>240.357114298281</v>
      </c>
      <c r="AG474" s="0" t="n">
        <f aca="false">((1-X474)*O474+X474*P474)*D474</f>
        <v>0</v>
      </c>
      <c r="AH474" s="0" t="n">
        <f aca="false">D474*(LN(EXP(S474)+EXP(T474)))</f>
        <v>-0</v>
      </c>
      <c r="AJ474" s="0" t="n">
        <f aca="false">$J$5</f>
        <v>10</v>
      </c>
      <c r="AK474" s="4" t="n">
        <f aca="false">AJ474+MAX(K474,AK$10:AK473)</f>
        <v>4868.82985076217</v>
      </c>
      <c r="AL474" s="5" t="n">
        <f aca="false">AK474-K474</f>
        <v>240.357114298281</v>
      </c>
      <c r="AM474" s="0" t="n">
        <f aca="false">-G474*AL474/3600</f>
        <v>-0.772955109755264</v>
      </c>
      <c r="AN474" s="0" t="n">
        <f aca="false">-H474*AL474/3600</f>
        <v>-0.666038453962893</v>
      </c>
      <c r="AO474" s="0" t="n">
        <f aca="false">AM474*E474+AN474*D474</f>
        <v>-0.772955109755264</v>
      </c>
      <c r="AP474" s="0" t="n">
        <f aca="false">AL474*D474</f>
        <v>0</v>
      </c>
      <c r="AR474" s="0" t="n">
        <f aca="false">AN474*D474</f>
        <v>-0</v>
      </c>
      <c r="AS474" s="0" t="n">
        <f aca="false">AH474-AR474</f>
        <v>0</v>
      </c>
    </row>
    <row r="475" customFormat="false" ht="12" hidden="false" customHeight="false" outlineLevel="0" collapsed="false">
      <c r="A475" s="3" t="n">
        <f aca="false">A474+1</f>
        <v>466</v>
      </c>
      <c r="B475" s="3" t="n">
        <f aca="false">IF(A475&lt;$N$4/3,0.1,(IF(A475&gt;2*$N$4/3,0.05,0.12)))</f>
        <v>0.12</v>
      </c>
      <c r="C475" s="4" t="n">
        <f aca="true">RAND()</f>
        <v>0.857899476706123</v>
      </c>
      <c r="D475" s="0" t="n">
        <f aca="false">IF((C475&gt;$M$2),1,0)</f>
        <v>0</v>
      </c>
      <c r="E475" s="0" t="n">
        <f aca="false">1-D475</f>
        <v>1</v>
      </c>
      <c r="F475" s="0" t="n">
        <f aca="true">RAND()</f>
        <v>0.161549909296831</v>
      </c>
      <c r="G475" s="0" t="n">
        <f aca="false">7.75+F475*10</f>
        <v>9.36549909296831</v>
      </c>
      <c r="H475" s="0" t="n">
        <f aca="false">LOGINV(F475,2.64,1.139)</f>
        <v>4.5473521954476</v>
      </c>
      <c r="I475" s="0" t="n">
        <v>19.5</v>
      </c>
      <c r="J475" s="4" t="n">
        <f aca="true">-LN(RAND())/B475</f>
        <v>29.916549628872</v>
      </c>
      <c r="K475" s="4" t="n">
        <f aca="false">K474+J475</f>
        <v>4658.38928609276</v>
      </c>
      <c r="L475" s="4" t="n">
        <f aca="false">(1/$J$4)*(1+AB474)</f>
        <v>10</v>
      </c>
      <c r="M475" s="4" t="n">
        <f aca="false">L475+MAX(K475,Y$10:Y474)</f>
        <v>4878.82985076217</v>
      </c>
      <c r="N475" s="4" t="n">
        <f aca="false">K475</f>
        <v>4658.38928609276</v>
      </c>
      <c r="O475" s="4" t="n">
        <f aca="false">M475-K475</f>
        <v>220.440564669409</v>
      </c>
      <c r="P475" s="4" t="n">
        <f aca="false">N475-K475</f>
        <v>0</v>
      </c>
      <c r="Q475" s="4" t="n">
        <f aca="false">A475-MATCH(K475,$M$9:M474,1)</f>
        <v>22</v>
      </c>
      <c r="R475" s="0" t="n">
        <f aca="false">-G475*(O475/3600)</f>
        <v>-0.573482196795769</v>
      </c>
      <c r="S475" s="0" t="n">
        <f aca="false">-1*I475-(H475*(P475/3600))</f>
        <v>-19.5</v>
      </c>
      <c r="T475" s="0" t="n">
        <f aca="false">-H475*(O475/3600)</f>
        <v>-0.278450246031984</v>
      </c>
      <c r="U475" s="0" t="n">
        <f aca="false">T475-S475</f>
        <v>19.221549753968</v>
      </c>
      <c r="V475" s="0" t="n">
        <f aca="false">1/(1+EXP(U475))</f>
        <v>4.48938660344253E-009</v>
      </c>
      <c r="W475" s="0" t="n">
        <f aca="true">RAND()</f>
        <v>0.0842851584206547</v>
      </c>
      <c r="X475" s="0" t="n">
        <f aca="false">IF(W475&lt;V475,1,0)</f>
        <v>0</v>
      </c>
      <c r="Y475" s="0" t="n">
        <f aca="false">(M475*(1-X475)+N475*X475)*D475+M475*E475</f>
        <v>4878.82985076217</v>
      </c>
      <c r="Z475" s="0" t="n">
        <f aca="false">((1-X475)*O475+X475*P475)*D475+E475*O475</f>
        <v>220.440564669409</v>
      </c>
      <c r="AA475" s="0" t="n">
        <f aca="false">IF(D475*X475&gt;0,AA474,Q475)</f>
        <v>22</v>
      </c>
      <c r="AB475" s="0" t="n">
        <f aca="false">(X475*D475)</f>
        <v>0</v>
      </c>
      <c r="AC475" s="0" t="n">
        <f aca="false">SUM(AB$10:AB474)/K475</f>
        <v>0</v>
      </c>
      <c r="AD475" s="0" t="n">
        <f aca="false">R475*E475+D475*(X475*S475+(1-X475)*T475)</f>
        <v>-0.573482196795769</v>
      </c>
      <c r="AE475" s="0" t="n">
        <f aca="false">Z475</f>
        <v>220.440564669409</v>
      </c>
      <c r="AF475" s="0" t="n">
        <f aca="false">E475*O475</f>
        <v>220.440564669409</v>
      </c>
      <c r="AG475" s="0" t="n">
        <f aca="false">((1-X475)*O475+X475*P475)*D475</f>
        <v>0</v>
      </c>
      <c r="AH475" s="0" t="n">
        <f aca="false">D475*(LN(EXP(S475)+EXP(T475)))</f>
        <v>-0</v>
      </c>
      <c r="AJ475" s="0" t="n">
        <f aca="false">$J$5</f>
        <v>10</v>
      </c>
      <c r="AK475" s="4" t="n">
        <f aca="false">AJ475+MAX(K475,AK$10:AK474)</f>
        <v>4878.82985076217</v>
      </c>
      <c r="AL475" s="5" t="n">
        <f aca="false">AK475-K475</f>
        <v>220.440564669409</v>
      </c>
      <c r="AM475" s="0" t="n">
        <f aca="false">-G475*AL475/3600</f>
        <v>-0.573482196795769</v>
      </c>
      <c r="AN475" s="0" t="n">
        <f aca="false">-H475*AL475/3600</f>
        <v>-0.278450246031984</v>
      </c>
      <c r="AO475" s="0" t="n">
        <f aca="false">AM475*E475+AN475*D475</f>
        <v>-0.573482196795769</v>
      </c>
      <c r="AP475" s="0" t="n">
        <f aca="false">AL475*D475</f>
        <v>0</v>
      </c>
      <c r="AR475" s="0" t="n">
        <f aca="false">AN475*D475</f>
        <v>-0</v>
      </c>
      <c r="AS475" s="0" t="n">
        <f aca="false">AH475-AR475</f>
        <v>0</v>
      </c>
    </row>
    <row r="476" customFormat="false" ht="12" hidden="false" customHeight="false" outlineLevel="0" collapsed="false">
      <c r="A476" s="3" t="n">
        <f aca="false">A475+1</f>
        <v>467</v>
      </c>
      <c r="B476" s="3" t="n">
        <f aca="false">IF(A476&lt;$N$4/3,0.1,(IF(A476&gt;2*$N$4/3,0.05,0.12)))</f>
        <v>0.12</v>
      </c>
      <c r="C476" s="4" t="n">
        <f aca="true">RAND()</f>
        <v>0.0823138130821946</v>
      </c>
      <c r="D476" s="0" t="n">
        <f aca="false">IF((C476&gt;$M$2),1,0)</f>
        <v>0</v>
      </c>
      <c r="E476" s="0" t="n">
        <f aca="false">1-D476</f>
        <v>1</v>
      </c>
      <c r="F476" s="0" t="n">
        <f aca="true">RAND()</f>
        <v>0.348541212998382</v>
      </c>
      <c r="G476" s="0" t="n">
        <f aca="false">7.75+F476*10</f>
        <v>11.2354121299838</v>
      </c>
      <c r="H476" s="0" t="n">
        <f aca="false">LOGINV(F476,2.64,1.139)</f>
        <v>8.99465677228245</v>
      </c>
      <c r="I476" s="0" t="n">
        <v>19.5</v>
      </c>
      <c r="J476" s="4" t="n">
        <f aca="true">-LN(RAND())/B476</f>
        <v>1.00613532761091</v>
      </c>
      <c r="K476" s="4" t="n">
        <f aca="false">K475+J476</f>
        <v>4659.39542142037</v>
      </c>
      <c r="L476" s="4" t="n">
        <f aca="false">(1/$J$4)*(1+AB475)</f>
        <v>10</v>
      </c>
      <c r="M476" s="4" t="n">
        <f aca="false">L476+MAX(K476,Y$10:Y475)</f>
        <v>4888.82985076217</v>
      </c>
      <c r="N476" s="4" t="n">
        <f aca="false">K476</f>
        <v>4659.39542142037</v>
      </c>
      <c r="O476" s="4" t="n">
        <f aca="false">M476-K476</f>
        <v>229.434429341798</v>
      </c>
      <c r="P476" s="4" t="n">
        <f aca="false">N476-K476</f>
        <v>0</v>
      </c>
      <c r="Q476" s="4" t="n">
        <f aca="false">A476-MATCH(K476,$M$9:M475,1)</f>
        <v>22</v>
      </c>
      <c r="R476" s="0" t="n">
        <f aca="false">-G476*(O476/3600)</f>
        <v>-0.716052880684098</v>
      </c>
      <c r="S476" s="0" t="n">
        <f aca="false">-1*I476-(H476*(P476/3600))</f>
        <v>-19.5</v>
      </c>
      <c r="T476" s="0" t="n">
        <f aca="false">-H476*(O476/3600)</f>
        <v>-0.573245539909434</v>
      </c>
      <c r="U476" s="0" t="n">
        <f aca="false">T476-S476</f>
        <v>18.9267544600906</v>
      </c>
      <c r="V476" s="0" t="n">
        <f aca="false">1/(1+EXP(U476))</f>
        <v>6.02857925872992E-009</v>
      </c>
      <c r="W476" s="0" t="n">
        <f aca="true">RAND()</f>
        <v>0.375306750367727</v>
      </c>
      <c r="X476" s="0" t="n">
        <f aca="false">IF(W476&lt;V476,1,0)</f>
        <v>0</v>
      </c>
      <c r="Y476" s="0" t="n">
        <f aca="false">(M476*(1-X476)+N476*X476)*D476+M476*E476</f>
        <v>4888.82985076217</v>
      </c>
      <c r="Z476" s="0" t="n">
        <f aca="false">((1-X476)*O476+X476*P476)*D476+E476*O476</f>
        <v>229.434429341798</v>
      </c>
      <c r="AA476" s="0" t="n">
        <f aca="false">IF(D476*X476&gt;0,AA475,Q476)</f>
        <v>22</v>
      </c>
      <c r="AB476" s="0" t="n">
        <f aca="false">(X476*D476)</f>
        <v>0</v>
      </c>
      <c r="AC476" s="0" t="n">
        <f aca="false">SUM(AB$10:AB475)/K476</f>
        <v>0</v>
      </c>
      <c r="AD476" s="0" t="n">
        <f aca="false">R476*E476+D476*(X476*S476+(1-X476)*T476)</f>
        <v>-0.716052880684098</v>
      </c>
      <c r="AE476" s="0" t="n">
        <f aca="false">Z476</f>
        <v>229.434429341798</v>
      </c>
      <c r="AF476" s="0" t="n">
        <f aca="false">E476*O476</f>
        <v>229.434429341798</v>
      </c>
      <c r="AG476" s="0" t="n">
        <f aca="false">((1-X476)*O476+X476*P476)*D476</f>
        <v>0</v>
      </c>
      <c r="AH476" s="0" t="n">
        <f aca="false">D476*(LN(EXP(S476)+EXP(T476)))</f>
        <v>-0</v>
      </c>
      <c r="AJ476" s="0" t="n">
        <f aca="false">$J$5</f>
        <v>10</v>
      </c>
      <c r="AK476" s="4" t="n">
        <f aca="false">AJ476+MAX(K476,AK$10:AK475)</f>
        <v>4888.82985076217</v>
      </c>
      <c r="AL476" s="5" t="n">
        <f aca="false">AK476-K476</f>
        <v>229.434429341798</v>
      </c>
      <c r="AM476" s="0" t="n">
        <f aca="false">-G476*AL476/3600</f>
        <v>-0.716052880684098</v>
      </c>
      <c r="AN476" s="0" t="n">
        <f aca="false">-H476*AL476/3600</f>
        <v>-0.573245539909434</v>
      </c>
      <c r="AO476" s="0" t="n">
        <f aca="false">AM476*E476+AN476*D476</f>
        <v>-0.716052880684098</v>
      </c>
      <c r="AP476" s="0" t="n">
        <f aca="false">AL476*D476</f>
        <v>0</v>
      </c>
      <c r="AR476" s="0" t="n">
        <f aca="false">AN476*D476</f>
        <v>-0</v>
      </c>
      <c r="AS476" s="0" t="n">
        <f aca="false">AH476-AR476</f>
        <v>0</v>
      </c>
    </row>
    <row r="477" customFormat="false" ht="12" hidden="false" customHeight="false" outlineLevel="0" collapsed="false">
      <c r="A477" s="3" t="n">
        <f aca="false">A476+1</f>
        <v>468</v>
      </c>
      <c r="B477" s="3" t="n">
        <f aca="false">IF(A477&lt;$N$4/3,0.1,(IF(A477&gt;2*$N$4/3,0.05,0.12)))</f>
        <v>0.12</v>
      </c>
      <c r="C477" s="4" t="n">
        <f aca="true">RAND()</f>
        <v>0.181825993721054</v>
      </c>
      <c r="D477" s="0" t="n">
        <f aca="false">IF((C477&gt;$M$2),1,0)</f>
        <v>0</v>
      </c>
      <c r="E477" s="0" t="n">
        <f aca="false">1-D477</f>
        <v>1</v>
      </c>
      <c r="F477" s="0" t="n">
        <f aca="true">RAND()</f>
        <v>0.0623154879242514</v>
      </c>
      <c r="G477" s="0" t="n">
        <f aca="false">7.75+F477*10</f>
        <v>8.37315487924251</v>
      </c>
      <c r="H477" s="0" t="n">
        <f aca="false">LOGINV(F477,2.64,1.139)</f>
        <v>2.43738536952145</v>
      </c>
      <c r="I477" s="0" t="n">
        <v>19.5</v>
      </c>
      <c r="J477" s="4" t="n">
        <f aca="true">-LN(RAND())/B477</f>
        <v>8.30343279402132</v>
      </c>
      <c r="K477" s="4" t="n">
        <f aca="false">K476+J477</f>
        <v>4667.69885421439</v>
      </c>
      <c r="L477" s="4" t="n">
        <f aca="false">(1/$J$4)*(1+AB476)</f>
        <v>10</v>
      </c>
      <c r="M477" s="4" t="n">
        <f aca="false">L477+MAX(K477,Y$10:Y476)</f>
        <v>4898.82985076217</v>
      </c>
      <c r="N477" s="4" t="n">
        <f aca="false">K477</f>
        <v>4667.69885421439</v>
      </c>
      <c r="O477" s="4" t="n">
        <f aca="false">M477-K477</f>
        <v>231.130996547777</v>
      </c>
      <c r="P477" s="4" t="n">
        <f aca="false">N477-K477</f>
        <v>0</v>
      </c>
      <c r="Q477" s="4" t="n">
        <f aca="false">A477-MATCH(K477,$M$9:M476,1)</f>
        <v>23</v>
      </c>
      <c r="R477" s="0" t="n">
        <f aca="false">-G477*(O477/3600)</f>
        <v>-0.537582119857834</v>
      </c>
      <c r="S477" s="0" t="n">
        <f aca="false">-1*I477-(H477*(P477/3600))</f>
        <v>-19.5</v>
      </c>
      <c r="T477" s="0" t="n">
        <f aca="false">-H477*(O477/3600)</f>
        <v>-0.156487585952351</v>
      </c>
      <c r="U477" s="0" t="n">
        <f aca="false">T477-S477</f>
        <v>19.3435124140476</v>
      </c>
      <c r="V477" s="0" t="n">
        <f aca="false">1/(1+EXP(U477))</f>
        <v>3.97392161280929E-009</v>
      </c>
      <c r="W477" s="0" t="n">
        <f aca="true">RAND()</f>
        <v>0.196390168824757</v>
      </c>
      <c r="X477" s="0" t="n">
        <f aca="false">IF(W477&lt;V477,1,0)</f>
        <v>0</v>
      </c>
      <c r="Y477" s="0" t="n">
        <f aca="false">(M477*(1-X477)+N477*X477)*D477+M477*E477</f>
        <v>4898.82985076217</v>
      </c>
      <c r="Z477" s="0" t="n">
        <f aca="false">((1-X477)*O477+X477*P477)*D477+E477*O477</f>
        <v>231.130996547777</v>
      </c>
      <c r="AA477" s="0" t="n">
        <f aca="false">IF(D477*X477&gt;0,AA476,Q477)</f>
        <v>23</v>
      </c>
      <c r="AB477" s="0" t="n">
        <f aca="false">(X477*D477)</f>
        <v>0</v>
      </c>
      <c r="AC477" s="0" t="n">
        <f aca="false">SUM(AB$10:AB476)/K477</f>
        <v>0</v>
      </c>
      <c r="AD477" s="0" t="n">
        <f aca="false">R477*E477+D477*(X477*S477+(1-X477)*T477)</f>
        <v>-0.537582119857834</v>
      </c>
      <c r="AE477" s="0" t="n">
        <f aca="false">Z477</f>
        <v>231.130996547777</v>
      </c>
      <c r="AF477" s="0" t="n">
        <f aca="false">E477*O477</f>
        <v>231.130996547777</v>
      </c>
      <c r="AG477" s="0" t="n">
        <f aca="false">((1-X477)*O477+X477*P477)*D477</f>
        <v>0</v>
      </c>
      <c r="AH477" s="0" t="n">
        <f aca="false">D477*(LN(EXP(S477)+EXP(T477)))</f>
        <v>-0</v>
      </c>
      <c r="AJ477" s="0" t="n">
        <f aca="false">$J$5</f>
        <v>10</v>
      </c>
      <c r="AK477" s="4" t="n">
        <f aca="false">AJ477+MAX(K477,AK$10:AK476)</f>
        <v>4898.82985076217</v>
      </c>
      <c r="AL477" s="5" t="n">
        <f aca="false">AK477-K477</f>
        <v>231.130996547777</v>
      </c>
      <c r="AM477" s="0" t="n">
        <f aca="false">-G477*AL477/3600</f>
        <v>-0.537582119857834</v>
      </c>
      <c r="AN477" s="0" t="n">
        <f aca="false">-H477*AL477/3600</f>
        <v>-0.156487585952351</v>
      </c>
      <c r="AO477" s="0" t="n">
        <f aca="false">AM477*E477+AN477*D477</f>
        <v>-0.537582119857834</v>
      </c>
      <c r="AP477" s="0" t="n">
        <f aca="false">AL477*D477</f>
        <v>0</v>
      </c>
      <c r="AR477" s="0" t="n">
        <f aca="false">AN477*D477</f>
        <v>-0</v>
      </c>
      <c r="AS477" s="0" t="n">
        <f aca="false">AH477-AR477</f>
        <v>0</v>
      </c>
    </row>
    <row r="478" customFormat="false" ht="12" hidden="false" customHeight="false" outlineLevel="0" collapsed="false">
      <c r="A478" s="3" t="n">
        <f aca="false">A477+1</f>
        <v>469</v>
      </c>
      <c r="B478" s="3" t="n">
        <f aca="false">IF(A478&lt;$N$4/3,0.1,(IF(A478&gt;2*$N$4/3,0.05,0.12)))</f>
        <v>0.12</v>
      </c>
      <c r="C478" s="4" t="n">
        <f aca="true">RAND()</f>
        <v>0.571798927025376</v>
      </c>
      <c r="D478" s="0" t="n">
        <f aca="false">IF((C478&gt;$M$2),1,0)</f>
        <v>0</v>
      </c>
      <c r="E478" s="0" t="n">
        <f aca="false">1-D478</f>
        <v>1</v>
      </c>
      <c r="F478" s="0" t="n">
        <f aca="true">RAND()</f>
        <v>0.457133288206482</v>
      </c>
      <c r="G478" s="0" t="n">
        <f aca="false">7.75+F478*10</f>
        <v>12.3213328820648</v>
      </c>
      <c r="H478" s="0" t="n">
        <f aca="false">LOGINV(F478,2.64,1.139)</f>
        <v>12.396038534453</v>
      </c>
      <c r="I478" s="0" t="n">
        <v>19.5</v>
      </c>
      <c r="J478" s="4" t="n">
        <f aca="true">-LN(RAND())/B478</f>
        <v>2.17143576049965</v>
      </c>
      <c r="K478" s="4" t="n">
        <f aca="false">K477+J478</f>
        <v>4669.87028997489</v>
      </c>
      <c r="L478" s="4" t="n">
        <f aca="false">(1/$J$4)*(1+AB477)</f>
        <v>10</v>
      </c>
      <c r="M478" s="4" t="n">
        <f aca="false">L478+MAX(K478,Y$10:Y477)</f>
        <v>4908.82985076217</v>
      </c>
      <c r="N478" s="4" t="n">
        <f aca="false">K478</f>
        <v>4669.87028997489</v>
      </c>
      <c r="O478" s="4" t="n">
        <f aca="false">M478-K478</f>
        <v>238.959560787277</v>
      </c>
      <c r="P478" s="4" t="n">
        <f aca="false">N478-K478</f>
        <v>0</v>
      </c>
      <c r="Q478" s="4" t="n">
        <f aca="false">A478-MATCH(K478,$M$9:M477,1)</f>
        <v>23</v>
      </c>
      <c r="R478" s="0" t="n">
        <f aca="false">-G478*(O478/3600)</f>
        <v>-0.817861192725568</v>
      </c>
      <c r="S478" s="0" t="n">
        <f aca="false">-1*I478-(H478*(P478/3600))</f>
        <v>-19.5</v>
      </c>
      <c r="T478" s="0" t="n">
        <f aca="false">-H478*(O478/3600)</f>
        <v>-0.822819978804182</v>
      </c>
      <c r="U478" s="0" t="n">
        <f aca="false">T478-S478</f>
        <v>18.6771800211958</v>
      </c>
      <c r="V478" s="0" t="n">
        <f aca="false">1/(1+EXP(U478))</f>
        <v>7.73755547809188E-009</v>
      </c>
      <c r="W478" s="0" t="n">
        <f aca="true">RAND()</f>
        <v>0.579703861388842</v>
      </c>
      <c r="X478" s="0" t="n">
        <f aca="false">IF(W478&lt;V478,1,0)</f>
        <v>0</v>
      </c>
      <c r="Y478" s="0" t="n">
        <f aca="false">(M478*(1-X478)+N478*X478)*D478+M478*E478</f>
        <v>4908.82985076217</v>
      </c>
      <c r="Z478" s="0" t="n">
        <f aca="false">((1-X478)*O478+X478*P478)*D478+E478*O478</f>
        <v>238.959560787277</v>
      </c>
      <c r="AA478" s="0" t="n">
        <f aca="false">IF(D478*X478&gt;0,AA477,Q478)</f>
        <v>23</v>
      </c>
      <c r="AB478" s="0" t="n">
        <f aca="false">(X478*D478)</f>
        <v>0</v>
      </c>
      <c r="AC478" s="0" t="n">
        <f aca="false">SUM(AB$10:AB477)/K478</f>
        <v>0</v>
      </c>
      <c r="AD478" s="0" t="n">
        <f aca="false">R478*E478+D478*(X478*S478+(1-X478)*T478)</f>
        <v>-0.817861192725568</v>
      </c>
      <c r="AE478" s="0" t="n">
        <f aca="false">Z478</f>
        <v>238.959560787277</v>
      </c>
      <c r="AF478" s="0" t="n">
        <f aca="false">E478*O478</f>
        <v>238.959560787277</v>
      </c>
      <c r="AG478" s="0" t="n">
        <f aca="false">((1-X478)*O478+X478*P478)*D478</f>
        <v>0</v>
      </c>
      <c r="AH478" s="0" t="n">
        <f aca="false">D478*(LN(EXP(S478)+EXP(T478)))</f>
        <v>-0</v>
      </c>
      <c r="AJ478" s="0" t="n">
        <f aca="false">$J$5</f>
        <v>10</v>
      </c>
      <c r="AK478" s="4" t="n">
        <f aca="false">AJ478+MAX(K478,AK$10:AK477)</f>
        <v>4908.82985076217</v>
      </c>
      <c r="AL478" s="5" t="n">
        <f aca="false">AK478-K478</f>
        <v>238.959560787277</v>
      </c>
      <c r="AM478" s="0" t="n">
        <f aca="false">-G478*AL478/3600</f>
        <v>-0.817861192725568</v>
      </c>
      <c r="AN478" s="0" t="n">
        <f aca="false">-H478*AL478/3600</f>
        <v>-0.822819978804182</v>
      </c>
      <c r="AO478" s="0" t="n">
        <f aca="false">AM478*E478+AN478*D478</f>
        <v>-0.817861192725568</v>
      </c>
      <c r="AP478" s="0" t="n">
        <f aca="false">AL478*D478</f>
        <v>0</v>
      </c>
      <c r="AR478" s="0" t="n">
        <f aca="false">AN478*D478</f>
        <v>-0</v>
      </c>
      <c r="AS478" s="0" t="n">
        <f aca="false">AH478-AR478</f>
        <v>0</v>
      </c>
    </row>
    <row r="479" customFormat="false" ht="12" hidden="false" customHeight="false" outlineLevel="0" collapsed="false">
      <c r="A479" s="3" t="n">
        <f aca="false">A478+1</f>
        <v>470</v>
      </c>
      <c r="B479" s="3" t="n">
        <f aca="false">IF(A479&lt;$N$4/3,0.1,(IF(A479&gt;2*$N$4/3,0.05,0.12)))</f>
        <v>0.12</v>
      </c>
      <c r="C479" s="4" t="n">
        <f aca="true">RAND()</f>
        <v>0.572988957234675</v>
      </c>
      <c r="D479" s="0" t="n">
        <f aca="false">IF((C479&gt;$M$2),1,0)</f>
        <v>0</v>
      </c>
      <c r="E479" s="0" t="n">
        <f aca="false">1-D479</f>
        <v>1</v>
      </c>
      <c r="F479" s="0" t="n">
        <f aca="true">RAND()</f>
        <v>0.413389901623626</v>
      </c>
      <c r="G479" s="0" t="n">
        <f aca="false">7.75+F479*10</f>
        <v>11.8838990162363</v>
      </c>
      <c r="H479" s="0" t="n">
        <f aca="false">LOGINV(F479,2.64,1.139)</f>
        <v>10.9216681679567</v>
      </c>
      <c r="I479" s="0" t="n">
        <v>19.5</v>
      </c>
      <c r="J479" s="4" t="n">
        <f aca="true">-LN(RAND())/B479</f>
        <v>14.7956215578065</v>
      </c>
      <c r="K479" s="4" t="n">
        <f aca="false">K478+J479</f>
        <v>4684.6659115327</v>
      </c>
      <c r="L479" s="4" t="n">
        <f aca="false">(1/$J$4)*(1+AB478)</f>
        <v>10</v>
      </c>
      <c r="M479" s="4" t="n">
        <f aca="false">L479+MAX(K479,Y$10:Y478)</f>
        <v>4918.82985076217</v>
      </c>
      <c r="N479" s="4" t="n">
        <f aca="false">K479</f>
        <v>4684.6659115327</v>
      </c>
      <c r="O479" s="4" t="n">
        <f aca="false">M479-K479</f>
        <v>234.163939229471</v>
      </c>
      <c r="P479" s="4" t="n">
        <f aca="false">N479-K479</f>
        <v>0</v>
      </c>
      <c r="Q479" s="4" t="n">
        <f aca="false">A479-MATCH(K479,$M$9:M478,1)</f>
        <v>23</v>
      </c>
      <c r="R479" s="0" t="n">
        <f aca="false">-G479*(O479/3600)</f>
        <v>-0.772994613068644</v>
      </c>
      <c r="S479" s="0" t="n">
        <f aca="false">-1*I479-(H479*(P479/3600))</f>
        <v>-19.5</v>
      </c>
      <c r="T479" s="0" t="n">
        <f aca="false">-H479*(O479/3600)</f>
        <v>-0.710405789212738</v>
      </c>
      <c r="U479" s="0" t="n">
        <f aca="false">T479-S479</f>
        <v>18.7895942107873</v>
      </c>
      <c r="V479" s="0" t="n">
        <f aca="false">1/(1+EXP(U479))</f>
        <v>6.91485239486758E-009</v>
      </c>
      <c r="W479" s="0" t="n">
        <f aca="true">RAND()</f>
        <v>0.13606977750972</v>
      </c>
      <c r="X479" s="0" t="n">
        <f aca="false">IF(W479&lt;V479,1,0)</f>
        <v>0</v>
      </c>
      <c r="Y479" s="0" t="n">
        <f aca="false">(M479*(1-X479)+N479*X479)*D479+M479*E479</f>
        <v>4918.82985076217</v>
      </c>
      <c r="Z479" s="0" t="n">
        <f aca="false">((1-X479)*O479+X479*P479)*D479+E479*O479</f>
        <v>234.163939229471</v>
      </c>
      <c r="AA479" s="0" t="n">
        <f aca="false">IF(D479*X479&gt;0,AA478,Q479)</f>
        <v>23</v>
      </c>
      <c r="AB479" s="0" t="n">
        <f aca="false">(X479*D479)</f>
        <v>0</v>
      </c>
      <c r="AC479" s="0" t="n">
        <f aca="false">SUM(AB$10:AB478)/K479</f>
        <v>0</v>
      </c>
      <c r="AD479" s="0" t="n">
        <f aca="false">R479*E479+D479*(X479*S479+(1-X479)*T479)</f>
        <v>-0.772994613068644</v>
      </c>
      <c r="AE479" s="0" t="n">
        <f aca="false">Z479</f>
        <v>234.163939229471</v>
      </c>
      <c r="AF479" s="0" t="n">
        <f aca="false">E479*O479</f>
        <v>234.163939229471</v>
      </c>
      <c r="AG479" s="0" t="n">
        <f aca="false">((1-X479)*O479+X479*P479)*D479</f>
        <v>0</v>
      </c>
      <c r="AH479" s="0" t="n">
        <f aca="false">D479*(LN(EXP(S479)+EXP(T479)))</f>
        <v>-0</v>
      </c>
      <c r="AJ479" s="0" t="n">
        <f aca="false">$J$5</f>
        <v>10</v>
      </c>
      <c r="AK479" s="4" t="n">
        <f aca="false">AJ479+MAX(K479,AK$10:AK478)</f>
        <v>4918.82985076217</v>
      </c>
      <c r="AL479" s="5" t="n">
        <f aca="false">AK479-K479</f>
        <v>234.163939229471</v>
      </c>
      <c r="AM479" s="0" t="n">
        <f aca="false">-G479*AL479/3600</f>
        <v>-0.772994613068644</v>
      </c>
      <c r="AN479" s="0" t="n">
        <f aca="false">-H479*AL479/3600</f>
        <v>-0.710405789212738</v>
      </c>
      <c r="AO479" s="0" t="n">
        <f aca="false">AM479*E479+AN479*D479</f>
        <v>-0.772994613068644</v>
      </c>
      <c r="AP479" s="0" t="n">
        <f aca="false">AL479*D479</f>
        <v>0</v>
      </c>
      <c r="AR479" s="0" t="n">
        <f aca="false">AN479*D479</f>
        <v>-0</v>
      </c>
      <c r="AS479" s="0" t="n">
        <f aca="false">AH479-AR479</f>
        <v>0</v>
      </c>
    </row>
    <row r="480" customFormat="false" ht="12" hidden="false" customHeight="false" outlineLevel="0" collapsed="false">
      <c r="A480" s="3" t="n">
        <f aca="false">A479+1</f>
        <v>471</v>
      </c>
      <c r="B480" s="3" t="n">
        <f aca="false">IF(A480&lt;$N$4/3,0.1,(IF(A480&gt;2*$N$4/3,0.05,0.12)))</f>
        <v>0.12</v>
      </c>
      <c r="C480" s="4" t="n">
        <f aca="true">RAND()</f>
        <v>0.0749076479762698</v>
      </c>
      <c r="D480" s="0" t="n">
        <f aca="false">IF((C480&gt;$M$2),1,0)</f>
        <v>0</v>
      </c>
      <c r="E480" s="0" t="n">
        <f aca="false">1-D480</f>
        <v>1</v>
      </c>
      <c r="F480" s="0" t="n">
        <f aca="true">RAND()</f>
        <v>0.682159575260485</v>
      </c>
      <c r="G480" s="0" t="n">
        <f aca="false">7.75+F480*10</f>
        <v>14.5715957526049</v>
      </c>
      <c r="H480" s="0" t="n">
        <f aca="false">LOGINV(F480,2.64,1.139)</f>
        <v>24.0370648631134</v>
      </c>
      <c r="I480" s="0" t="n">
        <v>19.5</v>
      </c>
      <c r="J480" s="4" t="n">
        <f aca="true">-LN(RAND())/B480</f>
        <v>3.54056719985644</v>
      </c>
      <c r="K480" s="4" t="n">
        <f aca="false">K479+J480</f>
        <v>4688.20647873256</v>
      </c>
      <c r="L480" s="4" t="n">
        <f aca="false">(1/$J$4)*(1+AB479)</f>
        <v>10</v>
      </c>
      <c r="M480" s="4" t="n">
        <f aca="false">L480+MAX(K480,Y$10:Y479)</f>
        <v>4928.82985076217</v>
      </c>
      <c r="N480" s="4" t="n">
        <f aca="false">K480</f>
        <v>4688.20647873256</v>
      </c>
      <c r="O480" s="4" t="n">
        <f aca="false">M480-K480</f>
        <v>240.623372029615</v>
      </c>
      <c r="P480" s="4" t="n">
        <f aca="false">N480-K480</f>
        <v>0</v>
      </c>
      <c r="Q480" s="4" t="n">
        <f aca="false">A480-MATCH(K480,$M$9:M479,1)</f>
        <v>24</v>
      </c>
      <c r="R480" s="0" t="n">
        <f aca="false">-G480*(O480/3600)</f>
        <v>-0.973962918290054</v>
      </c>
      <c r="S480" s="0" t="n">
        <f aca="false">-1*I480-(H480*(P480/3600))</f>
        <v>-19.5</v>
      </c>
      <c r="T480" s="0" t="n">
        <f aca="false">-H480*(O480/3600)</f>
        <v>-1.60663322251581</v>
      </c>
      <c r="U480" s="0" t="n">
        <f aca="false">T480-S480</f>
        <v>17.8933667774842</v>
      </c>
      <c r="V480" s="0" t="n">
        <f aca="false">1/(1+EXP(U480))</f>
        <v>1.69437501398476E-008</v>
      </c>
      <c r="W480" s="0" t="n">
        <f aca="true">RAND()</f>
        <v>0.0232897629554704</v>
      </c>
      <c r="X480" s="0" t="n">
        <f aca="false">IF(W480&lt;V480,1,0)</f>
        <v>0</v>
      </c>
      <c r="Y480" s="0" t="n">
        <f aca="false">(M480*(1-X480)+N480*X480)*D480+M480*E480</f>
        <v>4928.82985076217</v>
      </c>
      <c r="Z480" s="0" t="n">
        <f aca="false">((1-X480)*O480+X480*P480)*D480+E480*O480</f>
        <v>240.623372029615</v>
      </c>
      <c r="AA480" s="0" t="n">
        <f aca="false">IF(D480*X480&gt;0,AA479,Q480)</f>
        <v>24</v>
      </c>
      <c r="AB480" s="0" t="n">
        <f aca="false">(X480*D480)</f>
        <v>0</v>
      </c>
      <c r="AC480" s="0" t="n">
        <f aca="false">SUM(AB$10:AB479)/K480</f>
        <v>0</v>
      </c>
      <c r="AD480" s="0" t="n">
        <f aca="false">R480*E480+D480*(X480*S480+(1-X480)*T480)</f>
        <v>-0.973962918290054</v>
      </c>
      <c r="AE480" s="0" t="n">
        <f aca="false">Z480</f>
        <v>240.623372029615</v>
      </c>
      <c r="AF480" s="0" t="n">
        <f aca="false">E480*O480</f>
        <v>240.623372029615</v>
      </c>
      <c r="AG480" s="0" t="n">
        <f aca="false">((1-X480)*O480+X480*P480)*D480</f>
        <v>0</v>
      </c>
      <c r="AH480" s="0" t="n">
        <f aca="false">D480*(LN(EXP(S480)+EXP(T480)))</f>
        <v>-0</v>
      </c>
      <c r="AJ480" s="0" t="n">
        <f aca="false">$J$5</f>
        <v>10</v>
      </c>
      <c r="AK480" s="4" t="n">
        <f aca="false">AJ480+MAX(K480,AK$10:AK479)</f>
        <v>4928.82985076217</v>
      </c>
      <c r="AL480" s="5" t="n">
        <f aca="false">AK480-K480</f>
        <v>240.623372029615</v>
      </c>
      <c r="AM480" s="0" t="n">
        <f aca="false">-G480*AL480/3600</f>
        <v>-0.973962918290054</v>
      </c>
      <c r="AN480" s="0" t="n">
        <f aca="false">-H480*AL480/3600</f>
        <v>-1.60663322251581</v>
      </c>
      <c r="AO480" s="0" t="n">
        <f aca="false">AM480*E480+AN480*D480</f>
        <v>-0.973962918290054</v>
      </c>
      <c r="AP480" s="0" t="n">
        <f aca="false">AL480*D480</f>
        <v>0</v>
      </c>
      <c r="AR480" s="0" t="n">
        <f aca="false">AN480*D480</f>
        <v>-0</v>
      </c>
      <c r="AS480" s="0" t="n">
        <f aca="false">AH480-AR480</f>
        <v>0</v>
      </c>
    </row>
    <row r="481" customFormat="false" ht="12" hidden="false" customHeight="false" outlineLevel="0" collapsed="false">
      <c r="A481" s="3" t="n">
        <f aca="false">A480+1</f>
        <v>472</v>
      </c>
      <c r="B481" s="3" t="n">
        <f aca="false">IF(A481&lt;$N$4/3,0.1,(IF(A481&gt;2*$N$4/3,0.05,0.12)))</f>
        <v>0.12</v>
      </c>
      <c r="C481" s="4" t="n">
        <f aca="true">RAND()</f>
        <v>0.600984392532944</v>
      </c>
      <c r="D481" s="0" t="n">
        <f aca="false">IF((C481&gt;$M$2),1,0)</f>
        <v>0</v>
      </c>
      <c r="E481" s="0" t="n">
        <f aca="false">1-D481</f>
        <v>1</v>
      </c>
      <c r="F481" s="0" t="n">
        <f aca="true">RAND()</f>
        <v>0.769595725269371</v>
      </c>
      <c r="G481" s="0" t="n">
        <f aca="false">7.75+F481*10</f>
        <v>15.4459572526937</v>
      </c>
      <c r="H481" s="0" t="n">
        <f aca="false">LOGINV(F481,2.64,1.139)</f>
        <v>32.4607234829904</v>
      </c>
      <c r="I481" s="0" t="n">
        <v>19.5</v>
      </c>
      <c r="J481" s="4" t="n">
        <f aca="true">-LN(RAND())/B481</f>
        <v>2.43904685130404</v>
      </c>
      <c r="K481" s="4" t="n">
        <f aca="false">K480+J481</f>
        <v>4690.64552558386</v>
      </c>
      <c r="L481" s="4" t="n">
        <f aca="false">(1/$J$4)*(1+AB480)</f>
        <v>10</v>
      </c>
      <c r="M481" s="4" t="n">
        <f aca="false">L481+MAX(K481,Y$10:Y480)</f>
        <v>4938.82985076217</v>
      </c>
      <c r="N481" s="4" t="n">
        <f aca="false">K481</f>
        <v>4690.64552558386</v>
      </c>
      <c r="O481" s="4" t="n">
        <f aca="false">M481-K481</f>
        <v>248.184325178311</v>
      </c>
      <c r="P481" s="4" t="n">
        <f aca="false">N481-K481</f>
        <v>0</v>
      </c>
      <c r="Q481" s="4" t="n">
        <f aca="false">A481-MATCH(K481,$M$9:M480,1)</f>
        <v>24</v>
      </c>
      <c r="R481" s="0" t="n">
        <f aca="false">-G481*(O481/3600)</f>
        <v>-1.06484568819245</v>
      </c>
      <c r="S481" s="0" t="n">
        <f aca="false">-1*I481-(H481*(P481/3600))</f>
        <v>-19.5</v>
      </c>
      <c r="T481" s="0" t="n">
        <f aca="false">-H481*(O481/3600)</f>
        <v>-2.23784520900715</v>
      </c>
      <c r="U481" s="0" t="n">
        <f aca="false">T481-S481</f>
        <v>17.2621547909929</v>
      </c>
      <c r="V481" s="0" t="n">
        <f aca="false">1/(1+EXP(U481))</f>
        <v>3.18523452681872E-008</v>
      </c>
      <c r="W481" s="0" t="n">
        <f aca="true">RAND()</f>
        <v>0.131661173557414</v>
      </c>
      <c r="X481" s="0" t="n">
        <f aca="false">IF(W481&lt;V481,1,0)</f>
        <v>0</v>
      </c>
      <c r="Y481" s="0" t="n">
        <f aca="false">(M481*(1-X481)+N481*X481)*D481+M481*E481</f>
        <v>4938.82985076217</v>
      </c>
      <c r="Z481" s="0" t="n">
        <f aca="false">((1-X481)*O481+X481*P481)*D481+E481*O481</f>
        <v>248.184325178311</v>
      </c>
      <c r="AA481" s="0" t="n">
        <f aca="false">IF(D481*X481&gt;0,AA480,Q481)</f>
        <v>24</v>
      </c>
      <c r="AB481" s="0" t="n">
        <f aca="false">(X481*D481)</f>
        <v>0</v>
      </c>
      <c r="AC481" s="0" t="n">
        <f aca="false">SUM(AB$10:AB480)/K481</f>
        <v>0</v>
      </c>
      <c r="AD481" s="0" t="n">
        <f aca="false">R481*E481+D481*(X481*S481+(1-X481)*T481)</f>
        <v>-1.06484568819245</v>
      </c>
      <c r="AE481" s="0" t="n">
        <f aca="false">Z481</f>
        <v>248.184325178311</v>
      </c>
      <c r="AF481" s="0" t="n">
        <f aca="false">E481*O481</f>
        <v>248.184325178311</v>
      </c>
      <c r="AG481" s="0" t="n">
        <f aca="false">((1-X481)*O481+X481*P481)*D481</f>
        <v>0</v>
      </c>
      <c r="AH481" s="0" t="n">
        <f aca="false">D481*(LN(EXP(S481)+EXP(T481)))</f>
        <v>-0</v>
      </c>
      <c r="AJ481" s="0" t="n">
        <f aca="false">$J$5</f>
        <v>10</v>
      </c>
      <c r="AK481" s="4" t="n">
        <f aca="false">AJ481+MAX(K481,AK$10:AK480)</f>
        <v>4938.82985076217</v>
      </c>
      <c r="AL481" s="5" t="n">
        <f aca="false">AK481-K481</f>
        <v>248.184325178311</v>
      </c>
      <c r="AM481" s="0" t="n">
        <f aca="false">-G481*AL481/3600</f>
        <v>-1.06484568819245</v>
      </c>
      <c r="AN481" s="0" t="n">
        <f aca="false">-H481*AL481/3600</f>
        <v>-2.23784520900715</v>
      </c>
      <c r="AO481" s="0" t="n">
        <f aca="false">AM481*E481+AN481*D481</f>
        <v>-1.06484568819245</v>
      </c>
      <c r="AP481" s="0" t="n">
        <f aca="false">AL481*D481</f>
        <v>0</v>
      </c>
      <c r="AR481" s="0" t="n">
        <f aca="false">AN481*D481</f>
        <v>-0</v>
      </c>
      <c r="AS481" s="0" t="n">
        <f aca="false">AH481-AR481</f>
        <v>0</v>
      </c>
    </row>
    <row r="482" customFormat="false" ht="12" hidden="false" customHeight="false" outlineLevel="0" collapsed="false">
      <c r="A482" s="3" t="n">
        <f aca="false">A481+1</f>
        <v>473</v>
      </c>
      <c r="B482" s="3" t="n">
        <f aca="false">IF(A482&lt;$N$4/3,0.1,(IF(A482&gt;2*$N$4/3,0.05,0.12)))</f>
        <v>0.12</v>
      </c>
      <c r="C482" s="4" t="n">
        <f aca="true">RAND()</f>
        <v>0.543482513337608</v>
      </c>
      <c r="D482" s="0" t="n">
        <f aca="false">IF((C482&gt;$M$2),1,0)</f>
        <v>0</v>
      </c>
      <c r="E482" s="0" t="n">
        <f aca="false">1-D482</f>
        <v>1</v>
      </c>
      <c r="F482" s="0" t="n">
        <f aca="true">RAND()</f>
        <v>0.467006878264011</v>
      </c>
      <c r="G482" s="0" t="n">
        <f aca="false">7.75+F482*10</f>
        <v>12.4200687826401</v>
      </c>
      <c r="H482" s="0" t="n">
        <f aca="false">LOGINV(F482,2.64,1.139)</f>
        <v>12.7520923715699</v>
      </c>
      <c r="I482" s="0" t="n">
        <v>19.5</v>
      </c>
      <c r="J482" s="4" t="n">
        <f aca="true">-LN(RAND())/B482</f>
        <v>41.4788105532082</v>
      </c>
      <c r="K482" s="4" t="n">
        <f aca="false">K481+J482</f>
        <v>4732.12433613707</v>
      </c>
      <c r="L482" s="4" t="n">
        <f aca="false">(1/$J$4)*(1+AB481)</f>
        <v>10</v>
      </c>
      <c r="M482" s="4" t="n">
        <f aca="false">L482+MAX(K482,Y$10:Y481)</f>
        <v>4948.82985076217</v>
      </c>
      <c r="N482" s="4" t="n">
        <f aca="false">K482</f>
        <v>4732.12433613707</v>
      </c>
      <c r="O482" s="4" t="n">
        <f aca="false">M482-K482</f>
        <v>216.705514625103</v>
      </c>
      <c r="P482" s="4" t="n">
        <f aca="false">N482-K482</f>
        <v>0</v>
      </c>
      <c r="Q482" s="4" t="n">
        <f aca="false">A482-MATCH(K482,$M$9:M481,1)</f>
        <v>21</v>
      </c>
      <c r="R482" s="0" t="n">
        <f aca="false">-G482*(O482/3600)</f>
        <v>-0.747638165894779</v>
      </c>
      <c r="S482" s="0" t="n">
        <f aca="false">-1*I482-(H482*(P482/3600))</f>
        <v>-19.5</v>
      </c>
      <c r="T482" s="0" t="n">
        <f aca="false">-H482*(O482/3600)</f>
        <v>-0.767624649979977</v>
      </c>
      <c r="U482" s="0" t="n">
        <f aca="false">T482-S482</f>
        <v>18.73237535002</v>
      </c>
      <c r="V482" s="0" t="n">
        <f aca="false">1/(1+EXP(U482))</f>
        <v>7.32205099722146E-009</v>
      </c>
      <c r="W482" s="0" t="n">
        <f aca="true">RAND()</f>
        <v>0.115608585910886</v>
      </c>
      <c r="X482" s="0" t="n">
        <f aca="false">IF(W482&lt;V482,1,0)</f>
        <v>0</v>
      </c>
      <c r="Y482" s="0" t="n">
        <f aca="false">(M482*(1-X482)+N482*X482)*D482+M482*E482</f>
        <v>4948.82985076217</v>
      </c>
      <c r="Z482" s="0" t="n">
        <f aca="false">((1-X482)*O482+X482*P482)*D482+E482*O482</f>
        <v>216.705514625103</v>
      </c>
      <c r="AA482" s="0" t="n">
        <f aca="false">IF(D482*X482&gt;0,AA481,Q482)</f>
        <v>21</v>
      </c>
      <c r="AB482" s="0" t="n">
        <f aca="false">(X482*D482)</f>
        <v>0</v>
      </c>
      <c r="AC482" s="0" t="n">
        <f aca="false">SUM(AB$10:AB481)/K482</f>
        <v>0</v>
      </c>
      <c r="AD482" s="0" t="n">
        <f aca="false">R482*E482+D482*(X482*S482+(1-X482)*T482)</f>
        <v>-0.747638165894779</v>
      </c>
      <c r="AE482" s="0" t="n">
        <f aca="false">Z482</f>
        <v>216.705514625103</v>
      </c>
      <c r="AF482" s="0" t="n">
        <f aca="false">E482*O482</f>
        <v>216.705514625103</v>
      </c>
      <c r="AG482" s="0" t="n">
        <f aca="false">((1-X482)*O482+X482*P482)*D482</f>
        <v>0</v>
      </c>
      <c r="AH482" s="0" t="n">
        <f aca="false">D482*(LN(EXP(S482)+EXP(T482)))</f>
        <v>-0</v>
      </c>
      <c r="AJ482" s="0" t="n">
        <f aca="false">$J$5</f>
        <v>10</v>
      </c>
      <c r="AK482" s="4" t="n">
        <f aca="false">AJ482+MAX(K482,AK$10:AK481)</f>
        <v>4948.82985076217</v>
      </c>
      <c r="AL482" s="5" t="n">
        <f aca="false">AK482-K482</f>
        <v>216.705514625103</v>
      </c>
      <c r="AM482" s="0" t="n">
        <f aca="false">-G482*AL482/3600</f>
        <v>-0.747638165894779</v>
      </c>
      <c r="AN482" s="0" t="n">
        <f aca="false">-H482*AL482/3600</f>
        <v>-0.767624649979977</v>
      </c>
      <c r="AO482" s="0" t="n">
        <f aca="false">AM482*E482+AN482*D482</f>
        <v>-0.747638165894779</v>
      </c>
      <c r="AP482" s="0" t="n">
        <f aca="false">AL482*D482</f>
        <v>0</v>
      </c>
      <c r="AR482" s="0" t="n">
        <f aca="false">AN482*D482</f>
        <v>-0</v>
      </c>
      <c r="AS482" s="0" t="n">
        <f aca="false">AH482-AR482</f>
        <v>0</v>
      </c>
    </row>
    <row r="483" customFormat="false" ht="12" hidden="false" customHeight="false" outlineLevel="0" collapsed="false">
      <c r="A483" s="3" t="n">
        <f aca="false">A482+1</f>
        <v>474</v>
      </c>
      <c r="B483" s="3" t="n">
        <f aca="false">IF(A483&lt;$N$4/3,0.1,(IF(A483&gt;2*$N$4/3,0.05,0.12)))</f>
        <v>0.12</v>
      </c>
      <c r="C483" s="4" t="n">
        <f aca="true">RAND()</f>
        <v>0.908952399851364</v>
      </c>
      <c r="D483" s="0" t="n">
        <f aca="false">IF((C483&gt;$M$2),1,0)</f>
        <v>1</v>
      </c>
      <c r="E483" s="0" t="n">
        <f aca="false">1-D483</f>
        <v>0</v>
      </c>
      <c r="F483" s="0" t="n">
        <f aca="true">RAND()</f>
        <v>0.576094217355799</v>
      </c>
      <c r="G483" s="0" t="n">
        <f aca="false">7.75+F483*10</f>
        <v>13.510942173558</v>
      </c>
      <c r="H483" s="0" t="n">
        <f aca="false">LOGINV(F483,2.64,1.139)</f>
        <v>17.4368737682116</v>
      </c>
      <c r="I483" s="0" t="n">
        <v>19.5</v>
      </c>
      <c r="J483" s="4" t="n">
        <f aca="true">-LN(RAND())/B483</f>
        <v>6.59830207967763</v>
      </c>
      <c r="K483" s="4" t="n">
        <f aca="false">K482+J483</f>
        <v>4738.72263821675</v>
      </c>
      <c r="L483" s="4" t="n">
        <f aca="false">(1/$J$4)*(1+AB482)</f>
        <v>10</v>
      </c>
      <c r="M483" s="4" t="n">
        <f aca="false">L483+MAX(K483,Y$10:Y482)</f>
        <v>4958.82985076217</v>
      </c>
      <c r="N483" s="4" t="n">
        <f aca="false">K483</f>
        <v>4738.72263821675</v>
      </c>
      <c r="O483" s="4" t="n">
        <f aca="false">M483-K483</f>
        <v>220.107212545426</v>
      </c>
      <c r="P483" s="4" t="n">
        <f aca="false">N483-K483</f>
        <v>0</v>
      </c>
      <c r="Q483" s="4" t="n">
        <f aca="false">A483-MATCH(K483,$M$9:M482,1)</f>
        <v>22</v>
      </c>
      <c r="R483" s="0" t="n">
        <f aca="false">-G483*(O483/3600)</f>
        <v>-0.82607106130119</v>
      </c>
      <c r="S483" s="0" t="n">
        <f aca="false">-1*I483-(H483*(P483/3600))</f>
        <v>-19.5</v>
      </c>
      <c r="T483" s="0" t="n">
        <f aca="false">-H483*(O483/3600)</f>
        <v>-1.06610602239653</v>
      </c>
      <c r="U483" s="0" t="n">
        <f aca="false">T483-S483</f>
        <v>18.4338939776035</v>
      </c>
      <c r="V483" s="0" t="n">
        <f aca="false">1/(1+EXP(U483))</f>
        <v>9.86873668166099E-009</v>
      </c>
      <c r="W483" s="0" t="n">
        <f aca="true">RAND()</f>
        <v>0.303273466117032</v>
      </c>
      <c r="X483" s="0" t="n">
        <f aca="false">IF(W483&lt;V483,1,0)</f>
        <v>0</v>
      </c>
      <c r="Y483" s="0" t="n">
        <f aca="false">(M483*(1-X483)+N483*X483)*D483+M483*E483</f>
        <v>4958.82985076217</v>
      </c>
      <c r="Z483" s="0" t="n">
        <f aca="false">((1-X483)*O483+X483*P483)*D483+E483*O483</f>
        <v>220.107212545426</v>
      </c>
      <c r="AA483" s="0" t="n">
        <f aca="false">IF(D483*X483&gt;0,AA482,Q483)</f>
        <v>22</v>
      </c>
      <c r="AB483" s="0" t="n">
        <f aca="false">(X483*D483)</f>
        <v>0</v>
      </c>
      <c r="AC483" s="0" t="n">
        <f aca="false">SUM(AB$10:AB482)/K483</f>
        <v>0</v>
      </c>
      <c r="AD483" s="0" t="n">
        <f aca="false">R483*E483+D483*(X483*S483+(1-X483)*T483)</f>
        <v>-1.06610602239653</v>
      </c>
      <c r="AE483" s="0" t="n">
        <f aca="false">Z483</f>
        <v>220.107212545426</v>
      </c>
      <c r="AF483" s="0" t="n">
        <f aca="false">E483*O483</f>
        <v>0</v>
      </c>
      <c r="AG483" s="0" t="n">
        <f aca="false">((1-X483)*O483+X483*P483)*D483</f>
        <v>220.107212545426</v>
      </c>
      <c r="AH483" s="0" t="n">
        <f aca="false">D483*(LN(EXP(S483)+EXP(T483)))</f>
        <v>-1.06610601252779</v>
      </c>
      <c r="AJ483" s="0" t="n">
        <f aca="false">$J$5</f>
        <v>10</v>
      </c>
      <c r="AK483" s="4" t="n">
        <f aca="false">AJ483+MAX(K483,AK$10:AK482)</f>
        <v>4958.82985076217</v>
      </c>
      <c r="AL483" s="5" t="n">
        <f aca="false">AK483-K483</f>
        <v>220.107212545426</v>
      </c>
      <c r="AM483" s="0" t="n">
        <f aca="false">-G483*AL483/3600</f>
        <v>-0.82607106130119</v>
      </c>
      <c r="AN483" s="0" t="n">
        <f aca="false">-H483*AL483/3600</f>
        <v>-1.06610602239653</v>
      </c>
      <c r="AO483" s="0" t="n">
        <f aca="false">AM483*E483+AN483*D483</f>
        <v>-1.06610602239653</v>
      </c>
      <c r="AP483" s="0" t="n">
        <f aca="false">AL483*D483</f>
        <v>220.107212545426</v>
      </c>
      <c r="AR483" s="0" t="n">
        <f aca="false">AN483*D483</f>
        <v>-1.06610602239653</v>
      </c>
      <c r="AS483" s="0" t="n">
        <f aca="false">AH483-AR483</f>
        <v>9.86873671671162E-009</v>
      </c>
    </row>
    <row r="484" customFormat="false" ht="12" hidden="false" customHeight="false" outlineLevel="0" collapsed="false">
      <c r="A484" s="3" t="n">
        <f aca="false">A483+1</f>
        <v>475</v>
      </c>
      <c r="B484" s="3" t="n">
        <f aca="false">IF(A484&lt;$N$4/3,0.1,(IF(A484&gt;2*$N$4/3,0.05,0.12)))</f>
        <v>0.12</v>
      </c>
      <c r="C484" s="4" t="n">
        <f aca="true">RAND()</f>
        <v>0.879084788384595</v>
      </c>
      <c r="D484" s="0" t="n">
        <f aca="false">IF((C484&gt;$M$2),1,0)</f>
        <v>0</v>
      </c>
      <c r="E484" s="0" t="n">
        <f aca="false">1-D484</f>
        <v>1</v>
      </c>
      <c r="F484" s="0" t="n">
        <f aca="true">RAND()</f>
        <v>0.00312687586485966</v>
      </c>
      <c r="G484" s="0" t="n">
        <f aca="false">7.75+F484*10</f>
        <v>7.7812687586486</v>
      </c>
      <c r="H484" s="0" t="n">
        <f aca="false">LOGINV(F484,2.64,1.139)</f>
        <v>0.622369688362215</v>
      </c>
      <c r="I484" s="0" t="n">
        <v>19.5</v>
      </c>
      <c r="J484" s="4" t="n">
        <f aca="true">-LN(RAND())/B484</f>
        <v>4.32919366927672</v>
      </c>
      <c r="K484" s="4" t="n">
        <f aca="false">K483+J484</f>
        <v>4743.05183188602</v>
      </c>
      <c r="L484" s="4" t="n">
        <f aca="false">(1/$J$4)*(1+AB483)</f>
        <v>10</v>
      </c>
      <c r="M484" s="4" t="n">
        <f aca="false">L484+MAX(K484,Y$10:Y483)</f>
        <v>4968.82985076217</v>
      </c>
      <c r="N484" s="4" t="n">
        <f aca="false">K484</f>
        <v>4743.05183188602</v>
      </c>
      <c r="O484" s="4" t="n">
        <f aca="false">M484-K484</f>
        <v>225.778018876149</v>
      </c>
      <c r="P484" s="4" t="n">
        <f aca="false">N484-K484</f>
        <v>0</v>
      </c>
      <c r="Q484" s="4" t="n">
        <f aca="false">A484-MATCH(K484,$M$9:M483,1)</f>
        <v>22</v>
      </c>
      <c r="R484" s="0" t="n">
        <f aca="false">-G484*(O484/3600)</f>
        <v>-0.488010956852931</v>
      </c>
      <c r="S484" s="0" t="n">
        <f aca="false">-1*I484-(H484*(P484/3600))</f>
        <v>-19.5</v>
      </c>
      <c r="T484" s="0" t="n">
        <f aca="false">-H484*(O484/3600)</f>
        <v>-0.0390326097908297</v>
      </c>
      <c r="U484" s="0" t="n">
        <f aca="false">T484-S484</f>
        <v>19.4609673902092</v>
      </c>
      <c r="V484" s="0" t="n">
        <f aca="false">1/(1+EXP(U484))</f>
        <v>3.53353378768265E-009</v>
      </c>
      <c r="W484" s="0" t="n">
        <f aca="true">RAND()</f>
        <v>0.971413848102771</v>
      </c>
      <c r="X484" s="0" t="n">
        <f aca="false">IF(W484&lt;V484,1,0)</f>
        <v>0</v>
      </c>
      <c r="Y484" s="0" t="n">
        <f aca="false">(M484*(1-X484)+N484*X484)*D484+M484*E484</f>
        <v>4968.82985076217</v>
      </c>
      <c r="Z484" s="0" t="n">
        <f aca="false">((1-X484)*O484+X484*P484)*D484+E484*O484</f>
        <v>225.778018876149</v>
      </c>
      <c r="AA484" s="0" t="n">
        <f aca="false">IF(D484*X484&gt;0,AA483,Q484)</f>
        <v>22</v>
      </c>
      <c r="AB484" s="0" t="n">
        <f aca="false">(X484*D484)</f>
        <v>0</v>
      </c>
      <c r="AC484" s="0" t="n">
        <f aca="false">SUM(AB$10:AB483)/K484</f>
        <v>0</v>
      </c>
      <c r="AD484" s="0" t="n">
        <f aca="false">R484*E484+D484*(X484*S484+(1-X484)*T484)</f>
        <v>-0.488010956852931</v>
      </c>
      <c r="AE484" s="0" t="n">
        <f aca="false">Z484</f>
        <v>225.778018876149</v>
      </c>
      <c r="AF484" s="0" t="n">
        <f aca="false">E484*O484</f>
        <v>225.778018876149</v>
      </c>
      <c r="AG484" s="0" t="n">
        <f aca="false">((1-X484)*O484+X484*P484)*D484</f>
        <v>0</v>
      </c>
      <c r="AH484" s="0" t="n">
        <f aca="false">D484*(LN(EXP(S484)+EXP(T484)))</f>
        <v>-0</v>
      </c>
      <c r="AJ484" s="0" t="n">
        <f aca="false">$J$5</f>
        <v>10</v>
      </c>
      <c r="AK484" s="4" t="n">
        <f aca="false">AJ484+MAX(K484,AK$10:AK483)</f>
        <v>4968.82985076217</v>
      </c>
      <c r="AL484" s="5" t="n">
        <f aca="false">AK484-K484</f>
        <v>225.778018876149</v>
      </c>
      <c r="AM484" s="0" t="n">
        <f aca="false">-G484*AL484/3600</f>
        <v>-0.488010956852931</v>
      </c>
      <c r="AN484" s="0" t="n">
        <f aca="false">-H484*AL484/3600</f>
        <v>-0.0390326097908297</v>
      </c>
      <c r="AO484" s="0" t="n">
        <f aca="false">AM484*E484+AN484*D484</f>
        <v>-0.488010956852931</v>
      </c>
      <c r="AP484" s="0" t="n">
        <f aca="false">AL484*D484</f>
        <v>0</v>
      </c>
      <c r="AR484" s="0" t="n">
        <f aca="false">AN484*D484</f>
        <v>-0</v>
      </c>
      <c r="AS484" s="0" t="n">
        <f aca="false">AH484-AR484</f>
        <v>0</v>
      </c>
    </row>
    <row r="485" customFormat="false" ht="12" hidden="false" customHeight="false" outlineLevel="0" collapsed="false">
      <c r="A485" s="3" t="n">
        <f aca="false">A484+1</f>
        <v>476</v>
      </c>
      <c r="B485" s="3" t="n">
        <f aca="false">IF(A485&lt;$N$4/3,0.1,(IF(A485&gt;2*$N$4/3,0.05,0.12)))</f>
        <v>0.12</v>
      </c>
      <c r="C485" s="4" t="n">
        <f aca="true">RAND()</f>
        <v>0.439637650521103</v>
      </c>
      <c r="D485" s="0" t="n">
        <f aca="false">IF((C485&gt;$M$2),1,0)</f>
        <v>0</v>
      </c>
      <c r="E485" s="0" t="n">
        <f aca="false">1-D485</f>
        <v>1</v>
      </c>
      <c r="F485" s="0" t="n">
        <f aca="true">RAND()</f>
        <v>0.289641804335556</v>
      </c>
      <c r="G485" s="0" t="n">
        <f aca="false">7.75+F485*10</f>
        <v>10.6464180433556</v>
      </c>
      <c r="H485" s="0" t="n">
        <f aca="false">LOGINV(F485,2.64,1.139)</f>
        <v>7.45214999331184</v>
      </c>
      <c r="I485" s="0" t="n">
        <v>19.5</v>
      </c>
      <c r="J485" s="4" t="n">
        <f aca="true">-LN(RAND())/B485</f>
        <v>2.62471636029761</v>
      </c>
      <c r="K485" s="4" t="n">
        <f aca="false">K484+J485</f>
        <v>4745.67654824632</v>
      </c>
      <c r="L485" s="4" t="n">
        <f aca="false">(1/$J$4)*(1+AB484)</f>
        <v>10</v>
      </c>
      <c r="M485" s="4" t="n">
        <f aca="false">L485+MAX(K485,Y$10:Y484)</f>
        <v>4978.82985076217</v>
      </c>
      <c r="N485" s="4" t="n">
        <f aca="false">K485</f>
        <v>4745.67654824632</v>
      </c>
      <c r="O485" s="4" t="n">
        <f aca="false">M485-K485</f>
        <v>233.153302515851</v>
      </c>
      <c r="P485" s="4" t="n">
        <f aca="false">N485-K485</f>
        <v>0</v>
      </c>
      <c r="Q485" s="4" t="n">
        <f aca="false">A485-MATCH(K485,$M$9:M484,1)</f>
        <v>23</v>
      </c>
      <c r="R485" s="0" t="n">
        <f aca="false">-G485*(O485/3600)</f>
        <v>-0.689513201881305</v>
      </c>
      <c r="S485" s="0" t="n">
        <f aca="false">-1*I485-(H485*(P485/3600))</f>
        <v>-19.5</v>
      </c>
      <c r="T485" s="0" t="n">
        <f aca="false">-H485*(O485/3600)</f>
        <v>-0.482637050495593</v>
      </c>
      <c r="U485" s="0" t="n">
        <f aca="false">T485-S485</f>
        <v>19.0173629495044</v>
      </c>
      <c r="V485" s="0" t="n">
        <f aca="false">1/(1+EXP(U485))</f>
        <v>5.5063550119797E-009</v>
      </c>
      <c r="W485" s="0" t="n">
        <f aca="true">RAND()</f>
        <v>0.998083144832375</v>
      </c>
      <c r="X485" s="0" t="n">
        <f aca="false">IF(W485&lt;V485,1,0)</f>
        <v>0</v>
      </c>
      <c r="Y485" s="0" t="n">
        <f aca="false">(M485*(1-X485)+N485*X485)*D485+M485*E485</f>
        <v>4978.82985076217</v>
      </c>
      <c r="Z485" s="0" t="n">
        <f aca="false">((1-X485)*O485+X485*P485)*D485+E485*O485</f>
        <v>233.153302515851</v>
      </c>
      <c r="AA485" s="0" t="n">
        <f aca="false">IF(D485*X485&gt;0,AA484,Q485)</f>
        <v>23</v>
      </c>
      <c r="AB485" s="0" t="n">
        <f aca="false">(X485*D485)</f>
        <v>0</v>
      </c>
      <c r="AC485" s="0" t="n">
        <f aca="false">SUM(AB$10:AB484)/K485</f>
        <v>0</v>
      </c>
      <c r="AD485" s="0" t="n">
        <f aca="false">R485*E485+D485*(X485*S485+(1-X485)*T485)</f>
        <v>-0.689513201881305</v>
      </c>
      <c r="AE485" s="0" t="n">
        <f aca="false">Z485</f>
        <v>233.153302515851</v>
      </c>
      <c r="AF485" s="0" t="n">
        <f aca="false">E485*O485</f>
        <v>233.153302515851</v>
      </c>
      <c r="AG485" s="0" t="n">
        <f aca="false">((1-X485)*O485+X485*P485)*D485</f>
        <v>0</v>
      </c>
      <c r="AH485" s="0" t="n">
        <f aca="false">D485*(LN(EXP(S485)+EXP(T485)))</f>
        <v>-0</v>
      </c>
      <c r="AJ485" s="0" t="n">
        <f aca="false">$J$5</f>
        <v>10</v>
      </c>
      <c r="AK485" s="4" t="n">
        <f aca="false">AJ485+MAX(K485,AK$10:AK484)</f>
        <v>4978.82985076217</v>
      </c>
      <c r="AL485" s="5" t="n">
        <f aca="false">AK485-K485</f>
        <v>233.153302515851</v>
      </c>
      <c r="AM485" s="0" t="n">
        <f aca="false">-G485*AL485/3600</f>
        <v>-0.689513201881305</v>
      </c>
      <c r="AN485" s="0" t="n">
        <f aca="false">-H485*AL485/3600</f>
        <v>-0.482637050495593</v>
      </c>
      <c r="AO485" s="0" t="n">
        <f aca="false">AM485*E485+AN485*D485</f>
        <v>-0.689513201881305</v>
      </c>
      <c r="AP485" s="0" t="n">
        <f aca="false">AL485*D485</f>
        <v>0</v>
      </c>
      <c r="AR485" s="0" t="n">
        <f aca="false">AN485*D485</f>
        <v>-0</v>
      </c>
      <c r="AS485" s="0" t="n">
        <f aca="false">AH485-AR485</f>
        <v>0</v>
      </c>
    </row>
    <row r="486" customFormat="false" ht="12" hidden="false" customHeight="false" outlineLevel="0" collapsed="false">
      <c r="A486" s="3" t="n">
        <f aca="false">A485+1</f>
        <v>477</v>
      </c>
      <c r="B486" s="3" t="n">
        <f aca="false">IF(A486&lt;$N$4/3,0.1,(IF(A486&gt;2*$N$4/3,0.05,0.12)))</f>
        <v>0.12</v>
      </c>
      <c r="C486" s="4" t="n">
        <f aca="true">RAND()</f>
        <v>0.574750143981902</v>
      </c>
      <c r="D486" s="0" t="n">
        <f aca="false">IF((C486&gt;$M$2),1,0)</f>
        <v>0</v>
      </c>
      <c r="E486" s="0" t="n">
        <f aca="false">1-D486</f>
        <v>1</v>
      </c>
      <c r="F486" s="0" t="n">
        <f aca="true">RAND()</f>
        <v>0.106964880217344</v>
      </c>
      <c r="G486" s="0" t="n">
        <f aca="false">7.75+F486*10</f>
        <v>8.81964880217344</v>
      </c>
      <c r="H486" s="0" t="n">
        <f aca="false">LOGINV(F486,2.64,1.139)</f>
        <v>3.40217315570651</v>
      </c>
      <c r="I486" s="0" t="n">
        <v>19.5</v>
      </c>
      <c r="J486" s="4" t="n">
        <f aca="true">-LN(RAND())/B486</f>
        <v>2.15878771511252</v>
      </c>
      <c r="K486" s="4" t="n">
        <f aca="false">K485+J486</f>
        <v>4747.83533596143</v>
      </c>
      <c r="L486" s="4" t="n">
        <f aca="false">(1/$J$4)*(1+AB485)</f>
        <v>10</v>
      </c>
      <c r="M486" s="4" t="n">
        <f aca="false">L486+MAX(K486,Y$10:Y485)</f>
        <v>4988.82985076217</v>
      </c>
      <c r="N486" s="4" t="n">
        <f aca="false">K486</f>
        <v>4747.83533596143</v>
      </c>
      <c r="O486" s="4" t="n">
        <f aca="false">M486-K486</f>
        <v>240.994514800739</v>
      </c>
      <c r="P486" s="4" t="n">
        <f aca="false">N486-K486</f>
        <v>0</v>
      </c>
      <c r="Q486" s="4" t="n">
        <f aca="false">A486-MATCH(K486,$M$9:M485,1)</f>
        <v>24</v>
      </c>
      <c r="R486" s="0" t="n">
        <f aca="false">-G486*(O486/3600)</f>
        <v>-0.59041305105353</v>
      </c>
      <c r="S486" s="0" t="n">
        <f aca="false">-1*I486-(H486*(P486/3600))</f>
        <v>-19.5</v>
      </c>
      <c r="T486" s="0" t="n">
        <f aca="false">-H486*(O486/3600)</f>
        <v>-0.227751408035442</v>
      </c>
      <c r="U486" s="0" t="n">
        <f aca="false">T486-S486</f>
        <v>19.2722485919646</v>
      </c>
      <c r="V486" s="0" t="n">
        <f aca="false">1/(1+EXP(U486))</f>
        <v>4.26745333526188E-009</v>
      </c>
      <c r="W486" s="0" t="n">
        <f aca="true">RAND()</f>
        <v>0.14303123147113</v>
      </c>
      <c r="X486" s="0" t="n">
        <f aca="false">IF(W486&lt;V486,1,0)</f>
        <v>0</v>
      </c>
      <c r="Y486" s="0" t="n">
        <f aca="false">(M486*(1-X486)+N486*X486)*D486+M486*E486</f>
        <v>4988.82985076217</v>
      </c>
      <c r="Z486" s="0" t="n">
        <f aca="false">((1-X486)*O486+X486*P486)*D486+E486*O486</f>
        <v>240.994514800739</v>
      </c>
      <c r="AA486" s="0" t="n">
        <f aca="false">IF(D486*X486&gt;0,AA485,Q486)</f>
        <v>24</v>
      </c>
      <c r="AB486" s="0" t="n">
        <f aca="false">(X486*D486)</f>
        <v>0</v>
      </c>
      <c r="AC486" s="0" t="n">
        <f aca="false">SUM(AB$10:AB485)/K486</f>
        <v>0</v>
      </c>
      <c r="AD486" s="0" t="n">
        <f aca="false">R486*E486+D486*(X486*S486+(1-X486)*T486)</f>
        <v>-0.59041305105353</v>
      </c>
      <c r="AE486" s="0" t="n">
        <f aca="false">Z486</f>
        <v>240.994514800739</v>
      </c>
      <c r="AF486" s="0" t="n">
        <f aca="false">E486*O486</f>
        <v>240.994514800739</v>
      </c>
      <c r="AG486" s="0" t="n">
        <f aca="false">((1-X486)*O486+X486*P486)*D486</f>
        <v>0</v>
      </c>
      <c r="AH486" s="0" t="n">
        <f aca="false">D486*(LN(EXP(S486)+EXP(T486)))</f>
        <v>-0</v>
      </c>
      <c r="AJ486" s="0" t="n">
        <f aca="false">$J$5</f>
        <v>10</v>
      </c>
      <c r="AK486" s="4" t="n">
        <f aca="false">AJ486+MAX(K486,AK$10:AK485)</f>
        <v>4988.82985076217</v>
      </c>
      <c r="AL486" s="5" t="n">
        <f aca="false">AK486-K486</f>
        <v>240.994514800739</v>
      </c>
      <c r="AM486" s="0" t="n">
        <f aca="false">-G486*AL486/3600</f>
        <v>-0.59041305105353</v>
      </c>
      <c r="AN486" s="0" t="n">
        <f aca="false">-H486*AL486/3600</f>
        <v>-0.227751408035442</v>
      </c>
      <c r="AO486" s="0" t="n">
        <f aca="false">AM486*E486+AN486*D486</f>
        <v>-0.59041305105353</v>
      </c>
      <c r="AP486" s="0" t="n">
        <f aca="false">AL486*D486</f>
        <v>0</v>
      </c>
      <c r="AR486" s="0" t="n">
        <f aca="false">AN486*D486</f>
        <v>-0</v>
      </c>
      <c r="AS486" s="0" t="n">
        <f aca="false">AH486-AR486</f>
        <v>0</v>
      </c>
    </row>
    <row r="487" customFormat="false" ht="12" hidden="false" customHeight="false" outlineLevel="0" collapsed="false">
      <c r="A487" s="3" t="n">
        <f aca="false">A486+1</f>
        <v>478</v>
      </c>
      <c r="B487" s="3" t="n">
        <f aca="false">IF(A487&lt;$N$4/3,0.1,(IF(A487&gt;2*$N$4/3,0.05,0.12)))</f>
        <v>0.12</v>
      </c>
      <c r="C487" s="4" t="n">
        <f aca="true">RAND()</f>
        <v>0.423138690923365</v>
      </c>
      <c r="D487" s="0" t="n">
        <f aca="false">IF((C487&gt;$M$2),1,0)</f>
        <v>0</v>
      </c>
      <c r="E487" s="0" t="n">
        <f aca="false">1-D487</f>
        <v>1</v>
      </c>
      <c r="F487" s="0" t="n">
        <f aca="true">RAND()</f>
        <v>0.585642956535669</v>
      </c>
      <c r="G487" s="0" t="n">
        <f aca="false">7.75+F487*10</f>
        <v>13.6064295653567</v>
      </c>
      <c r="H487" s="0" t="n">
        <f aca="false">LOGINV(F487,2.64,1.139)</f>
        <v>17.929078516395</v>
      </c>
      <c r="I487" s="0" t="n">
        <v>19.5</v>
      </c>
      <c r="J487" s="4" t="n">
        <f aca="true">-LN(RAND())/B487</f>
        <v>0.372893395169253</v>
      </c>
      <c r="K487" s="4" t="n">
        <f aca="false">K486+J487</f>
        <v>4748.2082293566</v>
      </c>
      <c r="L487" s="4" t="n">
        <f aca="false">(1/$J$4)*(1+AB486)</f>
        <v>10</v>
      </c>
      <c r="M487" s="4" t="n">
        <f aca="false">L487+MAX(K487,Y$10:Y486)</f>
        <v>4998.82985076217</v>
      </c>
      <c r="N487" s="4" t="n">
        <f aca="false">K487</f>
        <v>4748.2082293566</v>
      </c>
      <c r="O487" s="4" t="n">
        <f aca="false">M487-K487</f>
        <v>250.62162140557</v>
      </c>
      <c r="P487" s="4" t="n">
        <f aca="false">N487-K487</f>
        <v>0</v>
      </c>
      <c r="Q487" s="4" t="n">
        <f aca="false">A487-MATCH(K487,$M$9:M486,1)</f>
        <v>25</v>
      </c>
      <c r="R487" s="0" t="n">
        <f aca="false">-G487*(O487/3600)</f>
        <v>-0.947240399780662</v>
      </c>
      <c r="S487" s="0" t="n">
        <f aca="false">-1*I487-(H487*(P487/3600))</f>
        <v>-19.5</v>
      </c>
      <c r="T487" s="0" t="n">
        <f aca="false">-H487*(O487/3600)</f>
        <v>-1.24817075780186</v>
      </c>
      <c r="U487" s="0" t="n">
        <f aca="false">T487-S487</f>
        <v>18.2518292421981</v>
      </c>
      <c r="V487" s="0" t="n">
        <f aca="false">1/(1+EXP(U487))</f>
        <v>1.18394429819861E-008</v>
      </c>
      <c r="W487" s="0" t="n">
        <f aca="true">RAND()</f>
        <v>0.667964463971782</v>
      </c>
      <c r="X487" s="0" t="n">
        <f aca="false">IF(W487&lt;V487,1,0)</f>
        <v>0</v>
      </c>
      <c r="Y487" s="0" t="n">
        <f aca="false">(M487*(1-X487)+N487*X487)*D487+M487*E487</f>
        <v>4998.82985076217</v>
      </c>
      <c r="Z487" s="0" t="n">
        <f aca="false">((1-X487)*O487+X487*P487)*D487+E487*O487</f>
        <v>250.62162140557</v>
      </c>
      <c r="AA487" s="0" t="n">
        <f aca="false">IF(D487*X487&gt;0,AA486,Q487)</f>
        <v>25</v>
      </c>
      <c r="AB487" s="0" t="n">
        <f aca="false">(X487*D487)</f>
        <v>0</v>
      </c>
      <c r="AC487" s="0" t="n">
        <f aca="false">SUM(AB$10:AB486)/K487</f>
        <v>0</v>
      </c>
      <c r="AD487" s="0" t="n">
        <f aca="false">R487*E487+D487*(X487*S487+(1-X487)*T487)</f>
        <v>-0.947240399780662</v>
      </c>
      <c r="AE487" s="0" t="n">
        <f aca="false">Z487</f>
        <v>250.62162140557</v>
      </c>
      <c r="AF487" s="0" t="n">
        <f aca="false">E487*O487</f>
        <v>250.62162140557</v>
      </c>
      <c r="AG487" s="0" t="n">
        <f aca="false">((1-X487)*O487+X487*P487)*D487</f>
        <v>0</v>
      </c>
      <c r="AH487" s="0" t="n">
        <f aca="false">D487*(LN(EXP(S487)+EXP(T487)))</f>
        <v>-0</v>
      </c>
      <c r="AJ487" s="0" t="n">
        <f aca="false">$J$5</f>
        <v>10</v>
      </c>
      <c r="AK487" s="4" t="n">
        <f aca="false">AJ487+MAX(K487,AK$10:AK486)</f>
        <v>4998.82985076217</v>
      </c>
      <c r="AL487" s="5" t="n">
        <f aca="false">AK487-K487</f>
        <v>250.62162140557</v>
      </c>
      <c r="AM487" s="0" t="n">
        <f aca="false">-G487*AL487/3600</f>
        <v>-0.947240399780662</v>
      </c>
      <c r="AN487" s="0" t="n">
        <f aca="false">-H487*AL487/3600</f>
        <v>-1.24817075780186</v>
      </c>
      <c r="AO487" s="0" t="n">
        <f aca="false">AM487*E487+AN487*D487</f>
        <v>-0.947240399780662</v>
      </c>
      <c r="AP487" s="0" t="n">
        <f aca="false">AL487*D487</f>
        <v>0</v>
      </c>
      <c r="AR487" s="0" t="n">
        <f aca="false">AN487*D487</f>
        <v>-0</v>
      </c>
      <c r="AS487" s="0" t="n">
        <f aca="false">AH487-AR487</f>
        <v>0</v>
      </c>
    </row>
    <row r="488" customFormat="false" ht="12" hidden="false" customHeight="false" outlineLevel="0" collapsed="false">
      <c r="A488" s="3" t="n">
        <f aca="false">A487+1</f>
        <v>479</v>
      </c>
      <c r="B488" s="3" t="n">
        <f aca="false">IF(A488&lt;$N$4/3,0.1,(IF(A488&gt;2*$N$4/3,0.05,0.12)))</f>
        <v>0.12</v>
      </c>
      <c r="C488" s="4" t="n">
        <f aca="true">RAND()</f>
        <v>0.901389779381964</v>
      </c>
      <c r="D488" s="0" t="n">
        <f aca="false">IF((C488&gt;$M$2),1,0)</f>
        <v>1</v>
      </c>
      <c r="E488" s="0" t="n">
        <f aca="false">1-D488</f>
        <v>0</v>
      </c>
      <c r="F488" s="0" t="n">
        <f aca="true">RAND()</f>
        <v>0.821361844473935</v>
      </c>
      <c r="G488" s="0" t="n">
        <f aca="false">7.75+F488*10</f>
        <v>15.9636184447394</v>
      </c>
      <c r="H488" s="0" t="n">
        <f aca="false">LOGINV(F488,2.64,1.139)</f>
        <v>39.9858766325481</v>
      </c>
      <c r="I488" s="0" t="n">
        <v>19.5</v>
      </c>
      <c r="J488" s="4" t="n">
        <f aca="true">-LN(RAND())/B488</f>
        <v>2.14958284579541</v>
      </c>
      <c r="K488" s="4" t="n">
        <f aca="false">K487+J488</f>
        <v>4750.3578122024</v>
      </c>
      <c r="L488" s="4" t="n">
        <f aca="false">(1/$J$4)*(1+AB487)</f>
        <v>10</v>
      </c>
      <c r="M488" s="4" t="n">
        <f aca="false">L488+MAX(K488,Y$10:Y487)</f>
        <v>5008.82985076217</v>
      </c>
      <c r="N488" s="4" t="n">
        <f aca="false">K488</f>
        <v>4750.3578122024</v>
      </c>
      <c r="O488" s="4" t="n">
        <f aca="false">M488-K488</f>
        <v>258.472038559775</v>
      </c>
      <c r="P488" s="4" t="n">
        <f aca="false">N488-K488</f>
        <v>0</v>
      </c>
      <c r="Q488" s="4" t="n">
        <f aca="false">A488-MATCH(K488,$M$9:M487,1)</f>
        <v>25</v>
      </c>
      <c r="R488" s="0" t="n">
        <f aca="false">-G488*(O488/3600)</f>
        <v>-1.14615250061172</v>
      </c>
      <c r="S488" s="0" t="n">
        <f aca="false">-1*I488-(H488*(P488/3600))</f>
        <v>-19.5</v>
      </c>
      <c r="T488" s="0" t="n">
        <f aca="false">-H488*(O488/3600)</f>
        <v>-2.87089751300399</v>
      </c>
      <c r="U488" s="0" t="n">
        <f aca="false">T488-S488</f>
        <v>16.629102486996</v>
      </c>
      <c r="V488" s="0" t="n">
        <f aca="false">1/(1+EXP(U488))</f>
        <v>5.99891246500798E-008</v>
      </c>
      <c r="W488" s="0" t="n">
        <f aca="true">RAND()</f>
        <v>0.525122258650294</v>
      </c>
      <c r="X488" s="0" t="n">
        <f aca="false">IF(W488&lt;V488,1,0)</f>
        <v>0</v>
      </c>
      <c r="Y488" s="0" t="n">
        <f aca="false">(M488*(1-X488)+N488*X488)*D488+M488*E488</f>
        <v>5008.82985076217</v>
      </c>
      <c r="Z488" s="0" t="n">
        <f aca="false">((1-X488)*O488+X488*P488)*D488+E488*O488</f>
        <v>258.472038559775</v>
      </c>
      <c r="AA488" s="0" t="n">
        <f aca="false">IF(D488*X488&gt;0,AA487,Q488)</f>
        <v>25</v>
      </c>
      <c r="AB488" s="0" t="n">
        <f aca="false">(X488*D488)</f>
        <v>0</v>
      </c>
      <c r="AC488" s="0" t="n">
        <f aca="false">SUM(AB$10:AB487)/K488</f>
        <v>0</v>
      </c>
      <c r="AD488" s="0" t="n">
        <f aca="false">R488*E488+D488*(X488*S488+(1-X488)*T488)</f>
        <v>-2.87089751300399</v>
      </c>
      <c r="AE488" s="0" t="n">
        <f aca="false">Z488</f>
        <v>258.472038559775</v>
      </c>
      <c r="AF488" s="0" t="n">
        <f aca="false">E488*O488</f>
        <v>0</v>
      </c>
      <c r="AG488" s="0" t="n">
        <f aca="false">((1-X488)*O488+X488*P488)*D488</f>
        <v>258.472038559775</v>
      </c>
      <c r="AH488" s="0" t="n">
        <f aca="false">D488*(LN(EXP(S488)+EXP(T488)))</f>
        <v>-2.87089745301486</v>
      </c>
      <c r="AJ488" s="0" t="n">
        <f aca="false">$J$5</f>
        <v>10</v>
      </c>
      <c r="AK488" s="4" t="n">
        <f aca="false">AJ488+MAX(K488,AK$10:AK487)</f>
        <v>5008.82985076217</v>
      </c>
      <c r="AL488" s="5" t="n">
        <f aca="false">AK488-K488</f>
        <v>258.472038559775</v>
      </c>
      <c r="AM488" s="0" t="n">
        <f aca="false">-G488*AL488/3600</f>
        <v>-1.14615250061172</v>
      </c>
      <c r="AN488" s="0" t="n">
        <f aca="false">-H488*AL488/3600</f>
        <v>-2.87089751300399</v>
      </c>
      <c r="AO488" s="0" t="n">
        <f aca="false">AM488*E488+AN488*D488</f>
        <v>-2.87089751300399</v>
      </c>
      <c r="AP488" s="0" t="n">
        <f aca="false">AL488*D488</f>
        <v>258.472038559775</v>
      </c>
      <c r="AR488" s="0" t="n">
        <f aca="false">AN488*D488</f>
        <v>-2.87089751300399</v>
      </c>
      <c r="AS488" s="0" t="n">
        <f aca="false">AH488-AR488</f>
        <v>5.99891265551378E-008</v>
      </c>
    </row>
    <row r="489" customFormat="false" ht="12" hidden="false" customHeight="false" outlineLevel="0" collapsed="false">
      <c r="A489" s="3" t="n">
        <f aca="false">A488+1</f>
        <v>480</v>
      </c>
      <c r="B489" s="3" t="n">
        <f aca="false">IF(A489&lt;$N$4/3,0.1,(IF(A489&gt;2*$N$4/3,0.05,0.12)))</f>
        <v>0.12</v>
      </c>
      <c r="C489" s="4" t="n">
        <f aca="true">RAND()</f>
        <v>0.189135545063954</v>
      </c>
      <c r="D489" s="0" t="n">
        <f aca="false">IF((C489&gt;$M$2),1,0)</f>
        <v>0</v>
      </c>
      <c r="E489" s="0" t="n">
        <f aca="false">1-D489</f>
        <v>1</v>
      </c>
      <c r="F489" s="0" t="n">
        <f aca="true">RAND()</f>
        <v>0.76090340824905</v>
      </c>
      <c r="G489" s="0" t="n">
        <f aca="false">7.75+F489*10</f>
        <v>15.3590340824905</v>
      </c>
      <c r="H489" s="0" t="n">
        <f aca="false">LOGINV(F489,2.64,1.139)</f>
        <v>31.4309161320281</v>
      </c>
      <c r="I489" s="0" t="n">
        <v>19.5</v>
      </c>
      <c r="J489" s="4" t="n">
        <f aca="true">-LN(RAND())/B489</f>
        <v>8.4504284606142</v>
      </c>
      <c r="K489" s="4" t="n">
        <f aca="false">K488+J489</f>
        <v>4758.80824066301</v>
      </c>
      <c r="L489" s="4" t="n">
        <f aca="false">(1/$J$4)*(1+AB488)</f>
        <v>10</v>
      </c>
      <c r="M489" s="4" t="n">
        <f aca="false">L489+MAX(K489,Y$10:Y488)</f>
        <v>5018.82985076217</v>
      </c>
      <c r="N489" s="4" t="n">
        <f aca="false">K489</f>
        <v>4758.80824066301</v>
      </c>
      <c r="O489" s="4" t="n">
        <f aca="false">M489-K489</f>
        <v>260.02161009916</v>
      </c>
      <c r="P489" s="4" t="n">
        <f aca="false">N489-K489</f>
        <v>0</v>
      </c>
      <c r="Q489" s="4" t="n">
        <f aca="false">A489-MATCH(K489,$M$9:M488,1)</f>
        <v>26</v>
      </c>
      <c r="R489" s="0" t="n">
        <f aca="false">-G489*(O489/3600)</f>
        <v>-1.10935576991585</v>
      </c>
      <c r="S489" s="0" t="n">
        <f aca="false">-1*I489-(H489*(P489/3600))</f>
        <v>-19.5</v>
      </c>
      <c r="T489" s="0" t="n">
        <f aca="false">-H489*(O489/3600)</f>
        <v>-2.270199283206</v>
      </c>
      <c r="U489" s="0" t="n">
        <f aca="false">T489-S489</f>
        <v>17.229800716794</v>
      </c>
      <c r="V489" s="0" t="n">
        <f aca="false">1/(1+EXP(U489))</f>
        <v>3.28997509308787E-008</v>
      </c>
      <c r="W489" s="0" t="n">
        <f aca="true">RAND()</f>
        <v>0.710410248024404</v>
      </c>
      <c r="X489" s="0" t="n">
        <f aca="false">IF(W489&lt;V489,1,0)</f>
        <v>0</v>
      </c>
      <c r="Y489" s="0" t="n">
        <f aca="false">(M489*(1-X489)+N489*X489)*D489+M489*E489</f>
        <v>5018.82985076217</v>
      </c>
      <c r="Z489" s="0" t="n">
        <f aca="false">((1-X489)*O489+X489*P489)*D489+E489*O489</f>
        <v>260.02161009916</v>
      </c>
      <c r="AA489" s="0" t="n">
        <f aca="false">IF(D489*X489&gt;0,AA488,Q489)</f>
        <v>26</v>
      </c>
      <c r="AB489" s="0" t="n">
        <f aca="false">(X489*D489)</f>
        <v>0</v>
      </c>
      <c r="AC489" s="0" t="n">
        <f aca="false">SUM(AB$10:AB488)/K489</f>
        <v>0</v>
      </c>
      <c r="AD489" s="0" t="n">
        <f aca="false">R489*E489+D489*(X489*S489+(1-X489)*T489)</f>
        <v>-1.10935576991585</v>
      </c>
      <c r="AE489" s="0" t="n">
        <f aca="false">Z489</f>
        <v>260.02161009916</v>
      </c>
      <c r="AF489" s="0" t="n">
        <f aca="false">E489*O489</f>
        <v>260.02161009916</v>
      </c>
      <c r="AG489" s="0" t="n">
        <f aca="false">((1-X489)*O489+X489*P489)*D489</f>
        <v>0</v>
      </c>
      <c r="AH489" s="0" t="n">
        <f aca="false">D489*(LN(EXP(S489)+EXP(T489)))</f>
        <v>-0</v>
      </c>
      <c r="AJ489" s="0" t="n">
        <f aca="false">$J$5</f>
        <v>10</v>
      </c>
      <c r="AK489" s="4" t="n">
        <f aca="false">AJ489+MAX(K489,AK$10:AK488)</f>
        <v>5018.82985076217</v>
      </c>
      <c r="AL489" s="5" t="n">
        <f aca="false">AK489-K489</f>
        <v>260.02161009916</v>
      </c>
      <c r="AM489" s="0" t="n">
        <f aca="false">-G489*AL489/3600</f>
        <v>-1.10935576991585</v>
      </c>
      <c r="AN489" s="0" t="n">
        <f aca="false">-H489*AL489/3600</f>
        <v>-2.270199283206</v>
      </c>
      <c r="AO489" s="0" t="n">
        <f aca="false">AM489*E489+AN489*D489</f>
        <v>-1.10935576991585</v>
      </c>
      <c r="AP489" s="0" t="n">
        <f aca="false">AL489*D489</f>
        <v>0</v>
      </c>
      <c r="AR489" s="0" t="n">
        <f aca="false">AN489*D489</f>
        <v>-0</v>
      </c>
      <c r="AS489" s="0" t="n">
        <f aca="false">AH489-AR489</f>
        <v>0</v>
      </c>
    </row>
    <row r="490" customFormat="false" ht="12" hidden="false" customHeight="false" outlineLevel="0" collapsed="false">
      <c r="A490" s="3" t="n">
        <f aca="false">A489+1</f>
        <v>481</v>
      </c>
      <c r="B490" s="3" t="n">
        <f aca="false">IF(A490&lt;$N$4/3,0.1,(IF(A490&gt;2*$N$4/3,0.05,0.12)))</f>
        <v>0.12</v>
      </c>
      <c r="C490" s="4" t="n">
        <f aca="true">RAND()</f>
        <v>0.600601289980535</v>
      </c>
      <c r="D490" s="0" t="n">
        <f aca="false">IF((C490&gt;$M$2),1,0)</f>
        <v>0</v>
      </c>
      <c r="E490" s="0" t="n">
        <f aca="false">1-D490</f>
        <v>1</v>
      </c>
      <c r="F490" s="0" t="n">
        <f aca="true">RAND()</f>
        <v>0.185772148826388</v>
      </c>
      <c r="G490" s="0" t="n">
        <f aca="false">7.75+F490*10</f>
        <v>9.60772148826388</v>
      </c>
      <c r="H490" s="0" t="n">
        <f aca="false">LOGINV(F490,2.64,1.139)</f>
        <v>5.06425668508367</v>
      </c>
      <c r="I490" s="0" t="n">
        <v>19.5</v>
      </c>
      <c r="J490" s="4" t="n">
        <f aca="true">-LN(RAND())/B490</f>
        <v>21.5011043719677</v>
      </c>
      <c r="K490" s="4" t="n">
        <f aca="false">K489+J490</f>
        <v>4780.30934503498</v>
      </c>
      <c r="L490" s="4" t="n">
        <f aca="false">(1/$J$4)*(1+AB489)</f>
        <v>10</v>
      </c>
      <c r="M490" s="4" t="n">
        <f aca="false">L490+MAX(K490,Y$10:Y489)</f>
        <v>5028.82985076217</v>
      </c>
      <c r="N490" s="4" t="n">
        <f aca="false">K490</f>
        <v>4780.30934503498</v>
      </c>
      <c r="O490" s="4" t="n">
        <f aca="false">M490-K490</f>
        <v>248.520505727192</v>
      </c>
      <c r="P490" s="4" t="n">
        <f aca="false">N490-K490</f>
        <v>0</v>
      </c>
      <c r="Q490" s="4" t="n">
        <f aca="false">A490-MATCH(K490,$M$9:M489,1)</f>
        <v>24</v>
      </c>
      <c r="R490" s="0" t="n">
        <f aca="false">-G490*(O490/3600)</f>
        <v>-0.663254389763709</v>
      </c>
      <c r="S490" s="0" t="n">
        <f aca="false">-1*I490-(H490*(P490/3600))</f>
        <v>-19.5</v>
      </c>
      <c r="T490" s="0" t="n">
        <f aca="false">-H490*(O490/3600)</f>
        <v>-0.349603231252586</v>
      </c>
      <c r="U490" s="0" t="n">
        <f aca="false">T490-S490</f>
        <v>19.1503967687474</v>
      </c>
      <c r="V490" s="0" t="n">
        <f aca="false">1/(1+EXP(U490))</f>
        <v>4.82045857403621E-009</v>
      </c>
      <c r="W490" s="0" t="n">
        <f aca="true">RAND()</f>
        <v>0.0616037997229002</v>
      </c>
      <c r="X490" s="0" t="n">
        <f aca="false">IF(W490&lt;V490,1,0)</f>
        <v>0</v>
      </c>
      <c r="Y490" s="0" t="n">
        <f aca="false">(M490*(1-X490)+N490*X490)*D490+M490*E490</f>
        <v>5028.82985076217</v>
      </c>
      <c r="Z490" s="0" t="n">
        <f aca="false">((1-X490)*O490+X490*P490)*D490+E490*O490</f>
        <v>248.520505727192</v>
      </c>
      <c r="AA490" s="0" t="n">
        <f aca="false">IF(D490*X490&gt;0,AA489,Q490)</f>
        <v>24</v>
      </c>
      <c r="AB490" s="0" t="n">
        <f aca="false">(X490*D490)</f>
        <v>0</v>
      </c>
      <c r="AC490" s="0" t="n">
        <f aca="false">SUM(AB$10:AB489)/K490</f>
        <v>0</v>
      </c>
      <c r="AD490" s="0" t="n">
        <f aca="false">R490*E490+D490*(X490*S490+(1-X490)*T490)</f>
        <v>-0.663254389763709</v>
      </c>
      <c r="AE490" s="0" t="n">
        <f aca="false">Z490</f>
        <v>248.520505727192</v>
      </c>
      <c r="AF490" s="0" t="n">
        <f aca="false">E490*O490</f>
        <v>248.520505727192</v>
      </c>
      <c r="AG490" s="0" t="n">
        <f aca="false">((1-X490)*O490+X490*P490)*D490</f>
        <v>0</v>
      </c>
      <c r="AH490" s="0" t="n">
        <f aca="false">D490*(LN(EXP(S490)+EXP(T490)))</f>
        <v>-0</v>
      </c>
      <c r="AJ490" s="0" t="n">
        <f aca="false">$J$5</f>
        <v>10</v>
      </c>
      <c r="AK490" s="4" t="n">
        <f aca="false">AJ490+MAX(K490,AK$10:AK489)</f>
        <v>5028.82985076217</v>
      </c>
      <c r="AL490" s="5" t="n">
        <f aca="false">AK490-K490</f>
        <v>248.520505727192</v>
      </c>
      <c r="AM490" s="0" t="n">
        <f aca="false">-G490*AL490/3600</f>
        <v>-0.663254389763709</v>
      </c>
      <c r="AN490" s="0" t="n">
        <f aca="false">-H490*AL490/3600</f>
        <v>-0.349603231252586</v>
      </c>
      <c r="AO490" s="0" t="n">
        <f aca="false">AM490*E490+AN490*D490</f>
        <v>-0.663254389763709</v>
      </c>
      <c r="AP490" s="0" t="n">
        <f aca="false">AL490*D490</f>
        <v>0</v>
      </c>
      <c r="AR490" s="0" t="n">
        <f aca="false">AN490*D490</f>
        <v>-0</v>
      </c>
      <c r="AS490" s="0" t="n">
        <f aca="false">AH490-AR490</f>
        <v>0</v>
      </c>
    </row>
    <row r="491" customFormat="false" ht="12" hidden="false" customHeight="false" outlineLevel="0" collapsed="false">
      <c r="A491" s="3" t="n">
        <f aca="false">A490+1</f>
        <v>482</v>
      </c>
      <c r="B491" s="3" t="n">
        <f aca="false">IF(A491&lt;$N$4/3,0.1,(IF(A491&gt;2*$N$4/3,0.05,0.12)))</f>
        <v>0.12</v>
      </c>
      <c r="C491" s="4" t="n">
        <f aca="true">RAND()</f>
        <v>0.0353003464337588</v>
      </c>
      <c r="D491" s="0" t="n">
        <f aca="false">IF((C491&gt;$M$2),1,0)</f>
        <v>0</v>
      </c>
      <c r="E491" s="0" t="n">
        <f aca="false">1-D491</f>
        <v>1</v>
      </c>
      <c r="F491" s="0" t="n">
        <f aca="true">RAND()</f>
        <v>0.943460194849639</v>
      </c>
      <c r="G491" s="0" t="n">
        <f aca="false">7.75+F491*10</f>
        <v>17.1846019484964</v>
      </c>
      <c r="H491" s="0" t="n">
        <f aca="false">LOGINV(F491,2.64,1.139)</f>
        <v>85.1783556693597</v>
      </c>
      <c r="I491" s="0" t="n">
        <v>19.5</v>
      </c>
      <c r="J491" s="4" t="n">
        <f aca="true">-LN(RAND())/B491</f>
        <v>11.860594964386</v>
      </c>
      <c r="K491" s="4" t="n">
        <f aca="false">K490+J491</f>
        <v>4792.16993999937</v>
      </c>
      <c r="L491" s="4" t="n">
        <f aca="false">(1/$J$4)*(1+AB490)</f>
        <v>10</v>
      </c>
      <c r="M491" s="4" t="n">
        <f aca="false">L491+MAX(K491,Y$10:Y490)</f>
        <v>5038.82985076217</v>
      </c>
      <c r="N491" s="4" t="n">
        <f aca="false">K491</f>
        <v>4792.16993999937</v>
      </c>
      <c r="O491" s="4" t="n">
        <f aca="false">M491-K491</f>
        <v>246.659910762806</v>
      </c>
      <c r="P491" s="4" t="n">
        <f aca="false">N491-K491</f>
        <v>0</v>
      </c>
      <c r="Q491" s="4" t="n">
        <f aca="false">A491-MATCH(K491,$M$9:M490,1)</f>
        <v>24</v>
      </c>
      <c r="R491" s="0" t="n">
        <f aca="false">-G491*(O491/3600)</f>
        <v>-1.17743121753069</v>
      </c>
      <c r="S491" s="0" t="n">
        <f aca="false">-1*I491-(H491*(P491/3600))</f>
        <v>-19.5</v>
      </c>
      <c r="T491" s="0" t="n">
        <f aca="false">-H491*(O491/3600)</f>
        <v>-5.8361348912019</v>
      </c>
      <c r="U491" s="0" t="n">
        <f aca="false">T491-S491</f>
        <v>13.6638651087981</v>
      </c>
      <c r="V491" s="0" t="n">
        <f aca="false">1/(1+EXP(U491))</f>
        <v>1.16374620130527E-006</v>
      </c>
      <c r="W491" s="0" t="n">
        <f aca="true">RAND()</f>
        <v>0.452705042235207</v>
      </c>
      <c r="X491" s="0" t="n">
        <f aca="false">IF(W491&lt;V491,1,0)</f>
        <v>0</v>
      </c>
      <c r="Y491" s="0" t="n">
        <f aca="false">(M491*(1-X491)+N491*X491)*D491+M491*E491</f>
        <v>5038.82985076217</v>
      </c>
      <c r="Z491" s="0" t="n">
        <f aca="false">((1-X491)*O491+X491*P491)*D491+E491*O491</f>
        <v>246.659910762806</v>
      </c>
      <c r="AA491" s="0" t="n">
        <f aca="false">IF(D491*X491&gt;0,AA490,Q491)</f>
        <v>24</v>
      </c>
      <c r="AB491" s="0" t="n">
        <f aca="false">(X491*D491)</f>
        <v>0</v>
      </c>
      <c r="AC491" s="0" t="n">
        <f aca="false">SUM(AB$10:AB490)/K491</f>
        <v>0</v>
      </c>
      <c r="AD491" s="0" t="n">
        <f aca="false">R491*E491+D491*(X491*S491+(1-X491)*T491)</f>
        <v>-1.17743121753069</v>
      </c>
      <c r="AE491" s="0" t="n">
        <f aca="false">Z491</f>
        <v>246.659910762806</v>
      </c>
      <c r="AF491" s="0" t="n">
        <f aca="false">E491*O491</f>
        <v>246.659910762806</v>
      </c>
      <c r="AG491" s="0" t="n">
        <f aca="false">((1-X491)*O491+X491*P491)*D491</f>
        <v>0</v>
      </c>
      <c r="AH491" s="0" t="n">
        <f aca="false">D491*(LN(EXP(S491)+EXP(T491)))</f>
        <v>-0</v>
      </c>
      <c r="AJ491" s="0" t="n">
        <f aca="false">$J$5</f>
        <v>10</v>
      </c>
      <c r="AK491" s="4" t="n">
        <f aca="false">AJ491+MAX(K491,AK$10:AK490)</f>
        <v>5038.82985076217</v>
      </c>
      <c r="AL491" s="5" t="n">
        <f aca="false">AK491-K491</f>
        <v>246.659910762806</v>
      </c>
      <c r="AM491" s="0" t="n">
        <f aca="false">-G491*AL491/3600</f>
        <v>-1.17743121753069</v>
      </c>
      <c r="AN491" s="0" t="n">
        <f aca="false">-H491*AL491/3600</f>
        <v>-5.8361348912019</v>
      </c>
      <c r="AO491" s="0" t="n">
        <f aca="false">AM491*E491+AN491*D491</f>
        <v>-1.17743121753069</v>
      </c>
      <c r="AP491" s="0" t="n">
        <f aca="false">AL491*D491</f>
        <v>0</v>
      </c>
      <c r="AR491" s="0" t="n">
        <f aca="false">AN491*D491</f>
        <v>-0</v>
      </c>
      <c r="AS491" s="0" t="n">
        <f aca="false">AH491-AR491</f>
        <v>0</v>
      </c>
    </row>
    <row r="492" customFormat="false" ht="12" hidden="false" customHeight="false" outlineLevel="0" collapsed="false">
      <c r="A492" s="3" t="n">
        <f aca="false">A491+1</f>
        <v>483</v>
      </c>
      <c r="B492" s="3" t="n">
        <f aca="false">IF(A492&lt;$N$4/3,0.1,(IF(A492&gt;2*$N$4/3,0.05,0.12)))</f>
        <v>0.12</v>
      </c>
      <c r="C492" s="4" t="n">
        <f aca="true">RAND()</f>
        <v>0.490123667167791</v>
      </c>
      <c r="D492" s="0" t="n">
        <f aca="false">IF((C492&gt;$M$2),1,0)</f>
        <v>0</v>
      </c>
      <c r="E492" s="0" t="n">
        <f aca="false">1-D492</f>
        <v>1</v>
      </c>
      <c r="F492" s="0" t="n">
        <f aca="true">RAND()</f>
        <v>0.0544878160354029</v>
      </c>
      <c r="G492" s="0" t="n">
        <f aca="false">7.75+F492*10</f>
        <v>8.29487816035403</v>
      </c>
      <c r="H492" s="0" t="n">
        <f aca="false">LOGINV(F492,2.64,1.139)</f>
        <v>2.25780787272977</v>
      </c>
      <c r="I492" s="0" t="n">
        <v>19.5</v>
      </c>
      <c r="J492" s="4" t="n">
        <f aca="true">-LN(RAND())/B492</f>
        <v>1.38726480455485</v>
      </c>
      <c r="K492" s="4" t="n">
        <f aca="false">K491+J492</f>
        <v>4793.55720480392</v>
      </c>
      <c r="L492" s="4" t="n">
        <f aca="false">(1/$J$4)*(1+AB491)</f>
        <v>10</v>
      </c>
      <c r="M492" s="4" t="n">
        <f aca="false">L492+MAX(K492,Y$10:Y491)</f>
        <v>5048.82985076217</v>
      </c>
      <c r="N492" s="4" t="n">
        <f aca="false">K492</f>
        <v>4793.55720480392</v>
      </c>
      <c r="O492" s="4" t="n">
        <f aca="false">M492-K492</f>
        <v>255.272645958252</v>
      </c>
      <c r="P492" s="4" t="n">
        <f aca="false">N492-K492</f>
        <v>0</v>
      </c>
      <c r="Q492" s="4" t="n">
        <f aca="false">A492-MATCH(K492,$M$9:M491,1)</f>
        <v>25</v>
      </c>
      <c r="R492" s="0" t="n">
        <f aca="false">-G492*(O492/3600)</f>
        <v>-0.588182082193025</v>
      </c>
      <c r="S492" s="0" t="n">
        <f aca="false">-1*I492-(H492*(P492/3600))</f>
        <v>-19.5</v>
      </c>
      <c r="T492" s="0" t="n">
        <f aca="false">-H492*(O492/3600)</f>
        <v>-0.16009905270475</v>
      </c>
      <c r="U492" s="0" t="n">
        <f aca="false">T492-S492</f>
        <v>19.3399009472953</v>
      </c>
      <c r="V492" s="0" t="n">
        <f aca="false">1/(1+EXP(U492))</f>
        <v>3.9882992450769E-009</v>
      </c>
      <c r="W492" s="0" t="n">
        <f aca="true">RAND()</f>
        <v>0.47750210824107</v>
      </c>
      <c r="X492" s="0" t="n">
        <f aca="false">IF(W492&lt;V492,1,0)</f>
        <v>0</v>
      </c>
      <c r="Y492" s="0" t="n">
        <f aca="false">(M492*(1-X492)+N492*X492)*D492+M492*E492</f>
        <v>5048.82985076217</v>
      </c>
      <c r="Z492" s="0" t="n">
        <f aca="false">((1-X492)*O492+X492*P492)*D492+E492*O492</f>
        <v>255.272645958252</v>
      </c>
      <c r="AA492" s="0" t="n">
        <f aca="false">IF(D492*X492&gt;0,AA491,Q492)</f>
        <v>25</v>
      </c>
      <c r="AB492" s="0" t="n">
        <f aca="false">(X492*D492)</f>
        <v>0</v>
      </c>
      <c r="AC492" s="0" t="n">
        <f aca="false">SUM(AB$10:AB491)/K492</f>
        <v>0</v>
      </c>
      <c r="AD492" s="0" t="n">
        <f aca="false">R492*E492+D492*(X492*S492+(1-X492)*T492)</f>
        <v>-0.588182082193025</v>
      </c>
      <c r="AE492" s="0" t="n">
        <f aca="false">Z492</f>
        <v>255.272645958252</v>
      </c>
      <c r="AF492" s="0" t="n">
        <f aca="false">E492*O492</f>
        <v>255.272645958252</v>
      </c>
      <c r="AG492" s="0" t="n">
        <f aca="false">((1-X492)*O492+X492*P492)*D492</f>
        <v>0</v>
      </c>
      <c r="AH492" s="0" t="n">
        <f aca="false">D492*(LN(EXP(S492)+EXP(T492)))</f>
        <v>-0</v>
      </c>
      <c r="AJ492" s="0" t="n">
        <f aca="false">$J$5</f>
        <v>10</v>
      </c>
      <c r="AK492" s="4" t="n">
        <f aca="false">AJ492+MAX(K492,AK$10:AK491)</f>
        <v>5048.82985076217</v>
      </c>
      <c r="AL492" s="5" t="n">
        <f aca="false">AK492-K492</f>
        <v>255.272645958252</v>
      </c>
      <c r="AM492" s="0" t="n">
        <f aca="false">-G492*AL492/3600</f>
        <v>-0.588182082193025</v>
      </c>
      <c r="AN492" s="0" t="n">
        <f aca="false">-H492*AL492/3600</f>
        <v>-0.16009905270475</v>
      </c>
      <c r="AO492" s="0" t="n">
        <f aca="false">AM492*E492+AN492*D492</f>
        <v>-0.588182082193025</v>
      </c>
      <c r="AP492" s="0" t="n">
        <f aca="false">AL492*D492</f>
        <v>0</v>
      </c>
      <c r="AR492" s="0" t="n">
        <f aca="false">AN492*D492</f>
        <v>-0</v>
      </c>
      <c r="AS492" s="0" t="n">
        <f aca="false">AH492-AR492</f>
        <v>0</v>
      </c>
    </row>
    <row r="493" customFormat="false" ht="12" hidden="false" customHeight="false" outlineLevel="0" collapsed="false">
      <c r="A493" s="3" t="n">
        <f aca="false">A492+1</f>
        <v>484</v>
      </c>
      <c r="B493" s="3" t="n">
        <f aca="false">IF(A493&lt;$N$4/3,0.1,(IF(A493&gt;2*$N$4/3,0.05,0.12)))</f>
        <v>0.12</v>
      </c>
      <c r="C493" s="4" t="n">
        <f aca="true">RAND()</f>
        <v>0.265319676990136</v>
      </c>
      <c r="D493" s="0" t="n">
        <f aca="false">IF((C493&gt;$M$2),1,0)</f>
        <v>0</v>
      </c>
      <c r="E493" s="0" t="n">
        <f aca="false">1-D493</f>
        <v>1</v>
      </c>
      <c r="F493" s="0" t="n">
        <f aca="true">RAND()</f>
        <v>0.195194878014429</v>
      </c>
      <c r="G493" s="0" t="n">
        <f aca="false">7.75+F493*10</f>
        <v>9.70194878014429</v>
      </c>
      <c r="H493" s="0" t="n">
        <f aca="false">LOGINV(F493,2.64,1.139)</f>
        <v>5.26826270953282</v>
      </c>
      <c r="I493" s="0" t="n">
        <v>19.5</v>
      </c>
      <c r="J493" s="4" t="n">
        <f aca="true">-LN(RAND())/B493</f>
        <v>5.23294266992883</v>
      </c>
      <c r="K493" s="4" t="n">
        <f aca="false">K492+J493</f>
        <v>4798.79014747385</v>
      </c>
      <c r="L493" s="4" t="n">
        <f aca="false">(1/$J$4)*(1+AB492)</f>
        <v>10</v>
      </c>
      <c r="M493" s="4" t="n">
        <f aca="false">L493+MAX(K493,Y$10:Y492)</f>
        <v>5058.82985076217</v>
      </c>
      <c r="N493" s="4" t="n">
        <f aca="false">K493</f>
        <v>4798.79014747385</v>
      </c>
      <c r="O493" s="4" t="n">
        <f aca="false">M493-K493</f>
        <v>260.039703288323</v>
      </c>
      <c r="P493" s="4" t="n">
        <f aca="false">N493-K493</f>
        <v>0</v>
      </c>
      <c r="Q493" s="4" t="n">
        <f aca="false">A493-MATCH(K493,$M$9:M492,1)</f>
        <v>26</v>
      </c>
      <c r="R493" s="0" t="n">
        <f aca="false">-G493*(O493/3600)</f>
        <v>-0.700803300585341</v>
      </c>
      <c r="S493" s="0" t="n">
        <f aca="false">-1*I493-(H493*(P493/3600))</f>
        <v>-19.5</v>
      </c>
      <c r="T493" s="0" t="n">
        <f aca="false">-H493*(O493/3600)</f>
        <v>-0.380543742175514</v>
      </c>
      <c r="U493" s="0" t="n">
        <f aca="false">T493-S493</f>
        <v>19.1194562578245</v>
      </c>
      <c r="V493" s="0" t="n">
        <f aca="false">1/(1+EXP(U493))</f>
        <v>4.97193735568822E-009</v>
      </c>
      <c r="W493" s="0" t="n">
        <f aca="true">RAND()</f>
        <v>0.283927700266344</v>
      </c>
      <c r="X493" s="0" t="n">
        <f aca="false">IF(W493&lt;V493,1,0)</f>
        <v>0</v>
      </c>
      <c r="Y493" s="0" t="n">
        <f aca="false">(M493*(1-X493)+N493*X493)*D493+M493*E493</f>
        <v>5058.82985076217</v>
      </c>
      <c r="Z493" s="0" t="n">
        <f aca="false">((1-X493)*O493+X493*P493)*D493+E493*O493</f>
        <v>260.039703288323</v>
      </c>
      <c r="AA493" s="0" t="n">
        <f aca="false">IF(D493*X493&gt;0,AA492,Q493)</f>
        <v>26</v>
      </c>
      <c r="AB493" s="0" t="n">
        <f aca="false">(X493*D493)</f>
        <v>0</v>
      </c>
      <c r="AC493" s="0" t="n">
        <f aca="false">SUM(AB$10:AB492)/K493</f>
        <v>0</v>
      </c>
      <c r="AD493" s="0" t="n">
        <f aca="false">R493*E493+D493*(X493*S493+(1-X493)*T493)</f>
        <v>-0.700803300585341</v>
      </c>
      <c r="AE493" s="0" t="n">
        <f aca="false">Z493</f>
        <v>260.039703288323</v>
      </c>
      <c r="AF493" s="0" t="n">
        <f aca="false">E493*O493</f>
        <v>260.039703288323</v>
      </c>
      <c r="AG493" s="0" t="n">
        <f aca="false">((1-X493)*O493+X493*P493)*D493</f>
        <v>0</v>
      </c>
      <c r="AH493" s="0" t="n">
        <f aca="false">D493*(LN(EXP(S493)+EXP(T493)))</f>
        <v>-0</v>
      </c>
      <c r="AJ493" s="0" t="n">
        <f aca="false">$J$5</f>
        <v>10</v>
      </c>
      <c r="AK493" s="4" t="n">
        <f aca="false">AJ493+MAX(K493,AK$10:AK492)</f>
        <v>5058.82985076217</v>
      </c>
      <c r="AL493" s="5" t="n">
        <f aca="false">AK493-K493</f>
        <v>260.039703288323</v>
      </c>
      <c r="AM493" s="0" t="n">
        <f aca="false">-G493*AL493/3600</f>
        <v>-0.700803300585341</v>
      </c>
      <c r="AN493" s="0" t="n">
        <f aca="false">-H493*AL493/3600</f>
        <v>-0.380543742175514</v>
      </c>
      <c r="AO493" s="0" t="n">
        <f aca="false">AM493*E493+AN493*D493</f>
        <v>-0.700803300585341</v>
      </c>
      <c r="AP493" s="0" t="n">
        <f aca="false">AL493*D493</f>
        <v>0</v>
      </c>
      <c r="AR493" s="0" t="n">
        <f aca="false">AN493*D493</f>
        <v>-0</v>
      </c>
      <c r="AS493" s="0" t="n">
        <f aca="false">AH493-AR493</f>
        <v>0</v>
      </c>
    </row>
    <row r="494" customFormat="false" ht="12" hidden="false" customHeight="false" outlineLevel="0" collapsed="false">
      <c r="A494" s="3" t="n">
        <f aca="false">A493+1</f>
        <v>485</v>
      </c>
      <c r="B494" s="3" t="n">
        <f aca="false">IF(A494&lt;$N$4/3,0.1,(IF(A494&gt;2*$N$4/3,0.05,0.12)))</f>
        <v>0.12</v>
      </c>
      <c r="C494" s="4" t="n">
        <f aca="true">RAND()</f>
        <v>0.0983068059649344</v>
      </c>
      <c r="D494" s="0" t="n">
        <f aca="false">IF((C494&gt;$M$2),1,0)</f>
        <v>0</v>
      </c>
      <c r="E494" s="0" t="n">
        <f aca="false">1-D494</f>
        <v>1</v>
      </c>
      <c r="F494" s="0" t="n">
        <f aca="true">RAND()</f>
        <v>0.392013110879696</v>
      </c>
      <c r="G494" s="0" t="n">
        <f aca="false">7.75+F494*10</f>
        <v>11.670131108797</v>
      </c>
      <c r="H494" s="0" t="n">
        <f aca="false">LOGINV(F494,2.64,1.139)</f>
        <v>10.2556363563477</v>
      </c>
      <c r="I494" s="0" t="n">
        <v>19.5</v>
      </c>
      <c r="J494" s="4" t="n">
        <f aca="true">-LN(RAND())/B494</f>
        <v>6.027910120614</v>
      </c>
      <c r="K494" s="4" t="n">
        <f aca="false">K493+J494</f>
        <v>4804.81805759446</v>
      </c>
      <c r="L494" s="4" t="n">
        <f aca="false">(1/$J$4)*(1+AB493)</f>
        <v>10</v>
      </c>
      <c r="M494" s="4" t="n">
        <f aca="false">L494+MAX(K494,Y$10:Y493)</f>
        <v>5068.82985076217</v>
      </c>
      <c r="N494" s="4" t="n">
        <f aca="false">K494</f>
        <v>4804.81805759446</v>
      </c>
      <c r="O494" s="4" t="n">
        <f aca="false">M494-K494</f>
        <v>264.011793167709</v>
      </c>
      <c r="P494" s="4" t="n">
        <f aca="false">N494-K494</f>
        <v>0</v>
      </c>
      <c r="Q494" s="4" t="n">
        <f aca="false">A494-MATCH(K494,$M$9:M493,1)</f>
        <v>26</v>
      </c>
      <c r="R494" s="0" t="n">
        <f aca="false">-G494*(O494/3600)</f>
        <v>-0.855847844593263</v>
      </c>
      <c r="S494" s="0" t="n">
        <f aca="false">-1*I494-(H494*(P494/3600))</f>
        <v>-19.5</v>
      </c>
      <c r="T494" s="0" t="n">
        <f aca="false">-H494*(O494/3600)</f>
        <v>-0.752113595698693</v>
      </c>
      <c r="U494" s="0" t="n">
        <f aca="false">T494-S494</f>
        <v>18.7478864043013</v>
      </c>
      <c r="V494" s="0" t="n">
        <f aca="false">1/(1+EXP(U494))</f>
        <v>7.20935454743418E-009</v>
      </c>
      <c r="W494" s="0" t="n">
        <f aca="true">RAND()</f>
        <v>0.0547325996267882</v>
      </c>
      <c r="X494" s="0" t="n">
        <f aca="false">IF(W494&lt;V494,1,0)</f>
        <v>0</v>
      </c>
      <c r="Y494" s="0" t="n">
        <f aca="false">(M494*(1-X494)+N494*X494)*D494+M494*E494</f>
        <v>5068.82985076217</v>
      </c>
      <c r="Z494" s="0" t="n">
        <f aca="false">((1-X494)*O494+X494*P494)*D494+E494*O494</f>
        <v>264.011793167709</v>
      </c>
      <c r="AA494" s="0" t="n">
        <f aca="false">IF(D494*X494&gt;0,AA493,Q494)</f>
        <v>26</v>
      </c>
      <c r="AB494" s="0" t="n">
        <f aca="false">(X494*D494)</f>
        <v>0</v>
      </c>
      <c r="AC494" s="0" t="n">
        <f aca="false">SUM(AB$10:AB493)/K494</f>
        <v>0</v>
      </c>
      <c r="AD494" s="0" t="n">
        <f aca="false">R494*E494+D494*(X494*S494+(1-X494)*T494)</f>
        <v>-0.855847844593263</v>
      </c>
      <c r="AE494" s="0" t="n">
        <f aca="false">Z494</f>
        <v>264.011793167709</v>
      </c>
      <c r="AF494" s="0" t="n">
        <f aca="false">E494*O494</f>
        <v>264.011793167709</v>
      </c>
      <c r="AG494" s="0" t="n">
        <f aca="false">((1-X494)*O494+X494*P494)*D494</f>
        <v>0</v>
      </c>
      <c r="AH494" s="0" t="n">
        <f aca="false">D494*(LN(EXP(S494)+EXP(T494)))</f>
        <v>-0</v>
      </c>
      <c r="AJ494" s="0" t="n">
        <f aca="false">$J$5</f>
        <v>10</v>
      </c>
      <c r="AK494" s="4" t="n">
        <f aca="false">AJ494+MAX(K494,AK$10:AK493)</f>
        <v>5068.82985076217</v>
      </c>
      <c r="AL494" s="5" t="n">
        <f aca="false">AK494-K494</f>
        <v>264.011793167709</v>
      </c>
      <c r="AM494" s="0" t="n">
        <f aca="false">-G494*AL494/3600</f>
        <v>-0.855847844593263</v>
      </c>
      <c r="AN494" s="0" t="n">
        <f aca="false">-H494*AL494/3600</f>
        <v>-0.752113595698693</v>
      </c>
      <c r="AO494" s="0" t="n">
        <f aca="false">AM494*E494+AN494*D494</f>
        <v>-0.855847844593263</v>
      </c>
      <c r="AP494" s="0" t="n">
        <f aca="false">AL494*D494</f>
        <v>0</v>
      </c>
      <c r="AR494" s="0" t="n">
        <f aca="false">AN494*D494</f>
        <v>-0</v>
      </c>
      <c r="AS494" s="0" t="n">
        <f aca="false">AH494-AR494</f>
        <v>0</v>
      </c>
    </row>
    <row r="495" customFormat="false" ht="12" hidden="false" customHeight="false" outlineLevel="0" collapsed="false">
      <c r="A495" s="3" t="n">
        <f aca="false">A494+1</f>
        <v>486</v>
      </c>
      <c r="B495" s="3" t="n">
        <f aca="false">IF(A495&lt;$N$4/3,0.1,(IF(A495&gt;2*$N$4/3,0.05,0.12)))</f>
        <v>0.12</v>
      </c>
      <c r="C495" s="4" t="n">
        <f aca="true">RAND()</f>
        <v>0.53734180564464</v>
      </c>
      <c r="D495" s="0" t="n">
        <f aca="false">IF((C495&gt;$M$2),1,0)</f>
        <v>0</v>
      </c>
      <c r="E495" s="0" t="n">
        <f aca="false">1-D495</f>
        <v>1</v>
      </c>
      <c r="F495" s="0" t="n">
        <f aca="true">RAND()</f>
        <v>0.955252039609418</v>
      </c>
      <c r="G495" s="0" t="n">
        <f aca="false">7.75+F495*10</f>
        <v>17.3025203960942</v>
      </c>
      <c r="H495" s="0" t="n">
        <f aca="false">LOGINV(F495,2.64,1.139)</f>
        <v>96.9401194176787</v>
      </c>
      <c r="I495" s="0" t="n">
        <v>19.5</v>
      </c>
      <c r="J495" s="4" t="n">
        <f aca="true">-LN(RAND())/B495</f>
        <v>1.6552866664973</v>
      </c>
      <c r="K495" s="4" t="n">
        <f aca="false">K494+J495</f>
        <v>4806.47334426096</v>
      </c>
      <c r="L495" s="4" t="n">
        <f aca="false">(1/$J$4)*(1+AB494)</f>
        <v>10</v>
      </c>
      <c r="M495" s="4" t="n">
        <f aca="false">L495+MAX(K495,Y$10:Y494)</f>
        <v>5078.82985076217</v>
      </c>
      <c r="N495" s="4" t="n">
        <f aca="false">K495</f>
        <v>4806.47334426096</v>
      </c>
      <c r="O495" s="4" t="n">
        <f aca="false">M495-K495</f>
        <v>272.356506501212</v>
      </c>
      <c r="P495" s="4" t="n">
        <f aca="false">N495-K495</f>
        <v>0</v>
      </c>
      <c r="Q495" s="4" t="n">
        <f aca="false">A495-MATCH(K495,$M$9:M494,1)</f>
        <v>27</v>
      </c>
      <c r="R495" s="0" t="n">
        <f aca="false">-G495*(O495/3600)</f>
        <v>-1.30901500242949</v>
      </c>
      <c r="S495" s="0" t="n">
        <f aca="false">-1*I495-(H495*(P495/3600))</f>
        <v>-19.5</v>
      </c>
      <c r="T495" s="0" t="n">
        <f aca="false">-H495*(O495/3600)</f>
        <v>-7.33396451789146</v>
      </c>
      <c r="U495" s="0" t="n">
        <f aca="false">T495-S495</f>
        <v>12.1660354821085</v>
      </c>
      <c r="V495" s="0" t="n">
        <f aca="false">1/(1+EXP(U495))</f>
        <v>5.20422019095516E-006</v>
      </c>
      <c r="W495" s="0" t="n">
        <f aca="true">RAND()</f>
        <v>0.872081188353468</v>
      </c>
      <c r="X495" s="0" t="n">
        <f aca="false">IF(W495&lt;V495,1,0)</f>
        <v>0</v>
      </c>
      <c r="Y495" s="0" t="n">
        <f aca="false">(M495*(1-X495)+N495*X495)*D495+M495*E495</f>
        <v>5078.82985076217</v>
      </c>
      <c r="Z495" s="0" t="n">
        <f aca="false">((1-X495)*O495+X495*P495)*D495+E495*O495</f>
        <v>272.356506501212</v>
      </c>
      <c r="AA495" s="0" t="n">
        <f aca="false">IF(D495*X495&gt;0,AA494,Q495)</f>
        <v>27</v>
      </c>
      <c r="AB495" s="0" t="n">
        <f aca="false">(X495*D495)</f>
        <v>0</v>
      </c>
      <c r="AC495" s="0" t="n">
        <f aca="false">SUM(AB$10:AB494)/K495</f>
        <v>0</v>
      </c>
      <c r="AD495" s="0" t="n">
        <f aca="false">R495*E495+D495*(X495*S495+(1-X495)*T495)</f>
        <v>-1.30901500242949</v>
      </c>
      <c r="AE495" s="0" t="n">
        <f aca="false">Z495</f>
        <v>272.356506501212</v>
      </c>
      <c r="AF495" s="0" t="n">
        <f aca="false">E495*O495</f>
        <v>272.356506501212</v>
      </c>
      <c r="AG495" s="0" t="n">
        <f aca="false">((1-X495)*O495+X495*P495)*D495</f>
        <v>0</v>
      </c>
      <c r="AH495" s="0" t="n">
        <f aca="false">D495*(LN(EXP(S495)+EXP(T495)))</f>
        <v>-0</v>
      </c>
      <c r="AJ495" s="0" t="n">
        <f aca="false">$J$5</f>
        <v>10</v>
      </c>
      <c r="AK495" s="4" t="n">
        <f aca="false">AJ495+MAX(K495,AK$10:AK494)</f>
        <v>5078.82985076217</v>
      </c>
      <c r="AL495" s="5" t="n">
        <f aca="false">AK495-K495</f>
        <v>272.356506501212</v>
      </c>
      <c r="AM495" s="0" t="n">
        <f aca="false">-G495*AL495/3600</f>
        <v>-1.30901500242949</v>
      </c>
      <c r="AN495" s="0" t="n">
        <f aca="false">-H495*AL495/3600</f>
        <v>-7.33396451789146</v>
      </c>
      <c r="AO495" s="0" t="n">
        <f aca="false">AM495*E495+AN495*D495</f>
        <v>-1.30901500242949</v>
      </c>
      <c r="AP495" s="0" t="n">
        <f aca="false">AL495*D495</f>
        <v>0</v>
      </c>
      <c r="AR495" s="0" t="n">
        <f aca="false">AN495*D495</f>
        <v>-0</v>
      </c>
      <c r="AS495" s="0" t="n">
        <f aca="false">AH495-AR495</f>
        <v>0</v>
      </c>
    </row>
    <row r="496" customFormat="false" ht="12" hidden="false" customHeight="false" outlineLevel="0" collapsed="false">
      <c r="A496" s="3" t="n">
        <f aca="false">A495+1</f>
        <v>487</v>
      </c>
      <c r="B496" s="3" t="n">
        <f aca="false">IF(A496&lt;$N$4/3,0.1,(IF(A496&gt;2*$N$4/3,0.05,0.12)))</f>
        <v>0.12</v>
      </c>
      <c r="C496" s="4" t="n">
        <f aca="true">RAND()</f>
        <v>0.706215635839812</v>
      </c>
      <c r="D496" s="0" t="n">
        <f aca="false">IF((C496&gt;$M$2),1,0)</f>
        <v>0</v>
      </c>
      <c r="E496" s="0" t="n">
        <f aca="false">1-D496</f>
        <v>1</v>
      </c>
      <c r="F496" s="0" t="n">
        <f aca="true">RAND()</f>
        <v>0.012333498976009</v>
      </c>
      <c r="G496" s="0" t="n">
        <f aca="false">7.75+F496*10</f>
        <v>7.87333498976009</v>
      </c>
      <c r="H496" s="0" t="n">
        <f aca="false">LOGINV(F496,2.64,1.139)</f>
        <v>1.08453080185971</v>
      </c>
      <c r="I496" s="0" t="n">
        <v>19.5</v>
      </c>
      <c r="J496" s="4" t="n">
        <f aca="true">-LN(RAND())/B496</f>
        <v>17.5353137292344</v>
      </c>
      <c r="K496" s="4" t="n">
        <f aca="false">K495+J496</f>
        <v>4824.00865799019</v>
      </c>
      <c r="L496" s="4" t="n">
        <f aca="false">(1/$J$4)*(1+AB495)</f>
        <v>10</v>
      </c>
      <c r="M496" s="4" t="n">
        <f aca="false">L496+MAX(K496,Y$10:Y495)</f>
        <v>5088.82985076217</v>
      </c>
      <c r="N496" s="4" t="n">
        <f aca="false">K496</f>
        <v>4824.00865799019</v>
      </c>
      <c r="O496" s="4" t="n">
        <f aca="false">M496-K496</f>
        <v>264.821192771978</v>
      </c>
      <c r="P496" s="4" t="n">
        <f aca="false">N496-K496</f>
        <v>0</v>
      </c>
      <c r="Q496" s="4" t="n">
        <f aca="false">A496-MATCH(K496,$M$9:M495,1)</f>
        <v>26</v>
      </c>
      <c r="R496" s="0" t="n">
        <f aca="false">-G496*(O496/3600)</f>
        <v>-0.579173878633781</v>
      </c>
      <c r="S496" s="0" t="n">
        <f aca="false">-1*I496-(H496*(P496/3600))</f>
        <v>-19.5</v>
      </c>
      <c r="T496" s="0" t="n">
        <f aca="false">-H496*(O496/3600)</f>
        <v>-0.0797796501517884</v>
      </c>
      <c r="U496" s="0" t="n">
        <f aca="false">T496-S496</f>
        <v>19.4202203498482</v>
      </c>
      <c r="V496" s="0" t="n">
        <f aca="false">1/(1+EXP(U496))</f>
        <v>3.68048848336947E-009</v>
      </c>
      <c r="W496" s="0" t="n">
        <f aca="true">RAND()</f>
        <v>0.976364660548101</v>
      </c>
      <c r="X496" s="0" t="n">
        <f aca="false">IF(W496&lt;V496,1,0)</f>
        <v>0</v>
      </c>
      <c r="Y496" s="0" t="n">
        <f aca="false">(M496*(1-X496)+N496*X496)*D496+M496*E496</f>
        <v>5088.82985076217</v>
      </c>
      <c r="Z496" s="0" t="n">
        <f aca="false">((1-X496)*O496+X496*P496)*D496+E496*O496</f>
        <v>264.821192771978</v>
      </c>
      <c r="AA496" s="0" t="n">
        <f aca="false">IF(D496*X496&gt;0,AA495,Q496)</f>
        <v>26</v>
      </c>
      <c r="AB496" s="0" t="n">
        <f aca="false">(X496*D496)</f>
        <v>0</v>
      </c>
      <c r="AC496" s="0" t="n">
        <f aca="false">SUM(AB$10:AB495)/K496</f>
        <v>0</v>
      </c>
      <c r="AD496" s="0" t="n">
        <f aca="false">R496*E496+D496*(X496*S496+(1-X496)*T496)</f>
        <v>-0.579173878633781</v>
      </c>
      <c r="AE496" s="0" t="n">
        <f aca="false">Z496</f>
        <v>264.821192771978</v>
      </c>
      <c r="AF496" s="0" t="n">
        <f aca="false">E496*O496</f>
        <v>264.821192771978</v>
      </c>
      <c r="AG496" s="0" t="n">
        <f aca="false">((1-X496)*O496+X496*P496)*D496</f>
        <v>0</v>
      </c>
      <c r="AH496" s="0" t="n">
        <f aca="false">D496*(LN(EXP(S496)+EXP(T496)))</f>
        <v>-0</v>
      </c>
      <c r="AJ496" s="0" t="n">
        <f aca="false">$J$5</f>
        <v>10</v>
      </c>
      <c r="AK496" s="4" t="n">
        <f aca="false">AJ496+MAX(K496,AK$10:AK495)</f>
        <v>5088.82985076217</v>
      </c>
      <c r="AL496" s="5" t="n">
        <f aca="false">AK496-K496</f>
        <v>264.821192771978</v>
      </c>
      <c r="AM496" s="0" t="n">
        <f aca="false">-G496*AL496/3600</f>
        <v>-0.579173878633781</v>
      </c>
      <c r="AN496" s="0" t="n">
        <f aca="false">-H496*AL496/3600</f>
        <v>-0.0797796501517884</v>
      </c>
      <c r="AO496" s="0" t="n">
        <f aca="false">AM496*E496+AN496*D496</f>
        <v>-0.579173878633781</v>
      </c>
      <c r="AP496" s="0" t="n">
        <f aca="false">AL496*D496</f>
        <v>0</v>
      </c>
      <c r="AR496" s="0" t="n">
        <f aca="false">AN496*D496</f>
        <v>-0</v>
      </c>
      <c r="AS496" s="0" t="n">
        <f aca="false">AH496-AR496</f>
        <v>0</v>
      </c>
    </row>
    <row r="497" customFormat="false" ht="12" hidden="false" customHeight="false" outlineLevel="0" collapsed="false">
      <c r="A497" s="3" t="n">
        <f aca="false">A496+1</f>
        <v>488</v>
      </c>
      <c r="B497" s="3" t="n">
        <f aca="false">IF(A497&lt;$N$4/3,0.1,(IF(A497&gt;2*$N$4/3,0.05,0.12)))</f>
        <v>0.12</v>
      </c>
      <c r="C497" s="4" t="n">
        <f aca="true">RAND()</f>
        <v>0.842709822595582</v>
      </c>
      <c r="D497" s="0" t="n">
        <f aca="false">IF((C497&gt;$M$2),1,0)</f>
        <v>0</v>
      </c>
      <c r="E497" s="0" t="n">
        <f aca="false">1-D497</f>
        <v>1</v>
      </c>
      <c r="F497" s="0" t="n">
        <f aca="true">RAND()</f>
        <v>0.883133709631422</v>
      </c>
      <c r="G497" s="0" t="n">
        <f aca="false">7.75+F497*10</f>
        <v>16.5813370963142</v>
      </c>
      <c r="H497" s="0" t="n">
        <f aca="false">LOGINV(F497,2.64,1.139)</f>
        <v>54.3975889096214</v>
      </c>
      <c r="I497" s="0" t="n">
        <v>19.5</v>
      </c>
      <c r="J497" s="4" t="n">
        <f aca="true">-LN(RAND())/B497</f>
        <v>1.982920232151</v>
      </c>
      <c r="K497" s="4" t="n">
        <f aca="false">K496+J497</f>
        <v>4825.99157822234</v>
      </c>
      <c r="L497" s="4" t="n">
        <f aca="false">(1/$J$4)*(1+AB496)</f>
        <v>10</v>
      </c>
      <c r="M497" s="4" t="n">
        <f aca="false">L497+MAX(K497,Y$10:Y496)</f>
        <v>5098.82985076217</v>
      </c>
      <c r="N497" s="4" t="n">
        <f aca="false">K497</f>
        <v>4825.99157822234</v>
      </c>
      <c r="O497" s="4" t="n">
        <f aca="false">M497-K497</f>
        <v>272.838272539827</v>
      </c>
      <c r="P497" s="4" t="n">
        <f aca="false">N497-K497</f>
        <v>0</v>
      </c>
      <c r="Q497" s="4" t="n">
        <f aca="false">A497-MATCH(K497,$M$9:M496,1)</f>
        <v>27</v>
      </c>
      <c r="R497" s="0" t="n">
        <f aca="false">-G497*(O497/3600)</f>
        <v>-1.25667315826637</v>
      </c>
      <c r="S497" s="0" t="n">
        <f aca="false">-1*I497-(H497*(P497/3600))</f>
        <v>-19.5</v>
      </c>
      <c r="T497" s="0" t="n">
        <f aca="false">-H497*(O497/3600)</f>
        <v>-4.1227067190091</v>
      </c>
      <c r="U497" s="0" t="n">
        <f aca="false">T497-S497</f>
        <v>15.3772932809909</v>
      </c>
      <c r="V497" s="0" t="n">
        <f aca="false">1/(1+EXP(U497))</f>
        <v>2.09761746506442E-007</v>
      </c>
      <c r="W497" s="0" t="n">
        <f aca="true">RAND()</f>
        <v>0.639372700704758</v>
      </c>
      <c r="X497" s="0" t="n">
        <f aca="false">IF(W497&lt;V497,1,0)</f>
        <v>0</v>
      </c>
      <c r="Y497" s="0" t="n">
        <f aca="false">(M497*(1-X497)+N497*X497)*D497+M497*E497</f>
        <v>5098.82985076217</v>
      </c>
      <c r="Z497" s="0" t="n">
        <f aca="false">((1-X497)*O497+X497*P497)*D497+E497*O497</f>
        <v>272.838272539827</v>
      </c>
      <c r="AA497" s="0" t="n">
        <f aca="false">IF(D497*X497&gt;0,AA496,Q497)</f>
        <v>27</v>
      </c>
      <c r="AB497" s="0" t="n">
        <f aca="false">(X497*D497)</f>
        <v>0</v>
      </c>
      <c r="AC497" s="0" t="n">
        <f aca="false">SUM(AB$10:AB496)/K497</f>
        <v>0</v>
      </c>
      <c r="AD497" s="0" t="n">
        <f aca="false">R497*E497+D497*(X497*S497+(1-X497)*T497)</f>
        <v>-1.25667315826637</v>
      </c>
      <c r="AE497" s="0" t="n">
        <f aca="false">Z497</f>
        <v>272.838272539827</v>
      </c>
      <c r="AF497" s="0" t="n">
        <f aca="false">E497*O497</f>
        <v>272.838272539827</v>
      </c>
      <c r="AG497" s="0" t="n">
        <f aca="false">((1-X497)*O497+X497*P497)*D497</f>
        <v>0</v>
      </c>
      <c r="AH497" s="0" t="n">
        <f aca="false">D497*(LN(EXP(S497)+EXP(T497)))</f>
        <v>-0</v>
      </c>
      <c r="AJ497" s="0" t="n">
        <f aca="false">$J$5</f>
        <v>10</v>
      </c>
      <c r="AK497" s="4" t="n">
        <f aca="false">AJ497+MAX(K497,AK$10:AK496)</f>
        <v>5098.82985076217</v>
      </c>
      <c r="AL497" s="5" t="n">
        <f aca="false">AK497-K497</f>
        <v>272.838272539827</v>
      </c>
      <c r="AM497" s="0" t="n">
        <f aca="false">-G497*AL497/3600</f>
        <v>-1.25667315826637</v>
      </c>
      <c r="AN497" s="0" t="n">
        <f aca="false">-H497*AL497/3600</f>
        <v>-4.1227067190091</v>
      </c>
      <c r="AO497" s="0" t="n">
        <f aca="false">AM497*E497+AN497*D497</f>
        <v>-1.25667315826637</v>
      </c>
      <c r="AP497" s="0" t="n">
        <f aca="false">AL497*D497</f>
        <v>0</v>
      </c>
      <c r="AR497" s="0" t="n">
        <f aca="false">AN497*D497</f>
        <v>-0</v>
      </c>
      <c r="AS497" s="0" t="n">
        <f aca="false">AH497-AR497</f>
        <v>0</v>
      </c>
    </row>
    <row r="498" customFormat="false" ht="12" hidden="false" customHeight="false" outlineLevel="0" collapsed="false">
      <c r="A498" s="3" t="n">
        <f aca="false">A497+1</f>
        <v>489</v>
      </c>
      <c r="B498" s="3" t="n">
        <f aca="false">IF(A498&lt;$N$4/3,0.1,(IF(A498&gt;2*$N$4/3,0.05,0.12)))</f>
        <v>0.12</v>
      </c>
      <c r="C498" s="4" t="n">
        <f aca="true">RAND()</f>
        <v>0.756622104538998</v>
      </c>
      <c r="D498" s="0" t="n">
        <f aca="false">IF((C498&gt;$M$2),1,0)</f>
        <v>0</v>
      </c>
      <c r="E498" s="0" t="n">
        <f aca="false">1-D498</f>
        <v>1</v>
      </c>
      <c r="F498" s="0" t="n">
        <f aca="true">RAND()</f>
        <v>0.149843372146693</v>
      </c>
      <c r="G498" s="0" t="n">
        <f aca="false">7.75+F498*10</f>
        <v>9.24843372146693</v>
      </c>
      <c r="H498" s="0" t="n">
        <f aca="false">LOGINV(F498,2.64,1.139)</f>
        <v>4.3005243741478</v>
      </c>
      <c r="I498" s="0" t="n">
        <v>19.5</v>
      </c>
      <c r="J498" s="4" t="n">
        <f aca="true">-LN(RAND())/B498</f>
        <v>3.31073658706068</v>
      </c>
      <c r="K498" s="4" t="n">
        <f aca="false">K497+J498</f>
        <v>4829.30231480941</v>
      </c>
      <c r="L498" s="4" t="n">
        <f aca="false">(1/$J$4)*(1+AB497)</f>
        <v>10</v>
      </c>
      <c r="M498" s="4" t="n">
        <f aca="false">L498+MAX(K498,Y$10:Y497)</f>
        <v>5108.82985076217</v>
      </c>
      <c r="N498" s="4" t="n">
        <f aca="false">K498</f>
        <v>4829.30231480941</v>
      </c>
      <c r="O498" s="4" t="n">
        <f aca="false">M498-K498</f>
        <v>279.527535952766</v>
      </c>
      <c r="P498" s="4" t="n">
        <f aca="false">N498-K498</f>
        <v>0</v>
      </c>
      <c r="Q498" s="4" t="n">
        <f aca="false">A498-MATCH(K498,$M$9:M497,1)</f>
        <v>27</v>
      </c>
      <c r="R498" s="0" t="n">
        <f aca="false">-G498*(O498/3600)</f>
        <v>-0.718108858217811</v>
      </c>
      <c r="S498" s="0" t="n">
        <f aca="false">-1*I498-(H498*(P498/3600))</f>
        <v>-19.5</v>
      </c>
      <c r="T498" s="0" t="n">
        <f aca="false">-H498*(O498/3600)</f>
        <v>-0.333920828225096</v>
      </c>
      <c r="U498" s="0" t="n">
        <f aca="false">T498-S498</f>
        <v>19.1660791717749</v>
      </c>
      <c r="V498" s="0" t="n">
        <f aca="false">1/(1+EXP(U498))</f>
        <v>4.74545188010352E-009</v>
      </c>
      <c r="W498" s="0" t="n">
        <f aca="true">RAND()</f>
        <v>0.295701989235336</v>
      </c>
      <c r="X498" s="0" t="n">
        <f aca="false">IF(W498&lt;V498,1,0)</f>
        <v>0</v>
      </c>
      <c r="Y498" s="0" t="n">
        <f aca="false">(M498*(1-X498)+N498*X498)*D498+M498*E498</f>
        <v>5108.82985076217</v>
      </c>
      <c r="Z498" s="0" t="n">
        <f aca="false">((1-X498)*O498+X498*P498)*D498+E498*O498</f>
        <v>279.527535952766</v>
      </c>
      <c r="AA498" s="0" t="n">
        <f aca="false">IF(D498*X498&gt;0,AA497,Q498)</f>
        <v>27</v>
      </c>
      <c r="AB498" s="0" t="n">
        <f aca="false">(X498*D498)</f>
        <v>0</v>
      </c>
      <c r="AC498" s="0" t="n">
        <f aca="false">SUM(AB$10:AB497)/K498</f>
        <v>0</v>
      </c>
      <c r="AD498" s="0" t="n">
        <f aca="false">R498*E498+D498*(X498*S498+(1-X498)*T498)</f>
        <v>-0.718108858217811</v>
      </c>
      <c r="AE498" s="0" t="n">
        <f aca="false">Z498</f>
        <v>279.527535952766</v>
      </c>
      <c r="AF498" s="0" t="n">
        <f aca="false">E498*O498</f>
        <v>279.527535952766</v>
      </c>
      <c r="AG498" s="0" t="n">
        <f aca="false">((1-X498)*O498+X498*P498)*D498</f>
        <v>0</v>
      </c>
      <c r="AH498" s="0" t="n">
        <f aca="false">D498*(LN(EXP(S498)+EXP(T498)))</f>
        <v>-0</v>
      </c>
      <c r="AJ498" s="0" t="n">
        <f aca="false">$J$5</f>
        <v>10</v>
      </c>
      <c r="AK498" s="4" t="n">
        <f aca="false">AJ498+MAX(K498,AK$10:AK497)</f>
        <v>5108.82985076217</v>
      </c>
      <c r="AL498" s="5" t="n">
        <f aca="false">AK498-K498</f>
        <v>279.527535952766</v>
      </c>
      <c r="AM498" s="0" t="n">
        <f aca="false">-G498*AL498/3600</f>
        <v>-0.718108858217811</v>
      </c>
      <c r="AN498" s="0" t="n">
        <f aca="false">-H498*AL498/3600</f>
        <v>-0.333920828225096</v>
      </c>
      <c r="AO498" s="0" t="n">
        <f aca="false">AM498*E498+AN498*D498</f>
        <v>-0.718108858217811</v>
      </c>
      <c r="AP498" s="0" t="n">
        <f aca="false">AL498*D498</f>
        <v>0</v>
      </c>
      <c r="AR498" s="0" t="n">
        <f aca="false">AN498*D498</f>
        <v>-0</v>
      </c>
      <c r="AS498" s="0" t="n">
        <f aca="false">AH498-AR498</f>
        <v>0</v>
      </c>
    </row>
    <row r="499" customFormat="false" ht="12" hidden="false" customHeight="false" outlineLevel="0" collapsed="false">
      <c r="A499" s="3" t="n">
        <f aca="false">A498+1</f>
        <v>490</v>
      </c>
      <c r="B499" s="3" t="n">
        <f aca="false">IF(A499&lt;$N$4/3,0.1,(IF(A499&gt;2*$N$4/3,0.05,0.12)))</f>
        <v>0.12</v>
      </c>
      <c r="C499" s="4" t="n">
        <f aca="true">RAND()</f>
        <v>0.919632855162805</v>
      </c>
      <c r="D499" s="0" t="n">
        <f aca="false">IF((C499&gt;$M$2),1,0)</f>
        <v>1</v>
      </c>
      <c r="E499" s="0" t="n">
        <f aca="false">1-D499</f>
        <v>0</v>
      </c>
      <c r="F499" s="0" t="n">
        <f aca="true">RAND()</f>
        <v>0.45435370298998</v>
      </c>
      <c r="G499" s="0" t="n">
        <f aca="false">7.75+F499*10</f>
        <v>12.2935370298998</v>
      </c>
      <c r="H499" s="0" t="n">
        <f aca="false">LOGINV(F499,2.64,1.139)</f>
        <v>12.2974496296261</v>
      </c>
      <c r="I499" s="0" t="n">
        <v>19.5</v>
      </c>
      <c r="J499" s="4" t="n">
        <f aca="true">-LN(RAND())/B499</f>
        <v>11.6853299488304</v>
      </c>
      <c r="K499" s="4" t="n">
        <f aca="false">K498+J499</f>
        <v>4840.98764475824</v>
      </c>
      <c r="L499" s="4" t="n">
        <f aca="false">(1/$J$4)*(1+AB498)</f>
        <v>10</v>
      </c>
      <c r="M499" s="4" t="n">
        <f aca="false">L499+MAX(K499,Y$10:Y498)</f>
        <v>5118.82985076217</v>
      </c>
      <c r="N499" s="4" t="n">
        <f aca="false">K499</f>
        <v>4840.98764475824</v>
      </c>
      <c r="O499" s="4" t="n">
        <f aca="false">M499-K499</f>
        <v>277.842206003936</v>
      </c>
      <c r="P499" s="4" t="n">
        <f aca="false">N499-K499</f>
        <v>0</v>
      </c>
      <c r="Q499" s="4" t="n">
        <f aca="false">A499-MATCH(K499,$M$9:M498,1)</f>
        <v>27</v>
      </c>
      <c r="R499" s="0" t="n">
        <f aca="false">-G499*(O499/3600)</f>
        <v>-0.948795402216231</v>
      </c>
      <c r="S499" s="0" t="n">
        <f aca="false">-1*I499-(H499*(P499/3600))</f>
        <v>-19.5</v>
      </c>
      <c r="T499" s="0" t="n">
        <f aca="false">-H499*(O499/3600)</f>
        <v>-0.949097370365997</v>
      </c>
      <c r="U499" s="0" t="n">
        <f aca="false">T499-S499</f>
        <v>18.550902629634</v>
      </c>
      <c r="V499" s="0" t="n">
        <f aca="false">1/(1+EXP(U499))</f>
        <v>8.77900608024384E-009</v>
      </c>
      <c r="W499" s="0" t="n">
        <f aca="true">RAND()</f>
        <v>0.235288364975603</v>
      </c>
      <c r="X499" s="0" t="n">
        <f aca="false">IF(W499&lt;V499,1,0)</f>
        <v>0</v>
      </c>
      <c r="Y499" s="0" t="n">
        <f aca="false">(M499*(1-X499)+N499*X499)*D499+M499*E499</f>
        <v>5118.82985076217</v>
      </c>
      <c r="Z499" s="0" t="n">
        <f aca="false">((1-X499)*O499+X499*P499)*D499+E499*O499</f>
        <v>277.842206003936</v>
      </c>
      <c r="AA499" s="0" t="n">
        <f aca="false">IF(D499*X499&gt;0,AA498,Q499)</f>
        <v>27</v>
      </c>
      <c r="AB499" s="0" t="n">
        <f aca="false">(X499*D499)</f>
        <v>0</v>
      </c>
      <c r="AC499" s="0" t="n">
        <f aca="false">SUM(AB$10:AB498)/K499</f>
        <v>0</v>
      </c>
      <c r="AD499" s="0" t="n">
        <f aca="false">R499*E499+D499*(X499*S499+(1-X499)*T499)</f>
        <v>-0.949097370365997</v>
      </c>
      <c r="AE499" s="0" t="n">
        <f aca="false">Z499</f>
        <v>277.842206003936</v>
      </c>
      <c r="AF499" s="0" t="n">
        <f aca="false">E499*O499</f>
        <v>0</v>
      </c>
      <c r="AG499" s="0" t="n">
        <f aca="false">((1-X499)*O499+X499*P499)*D499</f>
        <v>277.842206003936</v>
      </c>
      <c r="AH499" s="0" t="n">
        <f aca="false">D499*(LN(EXP(S499)+EXP(T499)))</f>
        <v>-0.949097361586991</v>
      </c>
      <c r="AJ499" s="0" t="n">
        <f aca="false">$J$5</f>
        <v>10</v>
      </c>
      <c r="AK499" s="4" t="n">
        <f aca="false">AJ499+MAX(K499,AK$10:AK498)</f>
        <v>5118.82985076217</v>
      </c>
      <c r="AL499" s="5" t="n">
        <f aca="false">AK499-K499</f>
        <v>277.842206003936</v>
      </c>
      <c r="AM499" s="0" t="n">
        <f aca="false">-G499*AL499/3600</f>
        <v>-0.948795402216231</v>
      </c>
      <c r="AN499" s="0" t="n">
        <f aca="false">-H499*AL499/3600</f>
        <v>-0.949097370365997</v>
      </c>
      <c r="AO499" s="0" t="n">
        <f aca="false">AM499*E499+AN499*D499</f>
        <v>-0.949097370365997</v>
      </c>
      <c r="AP499" s="0" t="n">
        <f aca="false">AL499*D499</f>
        <v>277.842206003936</v>
      </c>
      <c r="AR499" s="0" t="n">
        <f aca="false">AN499*D499</f>
        <v>-0.949097370365997</v>
      </c>
      <c r="AS499" s="0" t="n">
        <f aca="false">AH499-AR499</f>
        <v>8.77900596663039E-009</v>
      </c>
    </row>
    <row r="500" customFormat="false" ht="12" hidden="false" customHeight="false" outlineLevel="0" collapsed="false">
      <c r="A500" s="3" t="n">
        <f aca="false">A499+1</f>
        <v>491</v>
      </c>
      <c r="B500" s="3" t="n">
        <f aca="false">IF(A500&lt;$N$4/3,0.1,(IF(A500&gt;2*$N$4/3,0.05,0.12)))</f>
        <v>0.12</v>
      </c>
      <c r="C500" s="4" t="n">
        <f aca="true">RAND()</f>
        <v>0.160082159245471</v>
      </c>
      <c r="D500" s="0" t="n">
        <f aca="false">IF((C500&gt;$M$2),1,0)</f>
        <v>0</v>
      </c>
      <c r="E500" s="0" t="n">
        <f aca="false">1-D500</f>
        <v>1</v>
      </c>
      <c r="F500" s="0" t="n">
        <f aca="true">RAND()</f>
        <v>0.803452530569534</v>
      </c>
      <c r="G500" s="0" t="n">
        <f aca="false">7.75+F500*10</f>
        <v>15.7845253056953</v>
      </c>
      <c r="H500" s="0" t="n">
        <f aca="false">LOGINV(F500,2.64,1.139)</f>
        <v>37.0669842380062</v>
      </c>
      <c r="I500" s="0" t="n">
        <v>19.5</v>
      </c>
      <c r="J500" s="4" t="n">
        <f aca="true">-LN(RAND())/B500</f>
        <v>14.9294245362206</v>
      </c>
      <c r="K500" s="4" t="n">
        <f aca="false">K499+J500</f>
        <v>4855.91706929446</v>
      </c>
      <c r="L500" s="4" t="n">
        <f aca="false">(1/$J$4)*(1+AB499)</f>
        <v>10</v>
      </c>
      <c r="M500" s="4" t="n">
        <f aca="false">L500+MAX(K500,Y$10:Y499)</f>
        <v>5128.82985076217</v>
      </c>
      <c r="N500" s="4" t="n">
        <f aca="false">K500</f>
        <v>4855.91706929446</v>
      </c>
      <c r="O500" s="4" t="n">
        <f aca="false">M500-K500</f>
        <v>272.912781467715</v>
      </c>
      <c r="P500" s="4" t="n">
        <f aca="false">N500-K500</f>
        <v>0</v>
      </c>
      <c r="Q500" s="4" t="n">
        <f aca="false">A500-MATCH(K500,$M$9:M499,1)</f>
        <v>27</v>
      </c>
      <c r="R500" s="0" t="n">
        <f aca="false">-G500*(O500/3600)</f>
        <v>-1.19661075147912</v>
      </c>
      <c r="S500" s="0" t="n">
        <f aca="false">-1*I500-(H500*(P500/3600))</f>
        <v>-19.5</v>
      </c>
      <c r="T500" s="0" t="n">
        <f aca="false">-H500*(O500/3600)</f>
        <v>-2.81001493583729</v>
      </c>
      <c r="U500" s="0" t="n">
        <f aca="false">T500-S500</f>
        <v>16.6899850641627</v>
      </c>
      <c r="V500" s="0" t="n">
        <f aca="false">1/(1+EXP(U500))</f>
        <v>5.64457904401133E-008</v>
      </c>
      <c r="W500" s="0" t="n">
        <f aca="true">RAND()</f>
        <v>0.00859007821288374</v>
      </c>
      <c r="X500" s="0" t="n">
        <f aca="false">IF(W500&lt;V500,1,0)</f>
        <v>0</v>
      </c>
      <c r="Y500" s="0" t="n">
        <f aca="false">(M500*(1-X500)+N500*X500)*D500+M500*E500</f>
        <v>5128.82985076217</v>
      </c>
      <c r="Z500" s="0" t="n">
        <f aca="false">((1-X500)*O500+X500*P500)*D500+E500*O500</f>
        <v>272.912781467715</v>
      </c>
      <c r="AA500" s="0" t="n">
        <f aca="false">IF(D500*X500&gt;0,AA499,Q500)</f>
        <v>27</v>
      </c>
      <c r="AB500" s="0" t="n">
        <f aca="false">(X500*D500)</f>
        <v>0</v>
      </c>
      <c r="AC500" s="0" t="n">
        <f aca="false">SUM(AB$10:AB499)/K500</f>
        <v>0</v>
      </c>
      <c r="AD500" s="0" t="n">
        <f aca="false">R500*E500+D500*(X500*S500+(1-X500)*T500)</f>
        <v>-1.19661075147912</v>
      </c>
      <c r="AE500" s="0" t="n">
        <f aca="false">Z500</f>
        <v>272.912781467715</v>
      </c>
      <c r="AF500" s="0" t="n">
        <f aca="false">E500*O500</f>
        <v>272.912781467715</v>
      </c>
      <c r="AG500" s="0" t="n">
        <f aca="false">((1-X500)*O500+X500*P500)*D500</f>
        <v>0</v>
      </c>
      <c r="AH500" s="0" t="n">
        <f aca="false">D500*(LN(EXP(S500)+EXP(T500)))</f>
        <v>-0</v>
      </c>
      <c r="AJ500" s="0" t="n">
        <f aca="false">$J$5</f>
        <v>10</v>
      </c>
      <c r="AK500" s="4" t="n">
        <f aca="false">AJ500+MAX(K500,AK$10:AK499)</f>
        <v>5128.82985076217</v>
      </c>
      <c r="AL500" s="5" t="n">
        <f aca="false">AK500-K500</f>
        <v>272.912781467715</v>
      </c>
      <c r="AM500" s="0" t="n">
        <f aca="false">-G500*AL500/3600</f>
        <v>-1.19661075147912</v>
      </c>
      <c r="AN500" s="0" t="n">
        <f aca="false">-H500*AL500/3600</f>
        <v>-2.81001493583729</v>
      </c>
      <c r="AO500" s="0" t="n">
        <f aca="false">AM500*E500+AN500*D500</f>
        <v>-1.19661075147912</v>
      </c>
      <c r="AP500" s="0" t="n">
        <f aca="false">AL500*D500</f>
        <v>0</v>
      </c>
      <c r="AR500" s="0" t="n">
        <f aca="false">AN500*D500</f>
        <v>-0</v>
      </c>
      <c r="AS500" s="0" t="n">
        <f aca="false">AH500-AR500</f>
        <v>0</v>
      </c>
    </row>
    <row r="501" customFormat="false" ht="12" hidden="false" customHeight="false" outlineLevel="0" collapsed="false">
      <c r="A501" s="3" t="n">
        <f aca="false">A500+1</f>
        <v>492</v>
      </c>
      <c r="B501" s="3" t="n">
        <f aca="false">IF(A501&lt;$N$4/3,0.1,(IF(A501&gt;2*$N$4/3,0.05,0.12)))</f>
        <v>0.12</v>
      </c>
      <c r="C501" s="4" t="n">
        <f aca="true">RAND()</f>
        <v>0.231795226112359</v>
      </c>
      <c r="D501" s="0" t="n">
        <f aca="false">IF((C501&gt;$M$2),1,0)</f>
        <v>0</v>
      </c>
      <c r="E501" s="0" t="n">
        <f aca="false">1-D501</f>
        <v>1</v>
      </c>
      <c r="F501" s="0" t="n">
        <f aca="true">RAND()</f>
        <v>0.714121901407194</v>
      </c>
      <c r="G501" s="0" t="n">
        <f aca="false">7.75+F501*10</f>
        <v>14.8912190140719</v>
      </c>
      <c r="H501" s="0" t="n">
        <f aca="false">LOGINV(F501,2.64,1.139)</f>
        <v>26.6840726469621</v>
      </c>
      <c r="I501" s="0" t="n">
        <v>19.5</v>
      </c>
      <c r="J501" s="4" t="n">
        <f aca="true">-LN(RAND())/B501</f>
        <v>33.7597031690014</v>
      </c>
      <c r="K501" s="4" t="n">
        <f aca="false">K500+J501</f>
        <v>4889.67677246346</v>
      </c>
      <c r="L501" s="4" t="n">
        <f aca="false">(1/$J$4)*(1+AB500)</f>
        <v>10</v>
      </c>
      <c r="M501" s="4" t="n">
        <f aca="false">L501+MAX(K501,Y$10:Y500)</f>
        <v>5138.82985076217</v>
      </c>
      <c r="N501" s="4" t="n">
        <f aca="false">K501</f>
        <v>4889.67677246346</v>
      </c>
      <c r="O501" s="4" t="n">
        <f aca="false">M501-K501</f>
        <v>249.153078298714</v>
      </c>
      <c r="P501" s="4" t="n">
        <f aca="false">N501-K501</f>
        <v>0</v>
      </c>
      <c r="Q501" s="4" t="n">
        <f aca="false">A501-MATCH(K501,$M$9:M500,1)</f>
        <v>24</v>
      </c>
      <c r="R501" s="0" t="n">
        <f aca="false">-G501*(O501/3600)</f>
        <v>-1.03060918249343</v>
      </c>
      <c r="S501" s="0" t="n">
        <f aca="false">-1*I501-(H501*(P501/3600))</f>
        <v>-19.5</v>
      </c>
      <c r="T501" s="0" t="n">
        <f aca="false">-H501*(O501/3600)</f>
        <v>-1.84678301153809</v>
      </c>
      <c r="U501" s="0" t="n">
        <f aca="false">T501-S501</f>
        <v>17.6532169884619</v>
      </c>
      <c r="V501" s="0" t="n">
        <f aca="false">1/(1+EXP(U501))</f>
        <v>2.15429545259042E-008</v>
      </c>
      <c r="W501" s="0" t="n">
        <f aca="true">RAND()</f>
        <v>0.186175225472047</v>
      </c>
      <c r="X501" s="0" t="n">
        <f aca="false">IF(W501&lt;V501,1,0)</f>
        <v>0</v>
      </c>
      <c r="Y501" s="0" t="n">
        <f aca="false">(M501*(1-X501)+N501*X501)*D501+M501*E501</f>
        <v>5138.82985076217</v>
      </c>
      <c r="Z501" s="0" t="n">
        <f aca="false">((1-X501)*O501+X501*P501)*D501+E501*O501</f>
        <v>249.153078298714</v>
      </c>
      <c r="AA501" s="0" t="n">
        <f aca="false">IF(D501*X501&gt;0,AA500,Q501)</f>
        <v>24</v>
      </c>
      <c r="AB501" s="0" t="n">
        <f aca="false">(X501*D501)</f>
        <v>0</v>
      </c>
      <c r="AC501" s="0" t="n">
        <f aca="false">SUM(AB$10:AB500)/K501</f>
        <v>0</v>
      </c>
      <c r="AD501" s="0" t="n">
        <f aca="false">R501*E501+D501*(X501*S501+(1-X501)*T501)</f>
        <v>-1.03060918249343</v>
      </c>
      <c r="AE501" s="0" t="n">
        <f aca="false">Z501</f>
        <v>249.153078298714</v>
      </c>
      <c r="AF501" s="0" t="n">
        <f aca="false">E501*O501</f>
        <v>249.153078298714</v>
      </c>
      <c r="AG501" s="0" t="n">
        <f aca="false">((1-X501)*O501+X501*P501)*D501</f>
        <v>0</v>
      </c>
      <c r="AH501" s="0" t="n">
        <f aca="false">D501*(LN(EXP(S501)+EXP(T501)))</f>
        <v>-0</v>
      </c>
      <c r="AJ501" s="0" t="n">
        <f aca="false">$J$5</f>
        <v>10</v>
      </c>
      <c r="AK501" s="4" t="n">
        <f aca="false">AJ501+MAX(K501,AK$10:AK500)</f>
        <v>5138.82985076217</v>
      </c>
      <c r="AL501" s="5" t="n">
        <f aca="false">AK501-K501</f>
        <v>249.153078298714</v>
      </c>
      <c r="AM501" s="0" t="n">
        <f aca="false">-G501*AL501/3600</f>
        <v>-1.03060918249343</v>
      </c>
      <c r="AN501" s="0" t="n">
        <f aca="false">-H501*AL501/3600</f>
        <v>-1.84678301153809</v>
      </c>
      <c r="AO501" s="0" t="n">
        <f aca="false">AM501*E501+AN501*D501</f>
        <v>-1.03060918249343</v>
      </c>
      <c r="AP501" s="0" t="n">
        <f aca="false">AL501*D501</f>
        <v>0</v>
      </c>
      <c r="AR501" s="0" t="n">
        <f aca="false">AN501*D501</f>
        <v>-0</v>
      </c>
      <c r="AS501" s="0" t="n">
        <f aca="false">AH501-AR501</f>
        <v>0</v>
      </c>
    </row>
    <row r="502" customFormat="false" ht="12" hidden="false" customHeight="false" outlineLevel="0" collapsed="false">
      <c r="A502" s="3" t="n">
        <f aca="false">A501+1</f>
        <v>493</v>
      </c>
      <c r="B502" s="3" t="n">
        <f aca="false">IF(A502&lt;$N$4/3,0.1,(IF(A502&gt;2*$N$4/3,0.05,0.12)))</f>
        <v>0.12</v>
      </c>
      <c r="C502" s="4" t="n">
        <f aca="true">RAND()</f>
        <v>0.210498401849877</v>
      </c>
      <c r="D502" s="0" t="n">
        <f aca="false">IF((C502&gt;$M$2),1,0)</f>
        <v>0</v>
      </c>
      <c r="E502" s="0" t="n">
        <f aca="false">1-D502</f>
        <v>1</v>
      </c>
      <c r="F502" s="0" t="n">
        <f aca="true">RAND()</f>
        <v>0.28024679163358</v>
      </c>
      <c r="G502" s="0" t="n">
        <f aca="false">7.75+F502*10</f>
        <v>10.5524679163358</v>
      </c>
      <c r="H502" s="0" t="n">
        <f aca="false">LOGINV(F502,2.64,1.139)</f>
        <v>7.22089127099757</v>
      </c>
      <c r="I502" s="0" t="n">
        <v>19.5</v>
      </c>
      <c r="J502" s="4" t="n">
        <f aca="true">-LN(RAND())/B502</f>
        <v>13.6397066408612</v>
      </c>
      <c r="K502" s="4" t="n">
        <f aca="false">K501+J502</f>
        <v>4903.31647910432</v>
      </c>
      <c r="L502" s="4" t="n">
        <f aca="false">(1/$J$4)*(1+AB501)</f>
        <v>10</v>
      </c>
      <c r="M502" s="4" t="n">
        <f aca="false">L502+MAX(K502,Y$10:Y501)</f>
        <v>5148.82985076217</v>
      </c>
      <c r="N502" s="4" t="n">
        <f aca="false">K502</f>
        <v>4903.31647910432</v>
      </c>
      <c r="O502" s="4" t="n">
        <f aca="false">M502-K502</f>
        <v>245.513371657853</v>
      </c>
      <c r="P502" s="4" t="n">
        <f aca="false">N502-K502</f>
        <v>0</v>
      </c>
      <c r="Q502" s="4" t="n">
        <f aca="false">A502-MATCH(K502,$M$9:M501,1)</f>
        <v>24</v>
      </c>
      <c r="R502" s="0" t="n">
        <f aca="false">-G502*(O502/3600)</f>
        <v>-0.719658882625256</v>
      </c>
      <c r="S502" s="0" t="n">
        <f aca="false">-1*I502-(H502*(P502/3600))</f>
        <v>-19.5</v>
      </c>
      <c r="T502" s="0" t="n">
        <f aca="false">-H502*(O502/3600)</f>
        <v>-0.492451489532604</v>
      </c>
      <c r="U502" s="0" t="n">
        <f aca="false">T502-S502</f>
        <v>19.0075485104674</v>
      </c>
      <c r="V502" s="0" t="n">
        <f aca="false">1/(1+EXP(U502))</f>
        <v>5.56066286187657E-009</v>
      </c>
      <c r="W502" s="0" t="n">
        <f aca="true">RAND()</f>
        <v>0.120423803827674</v>
      </c>
      <c r="X502" s="0" t="n">
        <f aca="false">IF(W502&lt;V502,1,0)</f>
        <v>0</v>
      </c>
      <c r="Y502" s="0" t="n">
        <f aca="false">(M502*(1-X502)+N502*X502)*D502+M502*E502</f>
        <v>5148.82985076217</v>
      </c>
      <c r="Z502" s="0" t="n">
        <f aca="false">((1-X502)*O502+X502*P502)*D502+E502*O502</f>
        <v>245.513371657853</v>
      </c>
      <c r="AA502" s="0" t="n">
        <f aca="false">IF(D502*X502&gt;0,AA501,Q502)</f>
        <v>24</v>
      </c>
      <c r="AB502" s="0" t="n">
        <f aca="false">(X502*D502)</f>
        <v>0</v>
      </c>
      <c r="AC502" s="0" t="n">
        <f aca="false">SUM(AB$10:AB501)/K502</f>
        <v>0</v>
      </c>
      <c r="AD502" s="0" t="n">
        <f aca="false">R502*E502+D502*(X502*S502+(1-X502)*T502)</f>
        <v>-0.719658882625256</v>
      </c>
      <c r="AE502" s="0" t="n">
        <f aca="false">Z502</f>
        <v>245.513371657853</v>
      </c>
      <c r="AF502" s="0" t="n">
        <f aca="false">E502*O502</f>
        <v>245.513371657853</v>
      </c>
      <c r="AG502" s="0" t="n">
        <f aca="false">((1-X502)*O502+X502*P502)*D502</f>
        <v>0</v>
      </c>
      <c r="AH502" s="0" t="n">
        <f aca="false">D502*(LN(EXP(S502)+EXP(T502)))</f>
        <v>-0</v>
      </c>
      <c r="AJ502" s="0" t="n">
        <f aca="false">$J$5</f>
        <v>10</v>
      </c>
      <c r="AK502" s="4" t="n">
        <f aca="false">AJ502+MAX(K502,AK$10:AK501)</f>
        <v>5148.82985076217</v>
      </c>
      <c r="AL502" s="5" t="n">
        <f aca="false">AK502-K502</f>
        <v>245.513371657853</v>
      </c>
      <c r="AM502" s="0" t="n">
        <f aca="false">-G502*AL502/3600</f>
        <v>-0.719658882625256</v>
      </c>
      <c r="AN502" s="0" t="n">
        <f aca="false">-H502*AL502/3600</f>
        <v>-0.492451489532604</v>
      </c>
      <c r="AO502" s="0" t="n">
        <f aca="false">AM502*E502+AN502*D502</f>
        <v>-0.719658882625256</v>
      </c>
      <c r="AP502" s="0" t="n">
        <f aca="false">AL502*D502</f>
        <v>0</v>
      </c>
      <c r="AR502" s="0" t="n">
        <f aca="false">AN502*D502</f>
        <v>-0</v>
      </c>
      <c r="AS502" s="0" t="n">
        <f aca="false">AH502-AR502</f>
        <v>0</v>
      </c>
    </row>
    <row r="503" customFormat="false" ht="12" hidden="false" customHeight="false" outlineLevel="0" collapsed="false">
      <c r="A503" s="3" t="n">
        <f aca="false">A502+1</f>
        <v>494</v>
      </c>
      <c r="B503" s="3" t="n">
        <f aca="false">IF(A503&lt;$N$4/3,0.1,(IF(A503&gt;2*$N$4/3,0.05,0.12)))</f>
        <v>0.12</v>
      </c>
      <c r="C503" s="4" t="n">
        <f aca="true">RAND()</f>
        <v>0.753562721052655</v>
      </c>
      <c r="D503" s="0" t="n">
        <f aca="false">IF((C503&gt;$M$2),1,0)</f>
        <v>0</v>
      </c>
      <c r="E503" s="0" t="n">
        <f aca="false">1-D503</f>
        <v>1</v>
      </c>
      <c r="F503" s="0" t="n">
        <f aca="true">RAND()</f>
        <v>0.97924998833566</v>
      </c>
      <c r="G503" s="0" t="n">
        <f aca="false">7.75+F503*10</f>
        <v>17.5424998833566</v>
      </c>
      <c r="H503" s="0" t="n">
        <f aca="false">LOGINV(F503,2.64,1.139)</f>
        <v>142.857941184855</v>
      </c>
      <c r="I503" s="0" t="n">
        <v>19.5</v>
      </c>
      <c r="J503" s="4" t="n">
        <f aca="true">-LN(RAND())/B503</f>
        <v>11.3667281633541</v>
      </c>
      <c r="K503" s="4" t="n">
        <f aca="false">K502+J503</f>
        <v>4914.68320726767</v>
      </c>
      <c r="L503" s="4" t="n">
        <f aca="false">(1/$J$4)*(1+AB502)</f>
        <v>10</v>
      </c>
      <c r="M503" s="4" t="n">
        <f aca="false">L503+MAX(K503,Y$10:Y502)</f>
        <v>5158.82985076217</v>
      </c>
      <c r="N503" s="4" t="n">
        <f aca="false">K503</f>
        <v>4914.68320726767</v>
      </c>
      <c r="O503" s="4" t="n">
        <f aca="false">M503-K503</f>
        <v>244.146643494499</v>
      </c>
      <c r="P503" s="4" t="n">
        <f aca="false">N503-K503</f>
        <v>0</v>
      </c>
      <c r="Q503" s="4" t="n">
        <f aca="false">A503-MATCH(K503,$M$9:M502,1)</f>
        <v>24</v>
      </c>
      <c r="R503" s="0" t="n">
        <f aca="false">-G503*(O503/3600)</f>
        <v>-1.18970624028449</v>
      </c>
      <c r="S503" s="0" t="n">
        <f aca="false">-1*I503-(H503*(P503/3600))</f>
        <v>-19.5</v>
      </c>
      <c r="T503" s="0" t="n">
        <f aca="false">-H503*(O503/3600)</f>
        <v>-9.68841301022689</v>
      </c>
      <c r="U503" s="0" t="n">
        <f aca="false">T503-S503</f>
        <v>9.81158698977311</v>
      </c>
      <c r="V503" s="0" t="n">
        <f aca="false">1/(1+EXP(U503))</f>
        <v>5.48097861232966E-005</v>
      </c>
      <c r="W503" s="0" t="n">
        <f aca="true">RAND()</f>
        <v>0.333934235262023</v>
      </c>
      <c r="X503" s="0" t="n">
        <f aca="false">IF(W503&lt;V503,1,0)</f>
        <v>0</v>
      </c>
      <c r="Y503" s="0" t="n">
        <f aca="false">(M503*(1-X503)+N503*X503)*D503+M503*E503</f>
        <v>5158.82985076217</v>
      </c>
      <c r="Z503" s="0" t="n">
        <f aca="false">((1-X503)*O503+X503*P503)*D503+E503*O503</f>
        <v>244.146643494499</v>
      </c>
      <c r="AA503" s="0" t="n">
        <f aca="false">IF(D503*X503&gt;0,AA502,Q503)</f>
        <v>24</v>
      </c>
      <c r="AB503" s="0" t="n">
        <f aca="false">(X503*D503)</f>
        <v>0</v>
      </c>
      <c r="AC503" s="0" t="n">
        <f aca="false">SUM(AB$10:AB502)/K503</f>
        <v>0</v>
      </c>
      <c r="AD503" s="0" t="n">
        <f aca="false">R503*E503+D503*(X503*S503+(1-X503)*T503)</f>
        <v>-1.18970624028449</v>
      </c>
      <c r="AE503" s="0" t="n">
        <f aca="false">Z503</f>
        <v>244.146643494499</v>
      </c>
      <c r="AF503" s="0" t="n">
        <f aca="false">E503*O503</f>
        <v>244.146643494499</v>
      </c>
      <c r="AG503" s="0" t="n">
        <f aca="false">((1-X503)*O503+X503*P503)*D503</f>
        <v>0</v>
      </c>
      <c r="AH503" s="0" t="n">
        <f aca="false">D503*(LN(EXP(S503)+EXP(T503)))</f>
        <v>-0</v>
      </c>
      <c r="AJ503" s="0" t="n">
        <f aca="false">$J$5</f>
        <v>10</v>
      </c>
      <c r="AK503" s="4" t="n">
        <f aca="false">AJ503+MAX(K503,AK$10:AK502)</f>
        <v>5158.82985076217</v>
      </c>
      <c r="AL503" s="5" t="n">
        <f aca="false">AK503-K503</f>
        <v>244.146643494499</v>
      </c>
      <c r="AM503" s="0" t="n">
        <f aca="false">-G503*AL503/3600</f>
        <v>-1.18970624028449</v>
      </c>
      <c r="AN503" s="0" t="n">
        <f aca="false">-H503*AL503/3600</f>
        <v>-9.68841301022689</v>
      </c>
      <c r="AO503" s="0" t="n">
        <f aca="false">AM503*E503+AN503*D503</f>
        <v>-1.18970624028449</v>
      </c>
      <c r="AP503" s="0" t="n">
        <f aca="false">AL503*D503</f>
        <v>0</v>
      </c>
      <c r="AR503" s="0" t="n">
        <f aca="false">AN503*D503</f>
        <v>-0</v>
      </c>
      <c r="AS503" s="0" t="n">
        <f aca="false">AH503-AR503</f>
        <v>0</v>
      </c>
    </row>
    <row r="504" customFormat="false" ht="12" hidden="false" customHeight="false" outlineLevel="0" collapsed="false">
      <c r="A504" s="3" t="n">
        <f aca="false">A503+1</f>
        <v>495</v>
      </c>
      <c r="B504" s="3" t="n">
        <f aca="false">IF(A504&lt;$N$4/3,0.1,(IF(A504&gt;2*$N$4/3,0.05,0.12)))</f>
        <v>0.12</v>
      </c>
      <c r="C504" s="4" t="n">
        <f aca="true">RAND()</f>
        <v>0.267610077307421</v>
      </c>
      <c r="D504" s="0" t="n">
        <f aca="false">IF((C504&gt;$M$2),1,0)</f>
        <v>0</v>
      </c>
      <c r="E504" s="0" t="n">
        <f aca="false">1-D504</f>
        <v>1</v>
      </c>
      <c r="F504" s="0" t="n">
        <f aca="true">RAND()</f>
        <v>0.300506596799298</v>
      </c>
      <c r="G504" s="0" t="n">
        <f aca="false">7.75+F504*10</f>
        <v>10.755065967993</v>
      </c>
      <c r="H504" s="0" t="n">
        <f aca="false">LOGINV(F504,2.64,1.139)</f>
        <v>7.72426547640825</v>
      </c>
      <c r="I504" s="0" t="n">
        <v>19.5</v>
      </c>
      <c r="J504" s="4" t="n">
        <f aca="true">-LN(RAND())/B504</f>
        <v>0.265683021860929</v>
      </c>
      <c r="K504" s="4" t="n">
        <f aca="false">K503+J504</f>
        <v>4914.94889028953</v>
      </c>
      <c r="L504" s="4" t="n">
        <f aca="false">(1/$J$4)*(1+AB503)</f>
        <v>10</v>
      </c>
      <c r="M504" s="4" t="n">
        <f aca="false">L504+MAX(K504,Y$10:Y503)</f>
        <v>5168.82985076217</v>
      </c>
      <c r="N504" s="4" t="n">
        <f aca="false">K504</f>
        <v>4914.94889028953</v>
      </c>
      <c r="O504" s="4" t="n">
        <f aca="false">M504-K504</f>
        <v>253.880960472638</v>
      </c>
      <c r="P504" s="4" t="n">
        <f aca="false">N504-K504</f>
        <v>0</v>
      </c>
      <c r="Q504" s="4" t="n">
        <f aca="false">A504-MATCH(K504,$M$9:M503,1)</f>
        <v>25</v>
      </c>
      <c r="R504" s="0" t="n">
        <f aca="false">-G504*(O504/3600)</f>
        <v>-0.758474021639066</v>
      </c>
      <c r="S504" s="0" t="n">
        <f aca="false">-1*I504-(H504*(P504/3600))</f>
        <v>-19.5</v>
      </c>
      <c r="T504" s="0" t="n">
        <f aca="false">-H504*(O504/3600)</f>
        <v>-0.544734427248934</v>
      </c>
      <c r="U504" s="0" t="n">
        <f aca="false">T504-S504</f>
        <v>18.9552655727511</v>
      </c>
      <c r="V504" s="0" t="n">
        <f aca="false">1/(1+EXP(U504))</f>
        <v>5.85912490216665E-009</v>
      </c>
      <c r="W504" s="0" t="n">
        <f aca="true">RAND()</f>
        <v>0.555781923906513</v>
      </c>
      <c r="X504" s="0" t="n">
        <f aca="false">IF(W504&lt;V504,1,0)</f>
        <v>0</v>
      </c>
      <c r="Y504" s="0" t="n">
        <f aca="false">(M504*(1-X504)+N504*X504)*D504+M504*E504</f>
        <v>5168.82985076217</v>
      </c>
      <c r="Z504" s="0" t="n">
        <f aca="false">((1-X504)*O504+X504*P504)*D504+E504*O504</f>
        <v>253.880960472638</v>
      </c>
      <c r="AA504" s="0" t="n">
        <f aca="false">IF(D504*X504&gt;0,AA503,Q504)</f>
        <v>25</v>
      </c>
      <c r="AB504" s="0" t="n">
        <f aca="false">(X504*D504)</f>
        <v>0</v>
      </c>
      <c r="AC504" s="0" t="n">
        <f aca="false">SUM(AB$10:AB503)/K504</f>
        <v>0</v>
      </c>
      <c r="AD504" s="0" t="n">
        <f aca="false">R504*E504+D504*(X504*S504+(1-X504)*T504)</f>
        <v>-0.758474021639066</v>
      </c>
      <c r="AE504" s="0" t="n">
        <f aca="false">Z504</f>
        <v>253.880960472638</v>
      </c>
      <c r="AF504" s="0" t="n">
        <f aca="false">E504*O504</f>
        <v>253.880960472638</v>
      </c>
      <c r="AG504" s="0" t="n">
        <f aca="false">((1-X504)*O504+X504*P504)*D504</f>
        <v>0</v>
      </c>
      <c r="AH504" s="0" t="n">
        <f aca="false">D504*(LN(EXP(S504)+EXP(T504)))</f>
        <v>-0</v>
      </c>
      <c r="AJ504" s="0" t="n">
        <f aca="false">$J$5</f>
        <v>10</v>
      </c>
      <c r="AK504" s="4" t="n">
        <f aca="false">AJ504+MAX(K504,AK$10:AK503)</f>
        <v>5168.82985076217</v>
      </c>
      <c r="AL504" s="5" t="n">
        <f aca="false">AK504-K504</f>
        <v>253.880960472638</v>
      </c>
      <c r="AM504" s="0" t="n">
        <f aca="false">-G504*AL504/3600</f>
        <v>-0.758474021639065</v>
      </c>
      <c r="AN504" s="0" t="n">
        <f aca="false">-H504*AL504/3600</f>
        <v>-0.544734427248934</v>
      </c>
      <c r="AO504" s="0" t="n">
        <f aca="false">AM504*E504+AN504*D504</f>
        <v>-0.758474021639065</v>
      </c>
      <c r="AP504" s="0" t="n">
        <f aca="false">AL504*D504</f>
        <v>0</v>
      </c>
      <c r="AR504" s="0" t="n">
        <f aca="false">AN504*D504</f>
        <v>-0</v>
      </c>
      <c r="AS504" s="0" t="n">
        <f aca="false">AH504-AR504</f>
        <v>0</v>
      </c>
    </row>
    <row r="505" customFormat="false" ht="12" hidden="false" customHeight="false" outlineLevel="0" collapsed="false">
      <c r="A505" s="3" t="n">
        <f aca="false">A504+1</f>
        <v>496</v>
      </c>
      <c r="B505" s="3" t="n">
        <f aca="false">IF(A505&lt;$N$4/3,0.1,(IF(A505&gt;2*$N$4/3,0.05,0.12)))</f>
        <v>0.12</v>
      </c>
      <c r="C505" s="4" t="n">
        <f aca="true">RAND()</f>
        <v>0.454201426752814</v>
      </c>
      <c r="D505" s="0" t="n">
        <f aca="false">IF((C505&gt;$M$2),1,0)</f>
        <v>0</v>
      </c>
      <c r="E505" s="0" t="n">
        <f aca="false">1-D505</f>
        <v>1</v>
      </c>
      <c r="F505" s="0" t="n">
        <f aca="true">RAND()</f>
        <v>0.838534898420954</v>
      </c>
      <c r="G505" s="0" t="n">
        <f aca="false">7.75+F505*10</f>
        <v>16.1353489842095</v>
      </c>
      <c r="H505" s="0" t="n">
        <f aca="false">LOGINV(F505,2.64,1.139)</f>
        <v>43.2003869731064</v>
      </c>
      <c r="I505" s="0" t="n">
        <v>19.5</v>
      </c>
      <c r="J505" s="4" t="n">
        <f aca="true">-LN(RAND())/B505</f>
        <v>1.12364150470165</v>
      </c>
      <c r="K505" s="4" t="n">
        <f aca="false">K504+J505</f>
        <v>4916.07253179424</v>
      </c>
      <c r="L505" s="4" t="n">
        <f aca="false">(1/$J$4)*(1+AB504)</f>
        <v>10</v>
      </c>
      <c r="M505" s="4" t="n">
        <f aca="false">L505+MAX(K505,Y$10:Y504)</f>
        <v>5178.82985076217</v>
      </c>
      <c r="N505" s="4" t="n">
        <f aca="false">K505</f>
        <v>4916.07253179424</v>
      </c>
      <c r="O505" s="4" t="n">
        <f aca="false">M505-K505</f>
        <v>262.757318967936</v>
      </c>
      <c r="P505" s="4" t="n">
        <f aca="false">N505-K505</f>
        <v>0</v>
      </c>
      <c r="Q505" s="4" t="n">
        <f aca="false">A505-MATCH(K505,$M$9:M504,1)</f>
        <v>26</v>
      </c>
      <c r="R505" s="0" t="n">
        <f aca="false">-G505*(O505/3600)</f>
        <v>-1.17768917769525</v>
      </c>
      <c r="S505" s="0" t="n">
        <f aca="false">-1*I505-(H505*(P505/3600))</f>
        <v>-19.5</v>
      </c>
      <c r="T505" s="0" t="n">
        <f aca="false">-H505*(O505/3600)</f>
        <v>-3.15311607206411</v>
      </c>
      <c r="U505" s="0" t="n">
        <f aca="false">T505-S505</f>
        <v>16.3468839279359</v>
      </c>
      <c r="V505" s="0" t="n">
        <f aca="false">1/(1+EXP(U505))</f>
        <v>7.95496877411705E-008</v>
      </c>
      <c r="W505" s="0" t="n">
        <f aca="true">RAND()</f>
        <v>0.0118328603937828</v>
      </c>
      <c r="X505" s="0" t="n">
        <f aca="false">IF(W505&lt;V505,1,0)</f>
        <v>0</v>
      </c>
      <c r="Y505" s="0" t="n">
        <f aca="false">(M505*(1-X505)+N505*X505)*D505+M505*E505</f>
        <v>5178.82985076217</v>
      </c>
      <c r="Z505" s="0" t="n">
        <f aca="false">((1-X505)*O505+X505*P505)*D505+E505*O505</f>
        <v>262.757318967936</v>
      </c>
      <c r="AA505" s="0" t="n">
        <f aca="false">IF(D505*X505&gt;0,AA504,Q505)</f>
        <v>26</v>
      </c>
      <c r="AB505" s="0" t="n">
        <f aca="false">(X505*D505)</f>
        <v>0</v>
      </c>
      <c r="AC505" s="0" t="n">
        <f aca="false">SUM(AB$10:AB504)/K505</f>
        <v>0</v>
      </c>
      <c r="AD505" s="0" t="n">
        <f aca="false">R505*E505+D505*(X505*S505+(1-X505)*T505)</f>
        <v>-1.17768917769525</v>
      </c>
      <c r="AE505" s="0" t="n">
        <f aca="false">Z505</f>
        <v>262.757318967936</v>
      </c>
      <c r="AF505" s="0" t="n">
        <f aca="false">E505*O505</f>
        <v>262.757318967936</v>
      </c>
      <c r="AG505" s="0" t="n">
        <f aca="false">((1-X505)*O505+X505*P505)*D505</f>
        <v>0</v>
      </c>
      <c r="AH505" s="0" t="n">
        <f aca="false">D505*(LN(EXP(S505)+EXP(T505)))</f>
        <v>-0</v>
      </c>
      <c r="AJ505" s="0" t="n">
        <f aca="false">$J$5</f>
        <v>10</v>
      </c>
      <c r="AK505" s="4" t="n">
        <f aca="false">AJ505+MAX(K505,AK$10:AK504)</f>
        <v>5178.82985076217</v>
      </c>
      <c r="AL505" s="5" t="n">
        <f aca="false">AK505-K505</f>
        <v>262.757318967936</v>
      </c>
      <c r="AM505" s="0" t="n">
        <f aca="false">-G505*AL505/3600</f>
        <v>-1.17768917769525</v>
      </c>
      <c r="AN505" s="0" t="n">
        <f aca="false">-H505*AL505/3600</f>
        <v>-3.15311607206411</v>
      </c>
      <c r="AO505" s="0" t="n">
        <f aca="false">AM505*E505+AN505*D505</f>
        <v>-1.17768917769525</v>
      </c>
      <c r="AP505" s="0" t="n">
        <f aca="false">AL505*D505</f>
        <v>0</v>
      </c>
      <c r="AR505" s="0" t="n">
        <f aca="false">AN505*D505</f>
        <v>-0</v>
      </c>
      <c r="AS505" s="0" t="n">
        <f aca="false">AH505-AR505</f>
        <v>0</v>
      </c>
    </row>
    <row r="506" customFormat="false" ht="12" hidden="false" customHeight="false" outlineLevel="0" collapsed="false">
      <c r="A506" s="3" t="n">
        <f aca="false">A505+1</f>
        <v>497</v>
      </c>
      <c r="B506" s="3" t="n">
        <f aca="false">IF(A506&lt;$N$4/3,0.1,(IF(A506&gt;2*$N$4/3,0.05,0.12)))</f>
        <v>0.12</v>
      </c>
      <c r="C506" s="4" t="n">
        <f aca="true">RAND()</f>
        <v>0.552023313114</v>
      </c>
      <c r="D506" s="0" t="n">
        <f aca="false">IF((C506&gt;$M$2),1,0)</f>
        <v>0</v>
      </c>
      <c r="E506" s="0" t="n">
        <f aca="false">1-D506</f>
        <v>1</v>
      </c>
      <c r="F506" s="0" t="n">
        <f aca="true">RAND()</f>
        <v>0.837763200115066</v>
      </c>
      <c r="G506" s="0" t="n">
        <f aca="false">7.75+F506*10</f>
        <v>16.1276320011507</v>
      </c>
      <c r="H506" s="0" t="n">
        <f aca="false">LOGINV(F506,2.64,1.139)</f>
        <v>43.0457699442046</v>
      </c>
      <c r="I506" s="0" t="n">
        <v>19.5</v>
      </c>
      <c r="J506" s="4" t="n">
        <f aca="true">-LN(RAND())/B506</f>
        <v>4.14454754210535</v>
      </c>
      <c r="K506" s="4" t="n">
        <f aca="false">K505+J506</f>
        <v>4920.21707933634</v>
      </c>
      <c r="L506" s="4" t="n">
        <f aca="false">(1/$J$4)*(1+AB505)</f>
        <v>10</v>
      </c>
      <c r="M506" s="4" t="n">
        <f aca="false">L506+MAX(K506,Y$10:Y505)</f>
        <v>5188.82985076217</v>
      </c>
      <c r="N506" s="4" t="n">
        <f aca="false">K506</f>
        <v>4920.21707933634</v>
      </c>
      <c r="O506" s="4" t="n">
        <f aca="false">M506-K506</f>
        <v>268.612771425831</v>
      </c>
      <c r="P506" s="4" t="n">
        <f aca="false">N506-K506</f>
        <v>0</v>
      </c>
      <c r="Q506" s="4" t="n">
        <f aca="false">A506-MATCH(K506,$M$9:M505,1)</f>
        <v>26</v>
      </c>
      <c r="R506" s="0" t="n">
        <f aca="false">-G506*(O506/3600)</f>
        <v>-1.20335775787917</v>
      </c>
      <c r="S506" s="0" t="n">
        <f aca="false">-1*I506-(H506*(P506/3600))</f>
        <v>-19.5</v>
      </c>
      <c r="T506" s="0" t="n">
        <f aca="false">-H506*(O506/3600)</f>
        <v>-3.21184543413098</v>
      </c>
      <c r="U506" s="0" t="n">
        <f aca="false">T506-S506</f>
        <v>16.288154565869</v>
      </c>
      <c r="V506" s="0" t="n">
        <f aca="false">1/(1+EXP(U506))</f>
        <v>8.43615042454552E-008</v>
      </c>
      <c r="W506" s="0" t="n">
        <f aca="true">RAND()</f>
        <v>0.844856138479204</v>
      </c>
      <c r="X506" s="0" t="n">
        <f aca="false">IF(W506&lt;V506,1,0)</f>
        <v>0</v>
      </c>
      <c r="Y506" s="0" t="n">
        <f aca="false">(M506*(1-X506)+N506*X506)*D506+M506*E506</f>
        <v>5188.82985076217</v>
      </c>
      <c r="Z506" s="0" t="n">
        <f aca="false">((1-X506)*O506+X506*P506)*D506+E506*O506</f>
        <v>268.612771425831</v>
      </c>
      <c r="AA506" s="0" t="n">
        <f aca="false">IF(D506*X506&gt;0,AA505,Q506)</f>
        <v>26</v>
      </c>
      <c r="AB506" s="0" t="n">
        <f aca="false">(X506*D506)</f>
        <v>0</v>
      </c>
      <c r="AC506" s="0" t="n">
        <f aca="false">SUM(AB$10:AB505)/K506</f>
        <v>0</v>
      </c>
      <c r="AD506" s="0" t="n">
        <f aca="false">R506*E506+D506*(X506*S506+(1-X506)*T506)</f>
        <v>-1.20335775787917</v>
      </c>
      <c r="AE506" s="0" t="n">
        <f aca="false">Z506</f>
        <v>268.612771425831</v>
      </c>
      <c r="AF506" s="0" t="n">
        <f aca="false">E506*O506</f>
        <v>268.612771425831</v>
      </c>
      <c r="AG506" s="0" t="n">
        <f aca="false">((1-X506)*O506+X506*P506)*D506</f>
        <v>0</v>
      </c>
      <c r="AH506" s="0" t="n">
        <f aca="false">D506*(LN(EXP(S506)+EXP(T506)))</f>
        <v>-0</v>
      </c>
      <c r="AJ506" s="0" t="n">
        <f aca="false">$J$5</f>
        <v>10</v>
      </c>
      <c r="AK506" s="4" t="n">
        <f aca="false">AJ506+MAX(K506,AK$10:AK505)</f>
        <v>5188.82985076217</v>
      </c>
      <c r="AL506" s="5" t="n">
        <f aca="false">AK506-K506</f>
        <v>268.612771425831</v>
      </c>
      <c r="AM506" s="0" t="n">
        <f aca="false">-G506*AL506/3600</f>
        <v>-1.20335775787917</v>
      </c>
      <c r="AN506" s="0" t="n">
        <f aca="false">-H506*AL506/3600</f>
        <v>-3.21184543413098</v>
      </c>
      <c r="AO506" s="0" t="n">
        <f aca="false">AM506*E506+AN506*D506</f>
        <v>-1.20335775787917</v>
      </c>
      <c r="AP506" s="0" t="n">
        <f aca="false">AL506*D506</f>
        <v>0</v>
      </c>
      <c r="AR506" s="0" t="n">
        <f aca="false">AN506*D506</f>
        <v>-0</v>
      </c>
      <c r="AS506" s="0" t="n">
        <f aca="false">AH506-AR506</f>
        <v>0</v>
      </c>
    </row>
    <row r="507" customFormat="false" ht="12" hidden="false" customHeight="false" outlineLevel="0" collapsed="false">
      <c r="A507" s="3" t="n">
        <f aca="false">A506+1</f>
        <v>498</v>
      </c>
      <c r="B507" s="3" t="n">
        <f aca="false">IF(A507&lt;$N$4/3,0.1,(IF(A507&gt;2*$N$4/3,0.05,0.12)))</f>
        <v>0.12</v>
      </c>
      <c r="C507" s="4" t="n">
        <f aca="true">RAND()</f>
        <v>0.883014289046298</v>
      </c>
      <c r="D507" s="0" t="n">
        <f aca="false">IF((C507&gt;$M$2),1,0)</f>
        <v>0</v>
      </c>
      <c r="E507" s="0" t="n">
        <f aca="false">1-D507</f>
        <v>1</v>
      </c>
      <c r="F507" s="0" t="n">
        <f aca="true">RAND()</f>
        <v>0.1234138506262</v>
      </c>
      <c r="G507" s="0" t="n">
        <f aca="false">7.75+F507*10</f>
        <v>8.984138506262</v>
      </c>
      <c r="H507" s="0" t="n">
        <f aca="false">LOGINV(F507,2.64,1.139)</f>
        <v>3.74692903654241</v>
      </c>
      <c r="I507" s="0" t="n">
        <v>19.5</v>
      </c>
      <c r="J507" s="4" t="n">
        <f aca="true">-LN(RAND())/B507</f>
        <v>4.06797357558322</v>
      </c>
      <c r="K507" s="4" t="n">
        <f aca="false">K506+J507</f>
        <v>4924.28505291192</v>
      </c>
      <c r="L507" s="4" t="n">
        <f aca="false">(1/$J$4)*(1+AB506)</f>
        <v>10</v>
      </c>
      <c r="M507" s="4" t="n">
        <f aca="false">L507+MAX(K507,Y$10:Y506)</f>
        <v>5198.82985076217</v>
      </c>
      <c r="N507" s="4" t="n">
        <f aca="false">K507</f>
        <v>4924.28505291192</v>
      </c>
      <c r="O507" s="4" t="n">
        <f aca="false">M507-K507</f>
        <v>274.544797850248</v>
      </c>
      <c r="P507" s="4" t="n">
        <f aca="false">N507-K507</f>
        <v>0</v>
      </c>
      <c r="Q507" s="4" t="n">
        <f aca="false">A507-MATCH(K507,$M$9:M506,1)</f>
        <v>27</v>
      </c>
      <c r="R507" s="0" t="n">
        <f aca="false">-G507*(O507/3600)</f>
        <v>-0.685152358350092</v>
      </c>
      <c r="S507" s="0" t="n">
        <f aca="false">-1*I507-(H507*(P507/3600))</f>
        <v>-19.5</v>
      </c>
      <c r="T507" s="0" t="n">
        <f aca="false">-H507*(O507/3600)</f>
        <v>-0.2857499652491</v>
      </c>
      <c r="U507" s="0" t="n">
        <f aca="false">T507-S507</f>
        <v>19.2142500347509</v>
      </c>
      <c r="V507" s="0" t="n">
        <f aca="false">1/(1+EXP(U507))</f>
        <v>4.5222777670332E-009</v>
      </c>
      <c r="W507" s="0" t="n">
        <f aca="true">RAND()</f>
        <v>0.939954158678221</v>
      </c>
      <c r="X507" s="0" t="n">
        <f aca="false">IF(W507&lt;V507,1,0)</f>
        <v>0</v>
      </c>
      <c r="Y507" s="0" t="n">
        <f aca="false">(M507*(1-X507)+N507*X507)*D507+M507*E507</f>
        <v>5198.82985076217</v>
      </c>
      <c r="Z507" s="0" t="n">
        <f aca="false">((1-X507)*O507+X507*P507)*D507+E507*O507</f>
        <v>274.544797850248</v>
      </c>
      <c r="AA507" s="0" t="n">
        <f aca="false">IF(D507*X507&gt;0,AA506,Q507)</f>
        <v>27</v>
      </c>
      <c r="AB507" s="0" t="n">
        <f aca="false">(X507*D507)</f>
        <v>0</v>
      </c>
      <c r="AC507" s="0" t="n">
        <f aca="false">SUM(AB$10:AB506)/K507</f>
        <v>0</v>
      </c>
      <c r="AD507" s="0" t="n">
        <f aca="false">R507*E507+D507*(X507*S507+(1-X507)*T507)</f>
        <v>-0.685152358350092</v>
      </c>
      <c r="AE507" s="0" t="n">
        <f aca="false">Z507</f>
        <v>274.544797850248</v>
      </c>
      <c r="AF507" s="0" t="n">
        <f aca="false">E507*O507</f>
        <v>274.544797850248</v>
      </c>
      <c r="AG507" s="0" t="n">
        <f aca="false">((1-X507)*O507+X507*P507)*D507</f>
        <v>0</v>
      </c>
      <c r="AH507" s="0" t="n">
        <f aca="false">D507*(LN(EXP(S507)+EXP(T507)))</f>
        <v>-0</v>
      </c>
      <c r="AJ507" s="0" t="n">
        <f aca="false">$J$5</f>
        <v>10</v>
      </c>
      <c r="AK507" s="4" t="n">
        <f aca="false">AJ507+MAX(K507,AK$10:AK506)</f>
        <v>5198.82985076217</v>
      </c>
      <c r="AL507" s="5" t="n">
        <f aca="false">AK507-K507</f>
        <v>274.544797850248</v>
      </c>
      <c r="AM507" s="0" t="n">
        <f aca="false">-G507*AL507/3600</f>
        <v>-0.685152358350092</v>
      </c>
      <c r="AN507" s="0" t="n">
        <f aca="false">-H507*AL507/3600</f>
        <v>-0.2857499652491</v>
      </c>
      <c r="AO507" s="0" t="n">
        <f aca="false">AM507*E507+AN507*D507</f>
        <v>-0.685152358350092</v>
      </c>
      <c r="AP507" s="0" t="n">
        <f aca="false">AL507*D507</f>
        <v>0</v>
      </c>
      <c r="AR507" s="0" t="n">
        <f aca="false">AN507*D507</f>
        <v>-0</v>
      </c>
      <c r="AS507" s="0" t="n">
        <f aca="false">AH507-AR507</f>
        <v>0</v>
      </c>
    </row>
    <row r="508" customFormat="false" ht="12" hidden="false" customHeight="false" outlineLevel="0" collapsed="false">
      <c r="A508" s="3" t="n">
        <f aca="false">A507+1</f>
        <v>499</v>
      </c>
      <c r="B508" s="3" t="n">
        <f aca="false">IF(A508&lt;$N$4/3,0.1,(IF(A508&gt;2*$N$4/3,0.05,0.12)))</f>
        <v>0.12</v>
      </c>
      <c r="C508" s="4" t="n">
        <f aca="true">RAND()</f>
        <v>0.834013986276962</v>
      </c>
      <c r="D508" s="0" t="n">
        <f aca="false">IF((C508&gt;$M$2),1,0)</f>
        <v>0</v>
      </c>
      <c r="E508" s="0" t="n">
        <f aca="false">1-D508</f>
        <v>1</v>
      </c>
      <c r="F508" s="0" t="n">
        <f aca="true">RAND()</f>
        <v>0.138449370167201</v>
      </c>
      <c r="G508" s="0" t="n">
        <f aca="false">7.75+F508*10</f>
        <v>9.13449370167201</v>
      </c>
      <c r="H508" s="0" t="n">
        <f aca="false">LOGINV(F508,2.64,1.139)</f>
        <v>4.06149486428992</v>
      </c>
      <c r="I508" s="0" t="n">
        <v>19.5</v>
      </c>
      <c r="J508" s="4" t="n">
        <f aca="true">-LN(RAND())/B508</f>
        <v>0.932646257821242</v>
      </c>
      <c r="K508" s="4" t="n">
        <f aca="false">K507+J508</f>
        <v>4925.21769916974</v>
      </c>
      <c r="L508" s="4" t="n">
        <f aca="false">(1/$J$4)*(1+AB507)</f>
        <v>10</v>
      </c>
      <c r="M508" s="4" t="n">
        <f aca="false">L508+MAX(K508,Y$10:Y507)</f>
        <v>5208.82985076217</v>
      </c>
      <c r="N508" s="4" t="n">
        <f aca="false">K508</f>
        <v>4925.21769916974</v>
      </c>
      <c r="O508" s="4" t="n">
        <f aca="false">M508-K508</f>
        <v>283.612151592427</v>
      </c>
      <c r="P508" s="4" t="n">
        <f aca="false">N508-K508</f>
        <v>0</v>
      </c>
      <c r="Q508" s="4" t="n">
        <f aca="false">A508-MATCH(K508,$M$9:M507,1)</f>
        <v>28</v>
      </c>
      <c r="R508" s="0" t="n">
        <f aca="false">-G508*(O508/3600)</f>
        <v>-0.719625947899631</v>
      </c>
      <c r="S508" s="0" t="n">
        <f aca="false">-1*I508-(H508*(P508/3600))</f>
        <v>-19.5</v>
      </c>
      <c r="T508" s="0" t="n">
        <f aca="false">-H508*(O508/3600)</f>
        <v>-0.319969249206349</v>
      </c>
      <c r="U508" s="0" t="n">
        <f aca="false">T508-S508</f>
        <v>19.1800307507937</v>
      </c>
      <c r="V508" s="0" t="n">
        <f aca="false">1/(1+EXP(U508))</f>
        <v>4.67970503611923E-009</v>
      </c>
      <c r="W508" s="0" t="n">
        <f aca="true">RAND()</f>
        <v>0.349671404634128</v>
      </c>
      <c r="X508" s="0" t="n">
        <f aca="false">IF(W508&lt;V508,1,0)</f>
        <v>0</v>
      </c>
      <c r="Y508" s="0" t="n">
        <f aca="false">(M508*(1-X508)+N508*X508)*D508+M508*E508</f>
        <v>5208.82985076217</v>
      </c>
      <c r="Z508" s="0" t="n">
        <f aca="false">((1-X508)*O508+X508*P508)*D508+E508*O508</f>
        <v>283.612151592427</v>
      </c>
      <c r="AA508" s="0" t="n">
        <f aca="false">IF(D508*X508&gt;0,AA507,Q508)</f>
        <v>28</v>
      </c>
      <c r="AB508" s="0" t="n">
        <f aca="false">(X508*D508)</f>
        <v>0</v>
      </c>
      <c r="AC508" s="0" t="n">
        <f aca="false">SUM(AB$10:AB507)/K508</f>
        <v>0</v>
      </c>
      <c r="AD508" s="0" t="n">
        <f aca="false">R508*E508+D508*(X508*S508+(1-X508)*T508)</f>
        <v>-0.719625947899631</v>
      </c>
      <c r="AE508" s="0" t="n">
        <f aca="false">Z508</f>
        <v>283.612151592427</v>
      </c>
      <c r="AF508" s="0" t="n">
        <f aca="false">E508*O508</f>
        <v>283.612151592427</v>
      </c>
      <c r="AG508" s="0" t="n">
        <f aca="false">((1-X508)*O508+X508*P508)*D508</f>
        <v>0</v>
      </c>
      <c r="AH508" s="0" t="n">
        <f aca="false">D508*(LN(EXP(S508)+EXP(T508)))</f>
        <v>-0</v>
      </c>
      <c r="AJ508" s="0" t="n">
        <f aca="false">$J$5</f>
        <v>10</v>
      </c>
      <c r="AK508" s="4" t="n">
        <f aca="false">AJ508+MAX(K508,AK$10:AK507)</f>
        <v>5208.82985076217</v>
      </c>
      <c r="AL508" s="5" t="n">
        <f aca="false">AK508-K508</f>
        <v>283.612151592427</v>
      </c>
      <c r="AM508" s="0" t="n">
        <f aca="false">-G508*AL508/3600</f>
        <v>-0.719625947899631</v>
      </c>
      <c r="AN508" s="0" t="n">
        <f aca="false">-H508*AL508/3600</f>
        <v>-0.319969249206349</v>
      </c>
      <c r="AO508" s="0" t="n">
        <f aca="false">AM508*E508+AN508*D508</f>
        <v>-0.719625947899631</v>
      </c>
      <c r="AP508" s="0" t="n">
        <f aca="false">AL508*D508</f>
        <v>0</v>
      </c>
      <c r="AR508" s="0" t="n">
        <f aca="false">AN508*D508</f>
        <v>-0</v>
      </c>
      <c r="AS508" s="0" t="n">
        <f aca="false">AH508-AR508</f>
        <v>0</v>
      </c>
    </row>
    <row r="509" customFormat="false" ht="12" hidden="false" customHeight="false" outlineLevel="0" collapsed="false">
      <c r="A509" s="3" t="n">
        <f aca="false">A508+1</f>
        <v>500</v>
      </c>
      <c r="B509" s="3" t="n">
        <f aca="false">IF(A509&lt;$N$4/3,0.1,(IF(A509&gt;2*$N$4/3,0.05,0.12)))</f>
        <v>0.12</v>
      </c>
      <c r="C509" s="4" t="n">
        <f aca="true">RAND()</f>
        <v>0.133652965915877</v>
      </c>
      <c r="D509" s="0" t="n">
        <f aca="false">IF((C509&gt;$M$2),1,0)</f>
        <v>0</v>
      </c>
      <c r="E509" s="0" t="n">
        <f aca="false">1-D509</f>
        <v>1</v>
      </c>
      <c r="F509" s="0" t="n">
        <f aca="true">RAND()</f>
        <v>0.655081197685044</v>
      </c>
      <c r="G509" s="0" t="n">
        <f aca="false">7.75+F509*10</f>
        <v>14.3008119768504</v>
      </c>
      <c r="H509" s="0" t="n">
        <f aca="false">LOGINV(F509,2.64,1.139)</f>
        <v>22.0772341207548</v>
      </c>
      <c r="I509" s="0" t="n">
        <v>19.5</v>
      </c>
      <c r="J509" s="4" t="n">
        <f aca="true">-LN(RAND())/B509</f>
        <v>8.04289334090177</v>
      </c>
      <c r="K509" s="4" t="n">
        <f aca="false">K508+J509</f>
        <v>4933.26059251065</v>
      </c>
      <c r="L509" s="4" t="n">
        <f aca="false">(1/$J$4)*(1+AB508)</f>
        <v>10</v>
      </c>
      <c r="M509" s="4" t="n">
        <f aca="false">L509+MAX(K509,Y$10:Y508)</f>
        <v>5218.82985076217</v>
      </c>
      <c r="N509" s="4" t="n">
        <f aca="false">K509</f>
        <v>4933.26059251065</v>
      </c>
      <c r="O509" s="4" t="n">
        <f aca="false">M509-K509</f>
        <v>285.569258251525</v>
      </c>
      <c r="P509" s="4" t="n">
        <f aca="false">N509-K509</f>
        <v>0</v>
      </c>
      <c r="Q509" s="4" t="n">
        <f aca="false">A509-MATCH(K509,$M$9:M508,1)</f>
        <v>28</v>
      </c>
      <c r="R509" s="0" t="n">
        <f aca="false">-G509*(O509/3600)</f>
        <v>-1.13440896350658</v>
      </c>
      <c r="S509" s="0" t="n">
        <f aca="false">-1*I509-(H509*(P509/3600))</f>
        <v>-19.5</v>
      </c>
      <c r="T509" s="0" t="n">
        <f aca="false">-H509*(O509/3600)</f>
        <v>-1.75127204780811</v>
      </c>
      <c r="U509" s="0" t="n">
        <f aca="false">T509-S509</f>
        <v>17.7487279521919</v>
      </c>
      <c r="V509" s="0" t="n">
        <f aca="false">1/(1+EXP(U509))</f>
        <v>1.95805722940051E-008</v>
      </c>
      <c r="W509" s="0" t="n">
        <f aca="true">RAND()</f>
        <v>0.502404064851931</v>
      </c>
      <c r="X509" s="0" t="n">
        <f aca="false">IF(W509&lt;V509,1,0)</f>
        <v>0</v>
      </c>
      <c r="Y509" s="0" t="n">
        <f aca="false">(M509*(1-X509)+N509*X509)*D509+M509*E509</f>
        <v>5218.82985076217</v>
      </c>
      <c r="Z509" s="0" t="n">
        <f aca="false">((1-X509)*O509+X509*P509)*D509+E509*O509</f>
        <v>285.569258251525</v>
      </c>
      <c r="AA509" s="0" t="n">
        <f aca="false">IF(D509*X509&gt;0,AA508,Q509)</f>
        <v>28</v>
      </c>
      <c r="AB509" s="0" t="n">
        <f aca="false">(X509*D509)</f>
        <v>0</v>
      </c>
      <c r="AC509" s="0" t="n">
        <f aca="false">SUM(AB$10:AB508)/K509</f>
        <v>0</v>
      </c>
      <c r="AD509" s="0" t="n">
        <f aca="false">R509*E509+D509*(X509*S509+(1-X509)*T509)</f>
        <v>-1.13440896350658</v>
      </c>
      <c r="AE509" s="0" t="n">
        <f aca="false">Z509</f>
        <v>285.569258251525</v>
      </c>
      <c r="AF509" s="0" t="n">
        <f aca="false">E509*O509</f>
        <v>285.569258251525</v>
      </c>
      <c r="AG509" s="0" t="n">
        <f aca="false">((1-X509)*O509+X509*P509)*D509</f>
        <v>0</v>
      </c>
      <c r="AH509" s="0" t="n">
        <f aca="false">D509*(LN(EXP(S509)+EXP(T509)))</f>
        <v>-0</v>
      </c>
      <c r="AJ509" s="0" t="n">
        <f aca="false">$J$5</f>
        <v>10</v>
      </c>
      <c r="AK509" s="4" t="n">
        <f aca="false">AJ509+MAX(K509,AK$10:AK508)</f>
        <v>5218.82985076217</v>
      </c>
      <c r="AL509" s="5" t="n">
        <f aca="false">AK509-K509</f>
        <v>285.569258251525</v>
      </c>
      <c r="AM509" s="0" t="n">
        <f aca="false">-G509*AL509/3600</f>
        <v>-1.13440896350658</v>
      </c>
      <c r="AN509" s="0" t="n">
        <f aca="false">-H509*AL509/3600</f>
        <v>-1.75127204780811</v>
      </c>
      <c r="AO509" s="0" t="n">
        <f aca="false">AM509*E509+AN509*D509</f>
        <v>-1.13440896350658</v>
      </c>
      <c r="AP509" s="0" t="n">
        <f aca="false">AL509*D509</f>
        <v>0</v>
      </c>
      <c r="AR509" s="0" t="n">
        <f aca="false">AN509*D509</f>
        <v>-0</v>
      </c>
      <c r="AS509" s="0" t="n">
        <f aca="false">AH509-AR509</f>
        <v>0</v>
      </c>
    </row>
    <row r="510" customFormat="false" ht="12" hidden="false" customHeight="false" outlineLevel="0" collapsed="false">
      <c r="A510" s="3" t="n">
        <f aca="false">A509+1</f>
        <v>501</v>
      </c>
      <c r="B510" s="3" t="n">
        <f aca="false">IF(A510&lt;$N$4/3,0.1,(IF(A510&gt;2*$N$4/3,0.05,0.12)))</f>
        <v>0.12</v>
      </c>
      <c r="C510" s="4" t="n">
        <f aca="true">RAND()</f>
        <v>0.713372832982768</v>
      </c>
      <c r="D510" s="0" t="n">
        <f aca="false">IF((C510&gt;$M$2),1,0)</f>
        <v>0</v>
      </c>
      <c r="E510" s="0" t="n">
        <f aca="false">1-D510</f>
        <v>1</v>
      </c>
      <c r="F510" s="0" t="n">
        <f aca="true">RAND()</f>
        <v>0.251281237187062</v>
      </c>
      <c r="G510" s="0" t="n">
        <f aca="false">7.75+F510*10</f>
        <v>10.2628123718706</v>
      </c>
      <c r="H510" s="0" t="n">
        <f aca="false">LOGINV(F510,2.64,1.139)</f>
        <v>6.52957767005512</v>
      </c>
      <c r="I510" s="0" t="n">
        <v>19.5</v>
      </c>
      <c r="J510" s="4" t="n">
        <f aca="true">-LN(RAND())/B510</f>
        <v>8.27632690193836</v>
      </c>
      <c r="K510" s="4" t="n">
        <f aca="false">K509+J510</f>
        <v>4941.53691941259</v>
      </c>
      <c r="L510" s="4" t="n">
        <f aca="false">(1/$J$4)*(1+AB509)</f>
        <v>10</v>
      </c>
      <c r="M510" s="4" t="n">
        <f aca="false">L510+MAX(K510,Y$10:Y509)</f>
        <v>5228.82985076217</v>
      </c>
      <c r="N510" s="4" t="n">
        <f aca="false">K510</f>
        <v>4941.53691941259</v>
      </c>
      <c r="O510" s="4" t="n">
        <f aca="false">M510-K510</f>
        <v>287.292931349586</v>
      </c>
      <c r="P510" s="4" t="n">
        <f aca="false">N510-K510</f>
        <v>0</v>
      </c>
      <c r="Q510" s="4" t="n">
        <f aca="false">A510-MATCH(K510,$M$9:M509,1)</f>
        <v>28</v>
      </c>
      <c r="R510" s="0" t="n">
        <f aca="false">-G510*(O510/3600)</f>
        <v>-0.819009291723752</v>
      </c>
      <c r="S510" s="0" t="n">
        <f aca="false">-1*I510-(H510*(P510/3600))</f>
        <v>-19.5</v>
      </c>
      <c r="T510" s="0" t="n">
        <f aca="false">-H510*(O510/3600)</f>
        <v>-0.521083752584705</v>
      </c>
      <c r="U510" s="0" t="n">
        <f aca="false">T510-S510</f>
        <v>18.9789162474153</v>
      </c>
      <c r="V510" s="0" t="n">
        <f aca="false">1/(1+EXP(U510))</f>
        <v>5.7221784672769E-009</v>
      </c>
      <c r="W510" s="0" t="n">
        <f aca="true">RAND()</f>
        <v>0.283364495152663</v>
      </c>
      <c r="X510" s="0" t="n">
        <f aca="false">IF(W510&lt;V510,1,0)</f>
        <v>0</v>
      </c>
      <c r="Y510" s="0" t="n">
        <f aca="false">(M510*(1-X510)+N510*X510)*D510+M510*E510</f>
        <v>5228.82985076217</v>
      </c>
      <c r="Z510" s="0" t="n">
        <f aca="false">((1-X510)*O510+X510*P510)*D510+E510*O510</f>
        <v>287.292931349586</v>
      </c>
      <c r="AA510" s="0" t="n">
        <f aca="false">IF(D510*X510&gt;0,AA509,Q510)</f>
        <v>28</v>
      </c>
      <c r="AB510" s="0" t="n">
        <f aca="false">(X510*D510)</f>
        <v>0</v>
      </c>
      <c r="AC510" s="0" t="n">
        <f aca="false">SUM(AB$10:AB509)/K510</f>
        <v>0</v>
      </c>
      <c r="AD510" s="0" t="n">
        <f aca="false">R510*E510+D510*(X510*S510+(1-X510)*T510)</f>
        <v>-0.819009291723752</v>
      </c>
      <c r="AE510" s="0" t="n">
        <f aca="false">Z510</f>
        <v>287.292931349586</v>
      </c>
      <c r="AF510" s="0" t="n">
        <f aca="false">E510*O510</f>
        <v>287.292931349586</v>
      </c>
      <c r="AG510" s="0" t="n">
        <f aca="false">((1-X510)*O510+X510*P510)*D510</f>
        <v>0</v>
      </c>
      <c r="AH510" s="0" t="n">
        <f aca="false">D510*(LN(EXP(S510)+EXP(T510)))</f>
        <v>-0</v>
      </c>
      <c r="AJ510" s="0" t="n">
        <f aca="false">$J$5</f>
        <v>10</v>
      </c>
      <c r="AK510" s="4" t="n">
        <f aca="false">AJ510+MAX(K510,AK$10:AK509)</f>
        <v>5228.82985076217</v>
      </c>
      <c r="AL510" s="5" t="n">
        <f aca="false">AK510-K510</f>
        <v>287.292931349586</v>
      </c>
      <c r="AM510" s="0" t="n">
        <f aca="false">-G510*AL510/3600</f>
        <v>-0.819009291723752</v>
      </c>
      <c r="AN510" s="0" t="n">
        <f aca="false">-H510*AL510/3600</f>
        <v>-0.521083752584705</v>
      </c>
      <c r="AO510" s="0" t="n">
        <f aca="false">AM510*E510+AN510*D510</f>
        <v>-0.819009291723752</v>
      </c>
      <c r="AP510" s="0" t="n">
        <f aca="false">AL510*D510</f>
        <v>0</v>
      </c>
      <c r="AR510" s="0" t="n">
        <f aca="false">AN510*D510</f>
        <v>-0</v>
      </c>
      <c r="AS510" s="0" t="n">
        <f aca="false">AH510-AR510</f>
        <v>0</v>
      </c>
    </row>
    <row r="511" customFormat="false" ht="12" hidden="false" customHeight="false" outlineLevel="0" collapsed="false">
      <c r="A511" s="3" t="n">
        <f aca="false">A510+1</f>
        <v>502</v>
      </c>
      <c r="B511" s="3" t="n">
        <f aca="false">IF(A511&lt;$N$4/3,0.1,(IF(A511&gt;2*$N$4/3,0.05,0.12)))</f>
        <v>0.12</v>
      </c>
      <c r="C511" s="4" t="n">
        <f aca="true">RAND()</f>
        <v>0.134277147831974</v>
      </c>
      <c r="D511" s="0" t="n">
        <f aca="false">IF((C511&gt;$M$2),1,0)</f>
        <v>0</v>
      </c>
      <c r="E511" s="0" t="n">
        <f aca="false">1-D511</f>
        <v>1</v>
      </c>
      <c r="F511" s="0" t="n">
        <f aca="true">RAND()</f>
        <v>0.297692742865231</v>
      </c>
      <c r="G511" s="0" t="n">
        <f aca="false">7.75+F511*10</f>
        <v>10.7269274286523</v>
      </c>
      <c r="H511" s="0" t="n">
        <f aca="false">LOGINV(F511,2.64,1.139)</f>
        <v>7.65329501773341</v>
      </c>
      <c r="I511" s="0" t="n">
        <v>19.5</v>
      </c>
      <c r="J511" s="4" t="n">
        <f aca="true">-LN(RAND())/B511</f>
        <v>7.88875188776877</v>
      </c>
      <c r="K511" s="4" t="n">
        <f aca="false">K510+J511</f>
        <v>4949.42567130035</v>
      </c>
      <c r="L511" s="4" t="n">
        <f aca="false">(1/$J$4)*(1+AB510)</f>
        <v>10</v>
      </c>
      <c r="M511" s="4" t="n">
        <f aca="false">L511+MAX(K511,Y$10:Y510)</f>
        <v>5238.82985076217</v>
      </c>
      <c r="N511" s="4" t="n">
        <f aca="false">K511</f>
        <v>4949.42567130035</v>
      </c>
      <c r="O511" s="4" t="n">
        <f aca="false">M511-K511</f>
        <v>289.404179461817</v>
      </c>
      <c r="P511" s="4" t="n">
        <f aca="false">N511-K511</f>
        <v>0</v>
      </c>
      <c r="Q511" s="4" t="n">
        <f aca="false">A511-MATCH(K511,$M$9:M510,1)</f>
        <v>28</v>
      </c>
      <c r="R511" s="0" t="n">
        <f aca="false">-G511*(O511/3600)</f>
        <v>-0.862338230732106</v>
      </c>
      <c r="S511" s="0" t="n">
        <f aca="false">-1*I511-(H511*(P511/3600))</f>
        <v>-19.5</v>
      </c>
      <c r="T511" s="0" t="n">
        <f aca="false">-H511*(O511/3600)</f>
        <v>-0.615248767996208</v>
      </c>
      <c r="U511" s="0" t="n">
        <f aca="false">T511-S511</f>
        <v>18.8847512320038</v>
      </c>
      <c r="V511" s="0" t="n">
        <f aca="false">1/(1+EXP(U511))</f>
        <v>6.28719231758446E-009</v>
      </c>
      <c r="W511" s="0" t="n">
        <f aca="true">RAND()</f>
        <v>0.221220623534542</v>
      </c>
      <c r="X511" s="0" t="n">
        <f aca="false">IF(W511&lt;V511,1,0)</f>
        <v>0</v>
      </c>
      <c r="Y511" s="0" t="n">
        <f aca="false">(M511*(1-X511)+N511*X511)*D511+M511*E511</f>
        <v>5238.82985076217</v>
      </c>
      <c r="Z511" s="0" t="n">
        <f aca="false">((1-X511)*O511+X511*P511)*D511+E511*O511</f>
        <v>289.404179461817</v>
      </c>
      <c r="AA511" s="0" t="n">
        <f aca="false">IF(D511*X511&gt;0,AA510,Q511)</f>
        <v>28</v>
      </c>
      <c r="AB511" s="0" t="n">
        <f aca="false">(X511*D511)</f>
        <v>0</v>
      </c>
      <c r="AC511" s="0" t="n">
        <f aca="false">SUM(AB$10:AB510)/K511</f>
        <v>0</v>
      </c>
      <c r="AD511" s="0" t="n">
        <f aca="false">R511*E511+D511*(X511*S511+(1-X511)*T511)</f>
        <v>-0.862338230732106</v>
      </c>
      <c r="AE511" s="0" t="n">
        <f aca="false">Z511</f>
        <v>289.404179461817</v>
      </c>
      <c r="AF511" s="0" t="n">
        <f aca="false">E511*O511</f>
        <v>289.404179461817</v>
      </c>
      <c r="AG511" s="0" t="n">
        <f aca="false">((1-X511)*O511+X511*P511)*D511</f>
        <v>0</v>
      </c>
      <c r="AH511" s="0" t="n">
        <f aca="false">D511*(LN(EXP(S511)+EXP(T511)))</f>
        <v>-0</v>
      </c>
      <c r="AJ511" s="0" t="n">
        <f aca="false">$J$5</f>
        <v>10</v>
      </c>
      <c r="AK511" s="4" t="n">
        <f aca="false">AJ511+MAX(K511,AK$10:AK510)</f>
        <v>5238.82985076217</v>
      </c>
      <c r="AL511" s="5" t="n">
        <f aca="false">AK511-K511</f>
        <v>289.404179461817</v>
      </c>
      <c r="AM511" s="0" t="n">
        <f aca="false">-G511*AL511/3600</f>
        <v>-0.862338230732106</v>
      </c>
      <c r="AN511" s="0" t="n">
        <f aca="false">-H511*AL511/3600</f>
        <v>-0.615248767996208</v>
      </c>
      <c r="AO511" s="0" t="n">
        <f aca="false">AM511*E511+AN511*D511</f>
        <v>-0.862338230732106</v>
      </c>
      <c r="AP511" s="0" t="n">
        <f aca="false">AL511*D511</f>
        <v>0</v>
      </c>
      <c r="AR511" s="0" t="n">
        <f aca="false">AN511*D511</f>
        <v>-0</v>
      </c>
      <c r="AS511" s="0" t="n">
        <f aca="false">AH511-AR511</f>
        <v>0</v>
      </c>
    </row>
    <row r="512" customFormat="false" ht="12" hidden="false" customHeight="false" outlineLevel="0" collapsed="false">
      <c r="A512" s="3" t="n">
        <f aca="false">A511+1</f>
        <v>503</v>
      </c>
      <c r="B512" s="3" t="n">
        <f aca="false">IF(A512&lt;$N$4/3,0.1,(IF(A512&gt;2*$N$4/3,0.05,0.12)))</f>
        <v>0.12</v>
      </c>
      <c r="C512" s="4" t="n">
        <f aca="true">RAND()</f>
        <v>0.965561028669775</v>
      </c>
      <c r="D512" s="0" t="n">
        <f aca="false">IF((C512&gt;$M$2),1,0)</f>
        <v>1</v>
      </c>
      <c r="E512" s="0" t="n">
        <f aca="false">1-D512</f>
        <v>0</v>
      </c>
      <c r="F512" s="0" t="n">
        <f aca="true">RAND()</f>
        <v>0.935821331459691</v>
      </c>
      <c r="G512" s="0" t="n">
        <f aca="false">7.75+F512*10</f>
        <v>17.1082133145969</v>
      </c>
      <c r="H512" s="0" t="n">
        <f aca="false">LOGINV(F512,2.64,1.139)</f>
        <v>79.2000237610427</v>
      </c>
      <c r="I512" s="0" t="n">
        <v>19.5</v>
      </c>
      <c r="J512" s="4" t="n">
        <f aca="true">-LN(RAND())/B512</f>
        <v>11.1090163689771</v>
      </c>
      <c r="K512" s="4" t="n">
        <f aca="false">K511+J512</f>
        <v>4960.53468766933</v>
      </c>
      <c r="L512" s="4" t="n">
        <f aca="false">(1/$J$4)*(1+AB511)</f>
        <v>10</v>
      </c>
      <c r="M512" s="4" t="n">
        <f aca="false">L512+MAX(K512,Y$10:Y511)</f>
        <v>5248.82985076217</v>
      </c>
      <c r="N512" s="4" t="n">
        <f aca="false">K512</f>
        <v>4960.53468766933</v>
      </c>
      <c r="O512" s="4" t="n">
        <f aca="false">M512-K512</f>
        <v>288.29516309284</v>
      </c>
      <c r="P512" s="4" t="n">
        <f aca="false">N512-K512</f>
        <v>0</v>
      </c>
      <c r="Q512" s="4" t="n">
        <f aca="false">A512-MATCH(K512,$M$9:M511,1)</f>
        <v>28</v>
      </c>
      <c r="R512" s="0" t="n">
        <f aca="false">-G512*(O512/3600)</f>
        <v>-1.37005976326634</v>
      </c>
      <c r="S512" s="0" t="n">
        <f aca="false">-1*I512-(H512*(P512/3600))</f>
        <v>-19.5</v>
      </c>
      <c r="T512" s="0" t="n">
        <f aca="false">-H512*(O512/3600)</f>
        <v>-6.34249549087406</v>
      </c>
      <c r="U512" s="0" t="n">
        <f aca="false">T512-S512</f>
        <v>13.1575045091259</v>
      </c>
      <c r="V512" s="0" t="n">
        <f aca="false">1/(1+EXP(U512))</f>
        <v>1.93093456812223E-006</v>
      </c>
      <c r="W512" s="0" t="n">
        <f aca="true">RAND()</f>
        <v>0.758112863767411</v>
      </c>
      <c r="X512" s="0" t="n">
        <f aca="false">IF(W512&lt;V512,1,0)</f>
        <v>0</v>
      </c>
      <c r="Y512" s="0" t="n">
        <f aca="false">(M512*(1-X512)+N512*X512)*D512+M512*E512</f>
        <v>5248.82985076217</v>
      </c>
      <c r="Z512" s="0" t="n">
        <f aca="false">((1-X512)*O512+X512*P512)*D512+E512*O512</f>
        <v>288.29516309284</v>
      </c>
      <c r="AA512" s="0" t="n">
        <f aca="false">IF(D512*X512&gt;0,AA511,Q512)</f>
        <v>28</v>
      </c>
      <c r="AB512" s="0" t="n">
        <f aca="false">(X512*D512)</f>
        <v>0</v>
      </c>
      <c r="AC512" s="0" t="n">
        <f aca="false">SUM(AB$10:AB511)/K512</f>
        <v>0</v>
      </c>
      <c r="AD512" s="0" t="n">
        <f aca="false">R512*E512+D512*(X512*S512+(1-X512)*T512)</f>
        <v>-6.34249549087406</v>
      </c>
      <c r="AE512" s="0" t="n">
        <f aca="false">Z512</f>
        <v>288.29516309284</v>
      </c>
      <c r="AF512" s="0" t="n">
        <f aca="false">E512*O512</f>
        <v>0</v>
      </c>
      <c r="AG512" s="0" t="n">
        <f aca="false">((1-X512)*O512+X512*P512)*D512</f>
        <v>288.29516309284</v>
      </c>
      <c r="AH512" s="0" t="n">
        <f aca="false">D512*(LN(EXP(S512)+EXP(T512)))</f>
        <v>-6.34249355993763</v>
      </c>
      <c r="AJ512" s="0" t="n">
        <f aca="false">$J$5</f>
        <v>10</v>
      </c>
      <c r="AK512" s="4" t="n">
        <f aca="false">AJ512+MAX(K512,AK$10:AK511)</f>
        <v>5248.82985076217</v>
      </c>
      <c r="AL512" s="5" t="n">
        <f aca="false">AK512-K512</f>
        <v>288.29516309284</v>
      </c>
      <c r="AM512" s="0" t="n">
        <f aca="false">-G512*AL512/3600</f>
        <v>-1.37005976326634</v>
      </c>
      <c r="AN512" s="0" t="n">
        <f aca="false">-H512*AL512/3600</f>
        <v>-6.34249549087406</v>
      </c>
      <c r="AO512" s="0" t="n">
        <f aca="false">AM512*E512+AN512*D512</f>
        <v>-6.34249549087406</v>
      </c>
      <c r="AP512" s="0" t="n">
        <f aca="false">AL512*D512</f>
        <v>288.29516309284</v>
      </c>
      <c r="AR512" s="0" t="n">
        <f aca="false">AN512*D512</f>
        <v>-6.34249549087406</v>
      </c>
      <c r="AS512" s="0" t="n">
        <f aca="false">AH512-AR512</f>
        <v>1.93093643208186E-006</v>
      </c>
    </row>
    <row r="513" customFormat="false" ht="12" hidden="false" customHeight="false" outlineLevel="0" collapsed="false">
      <c r="A513" s="3" t="n">
        <f aca="false">A512+1</f>
        <v>504</v>
      </c>
      <c r="B513" s="3" t="n">
        <f aca="false">IF(A513&lt;$N$4/3,0.1,(IF(A513&gt;2*$N$4/3,0.05,0.12)))</f>
        <v>0.12</v>
      </c>
      <c r="C513" s="4" t="n">
        <f aca="true">RAND()</f>
        <v>0.351519880752467</v>
      </c>
      <c r="D513" s="0" t="n">
        <f aca="false">IF((C513&gt;$M$2),1,0)</f>
        <v>0</v>
      </c>
      <c r="E513" s="0" t="n">
        <f aca="false">1-D513</f>
        <v>1</v>
      </c>
      <c r="F513" s="0" t="n">
        <f aca="true">RAND()</f>
        <v>0.237947754563641</v>
      </c>
      <c r="G513" s="0" t="n">
        <f aca="false">7.75+F513*10</f>
        <v>10.1294775456364</v>
      </c>
      <c r="H513" s="0" t="n">
        <f aca="false">LOGINV(F513,2.64,1.139)</f>
        <v>6.22133537416599</v>
      </c>
      <c r="I513" s="0" t="n">
        <v>19.5</v>
      </c>
      <c r="J513" s="4" t="n">
        <f aca="true">-LN(RAND())/B513</f>
        <v>0.0405731379157236</v>
      </c>
      <c r="K513" s="4" t="n">
        <f aca="false">K512+J513</f>
        <v>4960.57526080725</v>
      </c>
      <c r="L513" s="4" t="n">
        <f aca="false">(1/$J$4)*(1+AB512)</f>
        <v>10</v>
      </c>
      <c r="M513" s="4" t="n">
        <f aca="false">L513+MAX(K513,Y$10:Y512)</f>
        <v>5258.82985076217</v>
      </c>
      <c r="N513" s="4" t="n">
        <f aca="false">K513</f>
        <v>4960.57526080725</v>
      </c>
      <c r="O513" s="4" t="n">
        <f aca="false">M513-K513</f>
        <v>298.254589954924</v>
      </c>
      <c r="P513" s="4" t="n">
        <f aca="false">N513-K513</f>
        <v>0</v>
      </c>
      <c r="Q513" s="4" t="n">
        <f aca="false">A513-MATCH(K513,$M$9:M512,1)</f>
        <v>29</v>
      </c>
      <c r="R513" s="0" t="n">
        <f aca="false">-G513*(O513/3600)</f>
        <v>-0.839211992175389</v>
      </c>
      <c r="S513" s="0" t="n">
        <f aca="false">-1*I513-(H513*(P513/3600))</f>
        <v>-19.5</v>
      </c>
      <c r="T513" s="0" t="n">
        <f aca="false">-H513*(O513/3600)</f>
        <v>-0.515428286387206</v>
      </c>
      <c r="U513" s="0" t="n">
        <f aca="false">T513-S513</f>
        <v>18.9845717136128</v>
      </c>
      <c r="V513" s="0" t="n">
        <f aca="false">1/(1+EXP(U513))</f>
        <v>5.68990821822636E-009</v>
      </c>
      <c r="W513" s="0" t="n">
        <f aca="true">RAND()</f>
        <v>0.0916849587254476</v>
      </c>
      <c r="X513" s="0" t="n">
        <f aca="false">IF(W513&lt;V513,1,0)</f>
        <v>0</v>
      </c>
      <c r="Y513" s="0" t="n">
        <f aca="false">(M513*(1-X513)+N513*X513)*D513+M513*E513</f>
        <v>5258.82985076217</v>
      </c>
      <c r="Z513" s="0" t="n">
        <f aca="false">((1-X513)*O513+X513*P513)*D513+E513*O513</f>
        <v>298.254589954924</v>
      </c>
      <c r="AA513" s="0" t="n">
        <f aca="false">IF(D513*X513&gt;0,AA512,Q513)</f>
        <v>29</v>
      </c>
      <c r="AB513" s="0" t="n">
        <f aca="false">(X513*D513)</f>
        <v>0</v>
      </c>
      <c r="AC513" s="0" t="n">
        <f aca="false">SUM(AB$10:AB512)/K513</f>
        <v>0</v>
      </c>
      <c r="AD513" s="0" t="n">
        <f aca="false">R513*E513+D513*(X513*S513+(1-X513)*T513)</f>
        <v>-0.839211992175389</v>
      </c>
      <c r="AE513" s="0" t="n">
        <f aca="false">Z513</f>
        <v>298.254589954924</v>
      </c>
      <c r="AF513" s="0" t="n">
        <f aca="false">E513*O513</f>
        <v>298.254589954924</v>
      </c>
      <c r="AG513" s="0" t="n">
        <f aca="false">((1-X513)*O513+X513*P513)*D513</f>
        <v>0</v>
      </c>
      <c r="AH513" s="0" t="n">
        <f aca="false">D513*(LN(EXP(S513)+EXP(T513)))</f>
        <v>-0</v>
      </c>
      <c r="AJ513" s="0" t="n">
        <f aca="false">$J$5</f>
        <v>10</v>
      </c>
      <c r="AK513" s="4" t="n">
        <f aca="false">AJ513+MAX(K513,AK$10:AK512)</f>
        <v>5258.82985076217</v>
      </c>
      <c r="AL513" s="5" t="n">
        <f aca="false">AK513-K513</f>
        <v>298.254589954924</v>
      </c>
      <c r="AM513" s="0" t="n">
        <f aca="false">-G513*AL513/3600</f>
        <v>-0.839211992175389</v>
      </c>
      <c r="AN513" s="0" t="n">
        <f aca="false">-H513*AL513/3600</f>
        <v>-0.515428286387206</v>
      </c>
      <c r="AO513" s="0" t="n">
        <f aca="false">AM513*E513+AN513*D513</f>
        <v>-0.839211992175389</v>
      </c>
      <c r="AP513" s="0" t="n">
        <f aca="false">AL513*D513</f>
        <v>0</v>
      </c>
      <c r="AR513" s="0" t="n">
        <f aca="false">AN513*D513</f>
        <v>-0</v>
      </c>
      <c r="AS513" s="0" t="n">
        <f aca="false">AH513-AR513</f>
        <v>0</v>
      </c>
    </row>
    <row r="514" customFormat="false" ht="12" hidden="false" customHeight="false" outlineLevel="0" collapsed="false">
      <c r="A514" s="3" t="n">
        <f aca="false">A513+1</f>
        <v>505</v>
      </c>
      <c r="B514" s="3" t="n">
        <f aca="false">IF(A514&lt;$N$4/3,0.1,(IF(A514&gt;2*$N$4/3,0.05,0.12)))</f>
        <v>0.12</v>
      </c>
      <c r="C514" s="4" t="n">
        <f aca="true">RAND()</f>
        <v>0.94970706686901</v>
      </c>
      <c r="D514" s="0" t="n">
        <f aca="false">IF((C514&gt;$M$2),1,0)</f>
        <v>1</v>
      </c>
      <c r="E514" s="0" t="n">
        <f aca="false">1-D514</f>
        <v>0</v>
      </c>
      <c r="F514" s="0" t="n">
        <f aca="true">RAND()</f>
        <v>0.991463241713596</v>
      </c>
      <c r="G514" s="0" t="n">
        <f aca="false">7.75+F514*10</f>
        <v>17.664632417136</v>
      </c>
      <c r="H514" s="0" t="n">
        <f aca="false">LOGINV(F514,2.64,1.139)</f>
        <v>212.014045905321</v>
      </c>
      <c r="I514" s="0" t="n">
        <v>19.5</v>
      </c>
      <c r="J514" s="4" t="n">
        <f aca="true">-LN(RAND())/B514</f>
        <v>10.9363004403545</v>
      </c>
      <c r="K514" s="4" t="n">
        <f aca="false">K513+J514</f>
        <v>4971.5115612476</v>
      </c>
      <c r="L514" s="4" t="n">
        <f aca="false">(1/$J$4)*(1+AB513)</f>
        <v>10</v>
      </c>
      <c r="M514" s="4" t="n">
        <f aca="false">L514+MAX(K514,Y$10:Y513)</f>
        <v>5268.82985076217</v>
      </c>
      <c r="N514" s="4" t="n">
        <f aca="false">K514</f>
        <v>4971.5115612476</v>
      </c>
      <c r="O514" s="4" t="n">
        <f aca="false">M514-K514</f>
        <v>297.318289514569</v>
      </c>
      <c r="P514" s="4" t="n">
        <f aca="false">N514-K514</f>
        <v>0</v>
      </c>
      <c r="Q514" s="4" t="n">
        <f aca="false">A514-MATCH(K514,$M$9:M513,1)</f>
        <v>29</v>
      </c>
      <c r="R514" s="0" t="n">
        <f aca="false">-G514*(O514/3600)</f>
        <v>-1.45889397087958</v>
      </c>
      <c r="S514" s="0" t="n">
        <f aca="false">-1*I514-(H514*(P514/3600))</f>
        <v>-19.5</v>
      </c>
      <c r="T514" s="0" t="n">
        <f aca="false">-H514*(O514/3600)</f>
        <v>-17.5099037448981</v>
      </c>
      <c r="U514" s="0" t="n">
        <f aca="false">T514-S514</f>
        <v>1.99009625510188</v>
      </c>
      <c r="V514" s="0" t="n">
        <f aca="false">1/(1+EXP(U514))</f>
        <v>0.120246679517075</v>
      </c>
      <c r="W514" s="0" t="n">
        <f aca="true">RAND()</f>
        <v>0.336983364578246</v>
      </c>
      <c r="X514" s="0" t="n">
        <f aca="false">IF(W514&lt;V514,1,0)</f>
        <v>0</v>
      </c>
      <c r="Y514" s="0" t="n">
        <f aca="false">(M514*(1-X514)+N514*X514)*D514+M514*E514</f>
        <v>5268.82985076217</v>
      </c>
      <c r="Z514" s="0" t="n">
        <f aca="false">((1-X514)*O514+X514*P514)*D514+E514*O514</f>
        <v>297.318289514569</v>
      </c>
      <c r="AA514" s="0" t="n">
        <f aca="false">IF(D514*X514&gt;0,AA513,Q514)</f>
        <v>29</v>
      </c>
      <c r="AB514" s="0" t="n">
        <f aca="false">(X514*D514)</f>
        <v>0</v>
      </c>
      <c r="AC514" s="0" t="n">
        <f aca="false">SUM(AB$10:AB513)/K514</f>
        <v>0</v>
      </c>
      <c r="AD514" s="0" t="n">
        <f aca="false">R514*E514+D514*(X514*S514+(1-X514)*T514)</f>
        <v>-17.5099037448981</v>
      </c>
      <c r="AE514" s="0" t="n">
        <f aca="false">Z514</f>
        <v>297.318289514569</v>
      </c>
      <c r="AF514" s="0" t="n">
        <f aca="false">E514*O514</f>
        <v>0</v>
      </c>
      <c r="AG514" s="0" t="n">
        <f aca="false">((1-X514)*O514+X514*P514)*D514</f>
        <v>297.318289514569</v>
      </c>
      <c r="AH514" s="0" t="n">
        <f aca="false">D514*(LN(EXP(S514)+EXP(T514)))</f>
        <v>-17.3817900164589</v>
      </c>
      <c r="AJ514" s="0" t="n">
        <f aca="false">$J$5</f>
        <v>10</v>
      </c>
      <c r="AK514" s="4" t="n">
        <f aca="false">AJ514+MAX(K514,AK$10:AK513)</f>
        <v>5268.82985076217</v>
      </c>
      <c r="AL514" s="5" t="n">
        <f aca="false">AK514-K514</f>
        <v>297.318289514569</v>
      </c>
      <c r="AM514" s="0" t="n">
        <f aca="false">-G514*AL514/3600</f>
        <v>-1.45889397087958</v>
      </c>
      <c r="AN514" s="0" t="n">
        <f aca="false">-H514*AL514/3600</f>
        <v>-17.5099037448981</v>
      </c>
      <c r="AO514" s="0" t="n">
        <f aca="false">AM514*E514+AN514*D514</f>
        <v>-17.5099037448981</v>
      </c>
      <c r="AP514" s="0" t="n">
        <f aca="false">AL514*D514</f>
        <v>297.318289514569</v>
      </c>
      <c r="AR514" s="0" t="n">
        <f aca="false">AN514*D514</f>
        <v>-17.5099037448981</v>
      </c>
      <c r="AS514" s="0" t="n">
        <f aca="false">AH514-AR514</f>
        <v>0.12811372843926</v>
      </c>
    </row>
    <row r="515" customFormat="false" ht="12" hidden="false" customHeight="false" outlineLevel="0" collapsed="false">
      <c r="A515" s="3" t="n">
        <f aca="false">A514+1</f>
        <v>506</v>
      </c>
      <c r="B515" s="3" t="n">
        <f aca="false">IF(A515&lt;$N$4/3,0.1,(IF(A515&gt;2*$N$4/3,0.05,0.12)))</f>
        <v>0.12</v>
      </c>
      <c r="C515" s="4" t="n">
        <f aca="true">RAND()</f>
        <v>0.339260533776675</v>
      </c>
      <c r="D515" s="0" t="n">
        <f aca="false">IF((C515&gt;$M$2),1,0)</f>
        <v>0</v>
      </c>
      <c r="E515" s="0" t="n">
        <f aca="false">1-D515</f>
        <v>1</v>
      </c>
      <c r="F515" s="0" t="n">
        <f aca="true">RAND()</f>
        <v>0.380785977157597</v>
      </c>
      <c r="G515" s="0" t="n">
        <f aca="false">7.75+F515*10</f>
        <v>11.557859771576</v>
      </c>
      <c r="H515" s="0" t="n">
        <f aca="false">LOGINV(F515,2.64,1.139)</f>
        <v>9.91856081331166</v>
      </c>
      <c r="I515" s="0" t="n">
        <v>19.5</v>
      </c>
      <c r="J515" s="4" t="n">
        <f aca="true">-LN(RAND())/B515</f>
        <v>11.4048048397342</v>
      </c>
      <c r="K515" s="4" t="n">
        <f aca="false">K514+J515</f>
        <v>4982.91636608734</v>
      </c>
      <c r="L515" s="4" t="n">
        <f aca="false">(1/$J$4)*(1+AB514)</f>
        <v>10</v>
      </c>
      <c r="M515" s="4" t="n">
        <f aca="false">L515+MAX(K515,Y$10:Y514)</f>
        <v>5278.82985076217</v>
      </c>
      <c r="N515" s="4" t="n">
        <f aca="false">K515</f>
        <v>4982.91636608734</v>
      </c>
      <c r="O515" s="4" t="n">
        <f aca="false">M515-K515</f>
        <v>295.913484674835</v>
      </c>
      <c r="P515" s="4" t="n">
        <f aca="false">N515-K515</f>
        <v>0</v>
      </c>
      <c r="Q515" s="4" t="n">
        <f aca="false">A515-MATCH(K515,$M$9:M514,1)</f>
        <v>29</v>
      </c>
      <c r="R515" s="0" t="n">
        <f aca="false">-G515*(O515/3600)</f>
        <v>-0.950035155663926</v>
      </c>
      <c r="S515" s="0" t="n">
        <f aca="false">-1*I515-(H515*(P515/3600))</f>
        <v>-19.5</v>
      </c>
      <c r="T515" s="0" t="n">
        <f aca="false">-H515*(O515/3600)</f>
        <v>-0.815287748118421</v>
      </c>
      <c r="U515" s="0" t="n">
        <f aca="false">T515-S515</f>
        <v>18.6847122518816</v>
      </c>
      <c r="V515" s="0" t="n">
        <f aca="false">1/(1+EXP(U515))</f>
        <v>7.67949336884518E-009</v>
      </c>
      <c r="W515" s="0" t="n">
        <f aca="true">RAND()</f>
        <v>0.127004737368959</v>
      </c>
      <c r="X515" s="0" t="n">
        <f aca="false">IF(W515&lt;V515,1,0)</f>
        <v>0</v>
      </c>
      <c r="Y515" s="0" t="n">
        <f aca="false">(M515*(1-X515)+N515*X515)*D515+M515*E515</f>
        <v>5278.82985076217</v>
      </c>
      <c r="Z515" s="0" t="n">
        <f aca="false">((1-X515)*O515+X515*P515)*D515+E515*O515</f>
        <v>295.913484674835</v>
      </c>
      <c r="AA515" s="0" t="n">
        <f aca="false">IF(D515*X515&gt;0,AA514,Q515)</f>
        <v>29</v>
      </c>
      <c r="AB515" s="0" t="n">
        <f aca="false">(X515*D515)</f>
        <v>0</v>
      </c>
      <c r="AC515" s="0" t="n">
        <f aca="false">SUM(AB$10:AB514)/K515</f>
        <v>0</v>
      </c>
      <c r="AD515" s="0" t="n">
        <f aca="false">R515*E515+D515*(X515*S515+(1-X515)*T515)</f>
        <v>-0.950035155663926</v>
      </c>
      <c r="AE515" s="0" t="n">
        <f aca="false">Z515</f>
        <v>295.913484674835</v>
      </c>
      <c r="AF515" s="0" t="n">
        <f aca="false">E515*O515</f>
        <v>295.913484674835</v>
      </c>
      <c r="AG515" s="0" t="n">
        <f aca="false">((1-X515)*O515+X515*P515)*D515</f>
        <v>0</v>
      </c>
      <c r="AH515" s="0" t="n">
        <f aca="false">D515*(LN(EXP(S515)+EXP(T515)))</f>
        <v>-0</v>
      </c>
      <c r="AJ515" s="0" t="n">
        <f aca="false">$J$5</f>
        <v>10</v>
      </c>
      <c r="AK515" s="4" t="n">
        <f aca="false">AJ515+MAX(K515,AK$10:AK514)</f>
        <v>5278.82985076217</v>
      </c>
      <c r="AL515" s="5" t="n">
        <f aca="false">AK515-K515</f>
        <v>295.913484674835</v>
      </c>
      <c r="AM515" s="0" t="n">
        <f aca="false">-G515*AL515/3600</f>
        <v>-0.950035155663926</v>
      </c>
      <c r="AN515" s="0" t="n">
        <f aca="false">-H515*AL515/3600</f>
        <v>-0.815287748118421</v>
      </c>
      <c r="AO515" s="0" t="n">
        <f aca="false">AM515*E515+AN515*D515</f>
        <v>-0.950035155663926</v>
      </c>
      <c r="AP515" s="0" t="n">
        <f aca="false">AL515*D515</f>
        <v>0</v>
      </c>
      <c r="AR515" s="0" t="n">
        <f aca="false">AN515*D515</f>
        <v>-0</v>
      </c>
      <c r="AS515" s="0" t="n">
        <f aca="false">AH515-AR515</f>
        <v>0</v>
      </c>
    </row>
    <row r="516" customFormat="false" ht="12" hidden="false" customHeight="false" outlineLevel="0" collapsed="false">
      <c r="A516" s="3" t="n">
        <f aca="false">A515+1</f>
        <v>507</v>
      </c>
      <c r="B516" s="3" t="n">
        <f aca="false">IF(A516&lt;$N$4/3,0.1,(IF(A516&gt;2*$N$4/3,0.05,0.12)))</f>
        <v>0.12</v>
      </c>
      <c r="C516" s="4" t="n">
        <f aca="true">RAND()</f>
        <v>0.726106246157027</v>
      </c>
      <c r="D516" s="0" t="n">
        <f aca="false">IF((C516&gt;$M$2),1,0)</f>
        <v>0</v>
      </c>
      <c r="E516" s="0" t="n">
        <f aca="false">1-D516</f>
        <v>1</v>
      </c>
      <c r="F516" s="0" t="n">
        <f aca="true">RAND()</f>
        <v>0.597571789774816</v>
      </c>
      <c r="G516" s="0" t="n">
        <f aca="false">7.75+F516*10</f>
        <v>13.7257178977482</v>
      </c>
      <c r="H516" s="0" t="n">
        <f aca="false">LOGINV(F516,2.64,1.139)</f>
        <v>18.5674350439882</v>
      </c>
      <c r="I516" s="0" t="n">
        <v>19.5</v>
      </c>
      <c r="J516" s="4" t="n">
        <f aca="true">-LN(RAND())/B516</f>
        <v>1.28598462832123</v>
      </c>
      <c r="K516" s="4" t="n">
        <f aca="false">K515+J516</f>
        <v>4984.20235071566</v>
      </c>
      <c r="L516" s="4" t="n">
        <f aca="false">(1/$J$4)*(1+AB515)</f>
        <v>10</v>
      </c>
      <c r="M516" s="4" t="n">
        <f aca="false">L516+MAX(K516,Y$10:Y515)</f>
        <v>5288.82985076217</v>
      </c>
      <c r="N516" s="4" t="n">
        <f aca="false">K516</f>
        <v>4984.20235071566</v>
      </c>
      <c r="O516" s="4" t="n">
        <f aca="false">M516-K516</f>
        <v>304.627500046514</v>
      </c>
      <c r="P516" s="4" t="n">
        <f aca="false">N516-K516</f>
        <v>0</v>
      </c>
      <c r="Q516" s="4" t="n">
        <f aca="false">A516-MATCH(K516,$M$9:M515,1)</f>
        <v>30</v>
      </c>
      <c r="R516" s="0" t="n">
        <f aca="false">-G516*(O516/3600)</f>
        <v>-1.16145309153742</v>
      </c>
      <c r="S516" s="0" t="n">
        <f aca="false">-1*I516-(H516*(P516/3600))</f>
        <v>-19.5</v>
      </c>
      <c r="T516" s="0" t="n">
        <f aca="false">-H516*(O516/3600)</f>
        <v>-1.57115314436838</v>
      </c>
      <c r="U516" s="0" t="n">
        <f aca="false">T516-S516</f>
        <v>17.9288468556316</v>
      </c>
      <c r="V516" s="0" t="n">
        <f aca="false">1/(1+EXP(U516))</f>
        <v>1.63531242540233E-008</v>
      </c>
      <c r="W516" s="0" t="n">
        <f aca="true">RAND()</f>
        <v>0.377658484686317</v>
      </c>
      <c r="X516" s="0" t="n">
        <f aca="false">IF(W516&lt;V516,1,0)</f>
        <v>0</v>
      </c>
      <c r="Y516" s="0" t="n">
        <f aca="false">(M516*(1-X516)+N516*X516)*D516+M516*E516</f>
        <v>5288.82985076217</v>
      </c>
      <c r="Z516" s="0" t="n">
        <f aca="false">((1-X516)*O516+X516*P516)*D516+E516*O516</f>
        <v>304.627500046514</v>
      </c>
      <c r="AA516" s="0" t="n">
        <f aca="false">IF(D516*X516&gt;0,AA515,Q516)</f>
        <v>30</v>
      </c>
      <c r="AB516" s="0" t="n">
        <f aca="false">(X516*D516)</f>
        <v>0</v>
      </c>
      <c r="AC516" s="0" t="n">
        <f aca="false">SUM(AB$10:AB515)/K516</f>
        <v>0</v>
      </c>
      <c r="AD516" s="0" t="n">
        <f aca="false">R516*E516+D516*(X516*S516+(1-X516)*T516)</f>
        <v>-1.16145309153742</v>
      </c>
      <c r="AE516" s="0" t="n">
        <f aca="false">Z516</f>
        <v>304.627500046514</v>
      </c>
      <c r="AF516" s="0" t="n">
        <f aca="false">E516*O516</f>
        <v>304.627500046514</v>
      </c>
      <c r="AG516" s="0" t="n">
        <f aca="false">((1-X516)*O516+X516*P516)*D516</f>
        <v>0</v>
      </c>
      <c r="AH516" s="0" t="n">
        <f aca="false">D516*(LN(EXP(S516)+EXP(T516)))</f>
        <v>-0</v>
      </c>
      <c r="AJ516" s="0" t="n">
        <f aca="false">$J$5</f>
        <v>10</v>
      </c>
      <c r="AK516" s="4" t="n">
        <f aca="false">AJ516+MAX(K516,AK$10:AK515)</f>
        <v>5288.82985076217</v>
      </c>
      <c r="AL516" s="5" t="n">
        <f aca="false">AK516-K516</f>
        <v>304.627500046514</v>
      </c>
      <c r="AM516" s="0" t="n">
        <f aca="false">-G516*AL516/3600</f>
        <v>-1.16145309153742</v>
      </c>
      <c r="AN516" s="0" t="n">
        <f aca="false">-H516*AL516/3600</f>
        <v>-1.57115314436838</v>
      </c>
      <c r="AO516" s="0" t="n">
        <f aca="false">AM516*E516+AN516*D516</f>
        <v>-1.16145309153742</v>
      </c>
      <c r="AP516" s="0" t="n">
        <f aca="false">AL516*D516</f>
        <v>0</v>
      </c>
      <c r="AR516" s="0" t="n">
        <f aca="false">AN516*D516</f>
        <v>-0</v>
      </c>
      <c r="AS516" s="0" t="n">
        <f aca="false">AH516-AR516</f>
        <v>0</v>
      </c>
    </row>
    <row r="517" customFormat="false" ht="12" hidden="false" customHeight="false" outlineLevel="0" collapsed="false">
      <c r="A517" s="3" t="n">
        <f aca="false">A516+1</f>
        <v>508</v>
      </c>
      <c r="B517" s="3" t="n">
        <f aca="false">IF(A517&lt;$N$4/3,0.1,(IF(A517&gt;2*$N$4/3,0.05,0.12)))</f>
        <v>0.12</v>
      </c>
      <c r="C517" s="4" t="n">
        <f aca="true">RAND()</f>
        <v>0.907683338453598</v>
      </c>
      <c r="D517" s="0" t="n">
        <f aca="false">IF((C517&gt;$M$2),1,0)</f>
        <v>1</v>
      </c>
      <c r="E517" s="0" t="n">
        <f aca="false">1-D517</f>
        <v>0</v>
      </c>
      <c r="F517" s="0" t="n">
        <f aca="true">RAND()</f>
        <v>0.487078316474784</v>
      </c>
      <c r="G517" s="0" t="n">
        <f aca="false">7.75+F517*10</f>
        <v>12.6207831647478</v>
      </c>
      <c r="H517" s="0" t="n">
        <f aca="false">LOGINV(F517,2.64,1.139)</f>
        <v>13.5055606359457</v>
      </c>
      <c r="I517" s="0" t="n">
        <v>19.5</v>
      </c>
      <c r="J517" s="4" t="n">
        <f aca="true">-LN(RAND())/B517</f>
        <v>0.161642015577508</v>
      </c>
      <c r="K517" s="4" t="n">
        <f aca="false">K516+J517</f>
        <v>4984.36399273124</v>
      </c>
      <c r="L517" s="4" t="n">
        <f aca="false">(1/$J$4)*(1+AB516)</f>
        <v>10</v>
      </c>
      <c r="M517" s="4" t="n">
        <f aca="false">L517+MAX(K517,Y$10:Y516)</f>
        <v>5298.82985076217</v>
      </c>
      <c r="N517" s="4" t="n">
        <f aca="false">K517</f>
        <v>4984.36399273124</v>
      </c>
      <c r="O517" s="4" t="n">
        <f aca="false">M517-K517</f>
        <v>314.465858030936</v>
      </c>
      <c r="P517" s="4" t="n">
        <f aca="false">N517-K517</f>
        <v>0</v>
      </c>
      <c r="Q517" s="4" t="n">
        <f aca="false">A517-MATCH(K517,$M$9:M516,1)</f>
        <v>31</v>
      </c>
      <c r="R517" s="0" t="n">
        <f aca="false">-G517*(O517/3600)</f>
        <v>-1.10244594636801</v>
      </c>
      <c r="S517" s="0" t="n">
        <f aca="false">-1*I517-(H517*(P517/3600))</f>
        <v>-19.5</v>
      </c>
      <c r="T517" s="0" t="n">
        <f aca="false">-H517*(O517/3600)</f>
        <v>-1.1797326982143</v>
      </c>
      <c r="U517" s="0" t="n">
        <f aca="false">T517-S517</f>
        <v>18.3202673017857</v>
      </c>
      <c r="V517" s="0" t="n">
        <f aca="false">1/(1+EXP(U517))</f>
        <v>1.10562792457932E-008</v>
      </c>
      <c r="W517" s="0" t="n">
        <f aca="true">RAND()</f>
        <v>0.188074829623086</v>
      </c>
      <c r="X517" s="0" t="n">
        <f aca="false">IF(W517&lt;V517,1,0)</f>
        <v>0</v>
      </c>
      <c r="Y517" s="0" t="n">
        <f aca="false">(M517*(1-X517)+N517*X517)*D517+M517*E517</f>
        <v>5298.82985076217</v>
      </c>
      <c r="Z517" s="0" t="n">
        <f aca="false">((1-X517)*O517+X517*P517)*D517+E517*O517</f>
        <v>314.465858030936</v>
      </c>
      <c r="AA517" s="0" t="n">
        <f aca="false">IF(D517*X517&gt;0,AA516,Q517)</f>
        <v>31</v>
      </c>
      <c r="AB517" s="0" t="n">
        <f aca="false">(X517*D517)</f>
        <v>0</v>
      </c>
      <c r="AC517" s="0" t="n">
        <f aca="false">SUM(AB$10:AB516)/K517</f>
        <v>0</v>
      </c>
      <c r="AD517" s="0" t="n">
        <f aca="false">R517*E517+D517*(X517*S517+(1-X517)*T517)</f>
        <v>-1.1797326982143</v>
      </c>
      <c r="AE517" s="0" t="n">
        <f aca="false">Z517</f>
        <v>314.465858030936</v>
      </c>
      <c r="AF517" s="0" t="n">
        <f aca="false">E517*O517</f>
        <v>0</v>
      </c>
      <c r="AG517" s="0" t="n">
        <f aca="false">((1-X517)*O517+X517*P517)*D517</f>
        <v>314.465858030936</v>
      </c>
      <c r="AH517" s="0" t="n">
        <f aca="false">D517*(LN(EXP(S517)+EXP(T517)))</f>
        <v>-1.17973268715802</v>
      </c>
      <c r="AJ517" s="0" t="n">
        <f aca="false">$J$5</f>
        <v>10</v>
      </c>
      <c r="AK517" s="4" t="n">
        <f aca="false">AJ517+MAX(K517,AK$10:AK516)</f>
        <v>5298.82985076217</v>
      </c>
      <c r="AL517" s="5" t="n">
        <f aca="false">AK517-K517</f>
        <v>314.465858030936</v>
      </c>
      <c r="AM517" s="0" t="n">
        <f aca="false">-G517*AL517/3600</f>
        <v>-1.10244594636801</v>
      </c>
      <c r="AN517" s="0" t="n">
        <f aca="false">-H517*AL517/3600</f>
        <v>-1.1797326982143</v>
      </c>
      <c r="AO517" s="0" t="n">
        <f aca="false">AM517*E517+AN517*D517</f>
        <v>-1.1797326982143</v>
      </c>
      <c r="AP517" s="0" t="n">
        <f aca="false">AL517*D517</f>
        <v>314.465858030936</v>
      </c>
      <c r="AR517" s="0" t="n">
        <f aca="false">AN517*D517</f>
        <v>-1.1797326982143</v>
      </c>
      <c r="AS517" s="0" t="n">
        <f aca="false">AH517-AR517</f>
        <v>1.105627944753E-008</v>
      </c>
    </row>
    <row r="518" customFormat="false" ht="12" hidden="false" customHeight="false" outlineLevel="0" collapsed="false">
      <c r="A518" s="3" t="n">
        <f aca="false">A517+1</f>
        <v>509</v>
      </c>
      <c r="B518" s="3" t="n">
        <f aca="false">IF(A518&lt;$N$4/3,0.1,(IF(A518&gt;2*$N$4/3,0.05,0.12)))</f>
        <v>0.12</v>
      </c>
      <c r="C518" s="4" t="n">
        <f aca="true">RAND()</f>
        <v>0.699808568782693</v>
      </c>
      <c r="D518" s="0" t="n">
        <f aca="false">IF((C518&gt;$M$2),1,0)</f>
        <v>0</v>
      </c>
      <c r="E518" s="0" t="n">
        <f aca="false">1-D518</f>
        <v>1</v>
      </c>
      <c r="F518" s="0" t="n">
        <f aca="true">RAND()</f>
        <v>0.43922078541565</v>
      </c>
      <c r="G518" s="0" t="n">
        <f aca="false">7.75+F518*10</f>
        <v>12.1422078541565</v>
      </c>
      <c r="H518" s="0" t="n">
        <f aca="false">LOGINV(F518,2.64,1.139)</f>
        <v>11.772844111818</v>
      </c>
      <c r="I518" s="0" t="n">
        <v>19.5</v>
      </c>
      <c r="J518" s="4" t="n">
        <f aca="true">-LN(RAND())/B518</f>
        <v>15.8744550458614</v>
      </c>
      <c r="K518" s="4" t="n">
        <f aca="false">K517+J518</f>
        <v>5000.2384477771</v>
      </c>
      <c r="L518" s="4" t="n">
        <f aca="false">(1/$J$4)*(1+AB517)</f>
        <v>10</v>
      </c>
      <c r="M518" s="4" t="n">
        <f aca="false">L518+MAX(K518,Y$10:Y517)</f>
        <v>5308.82985076217</v>
      </c>
      <c r="N518" s="4" t="n">
        <f aca="false">K518</f>
        <v>5000.2384477771</v>
      </c>
      <c r="O518" s="4" t="n">
        <f aca="false">M518-K518</f>
        <v>308.591402985075</v>
      </c>
      <c r="P518" s="4" t="n">
        <f aca="false">N518-K518</f>
        <v>0</v>
      </c>
      <c r="Q518" s="4" t="n">
        <f aca="false">A518-MATCH(K518,$M$9:M517,1)</f>
        <v>30</v>
      </c>
      <c r="R518" s="0" t="n">
        <f aca="false">-G518*(O518/3600)</f>
        <v>-1.04082804362515</v>
      </c>
      <c r="S518" s="0" t="n">
        <f aca="false">-1*I518-(H518*(P518/3600))</f>
        <v>-19.5</v>
      </c>
      <c r="T518" s="0" t="n">
        <f aca="false">-H518*(O518/3600)</f>
        <v>-1.00916624488625</v>
      </c>
      <c r="U518" s="0" t="n">
        <f aca="false">T518-S518</f>
        <v>18.4908337551138</v>
      </c>
      <c r="V518" s="0" t="n">
        <f aca="false">1/(1+EXP(U518))</f>
        <v>9.32251155468012E-009</v>
      </c>
      <c r="W518" s="0" t="n">
        <f aca="true">RAND()</f>
        <v>0.770763112171686</v>
      </c>
      <c r="X518" s="0" t="n">
        <f aca="false">IF(W518&lt;V518,1,0)</f>
        <v>0</v>
      </c>
      <c r="Y518" s="0" t="n">
        <f aca="false">(M518*(1-X518)+N518*X518)*D518+M518*E518</f>
        <v>5308.82985076217</v>
      </c>
      <c r="Z518" s="0" t="n">
        <f aca="false">((1-X518)*O518+X518*P518)*D518+E518*O518</f>
        <v>308.591402985075</v>
      </c>
      <c r="AA518" s="0" t="n">
        <f aca="false">IF(D518*X518&gt;0,AA517,Q518)</f>
        <v>30</v>
      </c>
      <c r="AB518" s="0" t="n">
        <f aca="false">(X518*D518)</f>
        <v>0</v>
      </c>
      <c r="AC518" s="0" t="n">
        <f aca="false">SUM(AB$10:AB517)/K518</f>
        <v>0</v>
      </c>
      <c r="AD518" s="0" t="n">
        <f aca="false">R518*E518+D518*(X518*S518+(1-X518)*T518)</f>
        <v>-1.04082804362515</v>
      </c>
      <c r="AE518" s="0" t="n">
        <f aca="false">Z518</f>
        <v>308.591402985075</v>
      </c>
      <c r="AF518" s="0" t="n">
        <f aca="false">E518*O518</f>
        <v>308.591402985075</v>
      </c>
      <c r="AG518" s="0" t="n">
        <f aca="false">((1-X518)*O518+X518*P518)*D518</f>
        <v>0</v>
      </c>
      <c r="AH518" s="0" t="n">
        <f aca="false">D518*(LN(EXP(S518)+EXP(T518)))</f>
        <v>-0</v>
      </c>
      <c r="AJ518" s="0" t="n">
        <f aca="false">$J$5</f>
        <v>10</v>
      </c>
      <c r="AK518" s="4" t="n">
        <f aca="false">AJ518+MAX(K518,AK$10:AK517)</f>
        <v>5308.82985076217</v>
      </c>
      <c r="AL518" s="5" t="n">
        <f aca="false">AK518-K518</f>
        <v>308.591402985075</v>
      </c>
      <c r="AM518" s="0" t="n">
        <f aca="false">-G518*AL518/3600</f>
        <v>-1.04082804362515</v>
      </c>
      <c r="AN518" s="0" t="n">
        <f aca="false">-H518*AL518/3600</f>
        <v>-1.00916624488625</v>
      </c>
      <c r="AO518" s="0" t="n">
        <f aca="false">AM518*E518+AN518*D518</f>
        <v>-1.04082804362515</v>
      </c>
      <c r="AP518" s="0" t="n">
        <f aca="false">AL518*D518</f>
        <v>0</v>
      </c>
      <c r="AR518" s="0" t="n">
        <f aca="false">AN518*D518</f>
        <v>-0</v>
      </c>
      <c r="AS518" s="0" t="n">
        <f aca="false">AH518-AR518</f>
        <v>0</v>
      </c>
    </row>
    <row r="519" customFormat="false" ht="12" hidden="false" customHeight="false" outlineLevel="0" collapsed="false">
      <c r="A519" s="3" t="n">
        <f aca="false">A518+1</f>
        <v>510</v>
      </c>
      <c r="B519" s="3" t="n">
        <f aca="false">IF(A519&lt;$N$4/3,0.1,(IF(A519&gt;2*$N$4/3,0.05,0.12)))</f>
        <v>0.12</v>
      </c>
      <c r="C519" s="4" t="n">
        <f aca="true">RAND()</f>
        <v>0.159239984867221</v>
      </c>
      <c r="D519" s="0" t="n">
        <f aca="false">IF((C519&gt;$M$2),1,0)</f>
        <v>0</v>
      </c>
      <c r="E519" s="0" t="n">
        <f aca="false">1-D519</f>
        <v>1</v>
      </c>
      <c r="F519" s="0" t="n">
        <f aca="true">RAND()</f>
        <v>0.349181557908189</v>
      </c>
      <c r="G519" s="0" t="n">
        <f aca="false">7.75+F519*10</f>
        <v>11.2418155790819</v>
      </c>
      <c r="H519" s="0" t="n">
        <f aca="false">LOGINV(F519,2.64,1.139)</f>
        <v>9.01240673643371</v>
      </c>
      <c r="I519" s="0" t="n">
        <v>19.5</v>
      </c>
      <c r="J519" s="4" t="n">
        <f aca="true">-LN(RAND())/B519</f>
        <v>22.3726608437393</v>
      </c>
      <c r="K519" s="4" t="n">
        <f aca="false">K518+J519</f>
        <v>5022.61110862084</v>
      </c>
      <c r="L519" s="4" t="n">
        <f aca="false">(1/$J$4)*(1+AB518)</f>
        <v>10</v>
      </c>
      <c r="M519" s="4" t="n">
        <f aca="false">L519+MAX(K519,Y$10:Y518)</f>
        <v>5318.82985076217</v>
      </c>
      <c r="N519" s="4" t="n">
        <f aca="false">K519</f>
        <v>5022.61110862084</v>
      </c>
      <c r="O519" s="4" t="n">
        <f aca="false">M519-K519</f>
        <v>296.218742141336</v>
      </c>
      <c r="P519" s="4" t="n">
        <f aca="false">N519-K519</f>
        <v>0</v>
      </c>
      <c r="Q519" s="4" t="n">
        <f aca="false">A519-MATCH(K519,$M$9:M518,1)</f>
        <v>29</v>
      </c>
      <c r="R519" s="0" t="n">
        <f aca="false">-G519*(O519/3600)</f>
        <v>-0.925010130616807</v>
      </c>
      <c r="S519" s="0" t="n">
        <f aca="false">-1*I519-(H519*(P519/3600))</f>
        <v>-19.5</v>
      </c>
      <c r="T519" s="0" t="n">
        <f aca="false">-H519*(O519/3600)</f>
        <v>-0.741567718647915</v>
      </c>
      <c r="U519" s="0" t="n">
        <f aca="false">T519-S519</f>
        <v>18.7584322813521</v>
      </c>
      <c r="V519" s="0" t="n">
        <f aca="false">1/(1+EXP(U519))</f>
        <v>7.1337250718092E-009</v>
      </c>
      <c r="W519" s="0" t="n">
        <f aca="true">RAND()</f>
        <v>0.50745242454996</v>
      </c>
      <c r="X519" s="0" t="n">
        <f aca="false">IF(W519&lt;V519,1,0)</f>
        <v>0</v>
      </c>
      <c r="Y519" s="0" t="n">
        <f aca="false">(M519*(1-X519)+N519*X519)*D519+M519*E519</f>
        <v>5318.82985076217</v>
      </c>
      <c r="Z519" s="0" t="n">
        <f aca="false">((1-X519)*O519+X519*P519)*D519+E519*O519</f>
        <v>296.218742141336</v>
      </c>
      <c r="AA519" s="0" t="n">
        <f aca="false">IF(D519*X519&gt;0,AA518,Q519)</f>
        <v>29</v>
      </c>
      <c r="AB519" s="0" t="n">
        <f aca="false">(X519*D519)</f>
        <v>0</v>
      </c>
      <c r="AC519" s="0" t="n">
        <f aca="false">SUM(AB$10:AB518)/K519</f>
        <v>0</v>
      </c>
      <c r="AD519" s="0" t="n">
        <f aca="false">R519*E519+D519*(X519*S519+(1-X519)*T519)</f>
        <v>-0.925010130616807</v>
      </c>
      <c r="AE519" s="0" t="n">
        <f aca="false">Z519</f>
        <v>296.218742141336</v>
      </c>
      <c r="AF519" s="0" t="n">
        <f aca="false">E519*O519</f>
        <v>296.218742141336</v>
      </c>
      <c r="AG519" s="0" t="n">
        <f aca="false">((1-X519)*O519+X519*P519)*D519</f>
        <v>0</v>
      </c>
      <c r="AH519" s="0" t="n">
        <f aca="false">D519*(LN(EXP(S519)+EXP(T519)))</f>
        <v>-0</v>
      </c>
      <c r="AJ519" s="0" t="n">
        <f aca="false">$J$5</f>
        <v>10</v>
      </c>
      <c r="AK519" s="4" t="n">
        <f aca="false">AJ519+MAX(K519,AK$10:AK518)</f>
        <v>5318.82985076217</v>
      </c>
      <c r="AL519" s="5" t="n">
        <f aca="false">AK519-K519</f>
        <v>296.218742141336</v>
      </c>
      <c r="AM519" s="0" t="n">
        <f aca="false">-G519*AL519/3600</f>
        <v>-0.925010130616807</v>
      </c>
      <c r="AN519" s="0" t="n">
        <f aca="false">-H519*AL519/3600</f>
        <v>-0.741567718647915</v>
      </c>
      <c r="AO519" s="0" t="n">
        <f aca="false">AM519*E519+AN519*D519</f>
        <v>-0.925010130616807</v>
      </c>
      <c r="AP519" s="0" t="n">
        <f aca="false">AL519*D519</f>
        <v>0</v>
      </c>
      <c r="AR519" s="0" t="n">
        <f aca="false">AN519*D519</f>
        <v>-0</v>
      </c>
      <c r="AS519" s="0" t="n">
        <f aca="false">AH519-AR519</f>
        <v>0</v>
      </c>
    </row>
    <row r="520" customFormat="false" ht="12" hidden="false" customHeight="false" outlineLevel="0" collapsed="false">
      <c r="A520" s="3" t="n">
        <f aca="false">A519+1</f>
        <v>511</v>
      </c>
      <c r="B520" s="3" t="n">
        <f aca="false">IF(A520&lt;$N$4/3,0.1,(IF(A520&gt;2*$N$4/3,0.05,0.12)))</f>
        <v>0.12</v>
      </c>
      <c r="C520" s="4" t="n">
        <f aca="true">RAND()</f>
        <v>0.127679349300567</v>
      </c>
      <c r="D520" s="0" t="n">
        <f aca="false">IF((C520&gt;$M$2),1,0)</f>
        <v>0</v>
      </c>
      <c r="E520" s="0" t="n">
        <f aca="false">1-D520</f>
        <v>1</v>
      </c>
      <c r="F520" s="0" t="n">
        <f aca="true">RAND()</f>
        <v>0.350570378312655</v>
      </c>
      <c r="G520" s="0" t="n">
        <f aca="false">7.75+F520*10</f>
        <v>11.2557037831265</v>
      </c>
      <c r="H520" s="0" t="n">
        <f aca="false">LOGINV(F520,2.64,1.139)</f>
        <v>9.05098343017611</v>
      </c>
      <c r="I520" s="0" t="n">
        <v>19.5</v>
      </c>
      <c r="J520" s="4" t="n">
        <f aca="true">-LN(RAND())/B520</f>
        <v>2.02101393520499</v>
      </c>
      <c r="K520" s="4" t="n">
        <f aca="false">K519+J520</f>
        <v>5024.63212255604</v>
      </c>
      <c r="L520" s="4" t="n">
        <f aca="false">(1/$J$4)*(1+AB519)</f>
        <v>10</v>
      </c>
      <c r="M520" s="4" t="n">
        <f aca="false">L520+MAX(K520,Y$10:Y519)</f>
        <v>5328.82985076217</v>
      </c>
      <c r="N520" s="4" t="n">
        <f aca="false">K520</f>
        <v>5024.63212255604</v>
      </c>
      <c r="O520" s="4" t="n">
        <f aca="false">M520-K520</f>
        <v>304.197728206131</v>
      </c>
      <c r="P520" s="4" t="n">
        <f aca="false">N520-K520</f>
        <v>0</v>
      </c>
      <c r="Q520" s="4" t="n">
        <f aca="false">A520-MATCH(K520,$M$9:M519,1)</f>
        <v>30</v>
      </c>
      <c r="R520" s="0" t="n">
        <f aca="false">-G520*(O520/3600)</f>
        <v>-0.951099866718958</v>
      </c>
      <c r="S520" s="0" t="n">
        <f aca="false">-1*I520-(H520*(P520/3600))</f>
        <v>-19.5</v>
      </c>
      <c r="T520" s="0" t="n">
        <f aca="false">-H520*(O520/3600)</f>
        <v>-0.764802388191918</v>
      </c>
      <c r="U520" s="0" t="n">
        <f aca="false">T520-S520</f>
        <v>18.7351976118081</v>
      </c>
      <c r="V520" s="0" t="n">
        <f aca="false">1/(1+EXP(U520))</f>
        <v>7.30141538587852E-009</v>
      </c>
      <c r="W520" s="0" t="n">
        <f aca="true">RAND()</f>
        <v>0.33939448598894</v>
      </c>
      <c r="X520" s="0" t="n">
        <f aca="false">IF(W520&lt;V520,1,0)</f>
        <v>0</v>
      </c>
      <c r="Y520" s="0" t="n">
        <f aca="false">(M520*(1-X520)+N520*X520)*D520+M520*E520</f>
        <v>5328.82985076217</v>
      </c>
      <c r="Z520" s="0" t="n">
        <f aca="false">((1-X520)*O520+X520*P520)*D520+E520*O520</f>
        <v>304.197728206131</v>
      </c>
      <c r="AA520" s="0" t="n">
        <f aca="false">IF(D520*X520&gt;0,AA519,Q520)</f>
        <v>30</v>
      </c>
      <c r="AB520" s="0" t="n">
        <f aca="false">(X520*D520)</f>
        <v>0</v>
      </c>
      <c r="AC520" s="0" t="n">
        <f aca="false">SUM(AB$10:AB519)/K520</f>
        <v>0</v>
      </c>
      <c r="AD520" s="0" t="n">
        <f aca="false">R520*E520+D520*(X520*S520+(1-X520)*T520)</f>
        <v>-0.951099866718958</v>
      </c>
      <c r="AE520" s="0" t="n">
        <f aca="false">Z520</f>
        <v>304.197728206131</v>
      </c>
      <c r="AF520" s="0" t="n">
        <f aca="false">E520*O520</f>
        <v>304.197728206131</v>
      </c>
      <c r="AG520" s="0" t="n">
        <f aca="false">((1-X520)*O520+X520*P520)*D520</f>
        <v>0</v>
      </c>
      <c r="AH520" s="0" t="n">
        <f aca="false">D520*(LN(EXP(S520)+EXP(T520)))</f>
        <v>-0</v>
      </c>
      <c r="AJ520" s="0" t="n">
        <f aca="false">$J$5</f>
        <v>10</v>
      </c>
      <c r="AK520" s="4" t="n">
        <f aca="false">AJ520+MAX(K520,AK$10:AK519)</f>
        <v>5328.82985076217</v>
      </c>
      <c r="AL520" s="5" t="n">
        <f aca="false">AK520-K520</f>
        <v>304.197728206131</v>
      </c>
      <c r="AM520" s="0" t="n">
        <f aca="false">-G520*AL520/3600</f>
        <v>-0.951099866718958</v>
      </c>
      <c r="AN520" s="0" t="n">
        <f aca="false">-H520*AL520/3600</f>
        <v>-0.764802388191918</v>
      </c>
      <c r="AO520" s="0" t="n">
        <f aca="false">AM520*E520+AN520*D520</f>
        <v>-0.951099866718958</v>
      </c>
      <c r="AP520" s="0" t="n">
        <f aca="false">AL520*D520</f>
        <v>0</v>
      </c>
      <c r="AR520" s="0" t="n">
        <f aca="false">AN520*D520</f>
        <v>-0</v>
      </c>
      <c r="AS520" s="0" t="n">
        <f aca="false">AH520-AR520</f>
        <v>0</v>
      </c>
    </row>
    <row r="521" customFormat="false" ht="12" hidden="false" customHeight="false" outlineLevel="0" collapsed="false">
      <c r="A521" s="3" t="n">
        <f aca="false">A520+1</f>
        <v>512</v>
      </c>
      <c r="B521" s="3" t="n">
        <f aca="false">IF(A521&lt;$N$4/3,0.1,(IF(A521&gt;2*$N$4/3,0.05,0.12)))</f>
        <v>0.12</v>
      </c>
      <c r="C521" s="4" t="n">
        <f aca="true">RAND()</f>
        <v>0.453512253122353</v>
      </c>
      <c r="D521" s="0" t="n">
        <f aca="false">IF((C521&gt;$M$2),1,0)</f>
        <v>0</v>
      </c>
      <c r="E521" s="0" t="n">
        <f aca="false">1-D521</f>
        <v>1</v>
      </c>
      <c r="F521" s="0" t="n">
        <f aca="true">RAND()</f>
        <v>0.414716852851927</v>
      </c>
      <c r="G521" s="0" t="n">
        <f aca="false">7.75+F521*10</f>
        <v>11.8971685285193</v>
      </c>
      <c r="H521" s="0" t="n">
        <f aca="false">LOGINV(F521,2.64,1.139)</f>
        <v>10.964114280564</v>
      </c>
      <c r="I521" s="0" t="n">
        <v>19.5</v>
      </c>
      <c r="J521" s="4" t="n">
        <f aca="true">-LN(RAND())/B521</f>
        <v>0.936325551136069</v>
      </c>
      <c r="K521" s="4" t="n">
        <f aca="false">K520+J521</f>
        <v>5025.56844810718</v>
      </c>
      <c r="L521" s="4" t="n">
        <f aca="false">(1/$J$4)*(1+AB520)</f>
        <v>10</v>
      </c>
      <c r="M521" s="4" t="n">
        <f aca="false">L521+MAX(K521,Y$10:Y520)</f>
        <v>5338.82985076217</v>
      </c>
      <c r="N521" s="4" t="n">
        <f aca="false">K521</f>
        <v>5025.56844810718</v>
      </c>
      <c r="O521" s="4" t="n">
        <f aca="false">M521-K521</f>
        <v>313.261402654995</v>
      </c>
      <c r="P521" s="4" t="n">
        <f aca="false">N521-K521</f>
        <v>0</v>
      </c>
      <c r="Q521" s="4" t="n">
        <f aca="false">A521-MATCH(K521,$M$9:M520,1)</f>
        <v>31</v>
      </c>
      <c r="R521" s="0" t="n">
        <f aca="false">-G521*(O521/3600)</f>
        <v>-1.03525658357411</v>
      </c>
      <c r="S521" s="0" t="n">
        <f aca="false">-1*I521-(H521*(P521/3600))</f>
        <v>-19.5</v>
      </c>
      <c r="T521" s="0" t="n">
        <f aca="false">-H521*(O521/3600)</f>
        <v>-0.954064949555313</v>
      </c>
      <c r="U521" s="0" t="n">
        <f aca="false">T521-S521</f>
        <v>18.5459350504447</v>
      </c>
      <c r="V521" s="0" t="n">
        <f aca="false">1/(1+EXP(U521))</f>
        <v>8.82272498642676E-009</v>
      </c>
      <c r="W521" s="0" t="n">
        <f aca="true">RAND()</f>
        <v>0.859140332056965</v>
      </c>
      <c r="X521" s="0" t="n">
        <f aca="false">IF(W521&lt;V521,1,0)</f>
        <v>0</v>
      </c>
      <c r="Y521" s="0" t="n">
        <f aca="false">(M521*(1-X521)+N521*X521)*D521+M521*E521</f>
        <v>5338.82985076217</v>
      </c>
      <c r="Z521" s="0" t="n">
        <f aca="false">((1-X521)*O521+X521*P521)*D521+E521*O521</f>
        <v>313.261402654995</v>
      </c>
      <c r="AA521" s="0" t="n">
        <f aca="false">IF(D521*X521&gt;0,AA520,Q521)</f>
        <v>31</v>
      </c>
      <c r="AB521" s="0" t="n">
        <f aca="false">(X521*D521)</f>
        <v>0</v>
      </c>
      <c r="AC521" s="0" t="n">
        <f aca="false">SUM(AB$10:AB520)/K521</f>
        <v>0</v>
      </c>
      <c r="AD521" s="0" t="n">
        <f aca="false">R521*E521+D521*(X521*S521+(1-X521)*T521)</f>
        <v>-1.03525658357411</v>
      </c>
      <c r="AE521" s="0" t="n">
        <f aca="false">Z521</f>
        <v>313.261402654995</v>
      </c>
      <c r="AF521" s="0" t="n">
        <f aca="false">E521*O521</f>
        <v>313.261402654995</v>
      </c>
      <c r="AG521" s="0" t="n">
        <f aca="false">((1-X521)*O521+X521*P521)*D521</f>
        <v>0</v>
      </c>
      <c r="AH521" s="0" t="n">
        <f aca="false">D521*(LN(EXP(S521)+EXP(T521)))</f>
        <v>-0</v>
      </c>
      <c r="AJ521" s="0" t="n">
        <f aca="false">$J$5</f>
        <v>10</v>
      </c>
      <c r="AK521" s="4" t="n">
        <f aca="false">AJ521+MAX(K521,AK$10:AK520)</f>
        <v>5338.82985076217</v>
      </c>
      <c r="AL521" s="5" t="n">
        <f aca="false">AK521-K521</f>
        <v>313.261402654995</v>
      </c>
      <c r="AM521" s="0" t="n">
        <f aca="false">-G521*AL521/3600</f>
        <v>-1.03525658357411</v>
      </c>
      <c r="AN521" s="0" t="n">
        <f aca="false">-H521*AL521/3600</f>
        <v>-0.954064949555313</v>
      </c>
      <c r="AO521" s="0" t="n">
        <f aca="false">AM521*E521+AN521*D521</f>
        <v>-1.03525658357411</v>
      </c>
      <c r="AP521" s="0" t="n">
        <f aca="false">AL521*D521</f>
        <v>0</v>
      </c>
      <c r="AR521" s="0" t="n">
        <f aca="false">AN521*D521</f>
        <v>-0</v>
      </c>
      <c r="AS521" s="0" t="n">
        <f aca="false">AH521-AR521</f>
        <v>0</v>
      </c>
    </row>
    <row r="522" customFormat="false" ht="12" hidden="false" customHeight="false" outlineLevel="0" collapsed="false">
      <c r="A522" s="3" t="n">
        <f aca="false">A521+1</f>
        <v>513</v>
      </c>
      <c r="B522" s="3" t="n">
        <f aca="false">IF(A522&lt;$N$4/3,0.1,(IF(A522&gt;2*$N$4/3,0.05,0.12)))</f>
        <v>0.12</v>
      </c>
      <c r="C522" s="4" t="n">
        <f aca="true">RAND()</f>
        <v>0.263486879945393</v>
      </c>
      <c r="D522" s="0" t="n">
        <f aca="false">IF((C522&gt;$M$2),1,0)</f>
        <v>0</v>
      </c>
      <c r="E522" s="0" t="n">
        <f aca="false">1-D522</f>
        <v>1</v>
      </c>
      <c r="F522" s="0" t="n">
        <f aca="true">RAND()</f>
        <v>0.358102670389991</v>
      </c>
      <c r="G522" s="0" t="n">
        <f aca="false">7.75+F522*10</f>
        <v>11.3310267038999</v>
      </c>
      <c r="H522" s="0" t="n">
        <f aca="false">LOGINV(F522,2.64,1.139)</f>
        <v>9.26212717860857</v>
      </c>
      <c r="I522" s="0" t="n">
        <v>19.5</v>
      </c>
      <c r="J522" s="4" t="n">
        <f aca="true">-LN(RAND())/B522</f>
        <v>0.161550161209022</v>
      </c>
      <c r="K522" s="4" t="n">
        <f aca="false">K521+J522</f>
        <v>5025.72999826839</v>
      </c>
      <c r="L522" s="4" t="n">
        <f aca="false">(1/$J$4)*(1+AB521)</f>
        <v>10</v>
      </c>
      <c r="M522" s="4" t="n">
        <f aca="false">L522+MAX(K522,Y$10:Y521)</f>
        <v>5348.82985076217</v>
      </c>
      <c r="N522" s="4" t="n">
        <f aca="false">K522</f>
        <v>5025.72999826839</v>
      </c>
      <c r="O522" s="4" t="n">
        <f aca="false">M522-K522</f>
        <v>323.099852493786</v>
      </c>
      <c r="P522" s="4" t="n">
        <f aca="false">N522-K522</f>
        <v>0</v>
      </c>
      <c r="Q522" s="4" t="n">
        <f aca="false">A522-MATCH(K522,$M$9:M521,1)</f>
        <v>32</v>
      </c>
      <c r="R522" s="0" t="n">
        <f aca="false">-G522*(O522/3600)</f>
        <v>-1.01695918239811</v>
      </c>
      <c r="S522" s="0" t="n">
        <f aca="false">-1*I522-(H522*(P522/3600))</f>
        <v>-19.5</v>
      </c>
      <c r="T522" s="0" t="n">
        <f aca="false">-H522*(O522/3600)</f>
        <v>-0.831275534774198</v>
      </c>
      <c r="U522" s="0" t="n">
        <f aca="false">T522-S522</f>
        <v>18.6687244652258</v>
      </c>
      <c r="V522" s="0" t="n">
        <f aca="false">1/(1+EXP(U522))</f>
        <v>7.8032581960433E-009</v>
      </c>
      <c r="W522" s="0" t="n">
        <f aca="true">RAND()</f>
        <v>0.972470967984675</v>
      </c>
      <c r="X522" s="0" t="n">
        <f aca="false">IF(W522&lt;V522,1,0)</f>
        <v>0</v>
      </c>
      <c r="Y522" s="0" t="n">
        <f aca="false">(M522*(1-X522)+N522*X522)*D522+M522*E522</f>
        <v>5348.82985076217</v>
      </c>
      <c r="Z522" s="0" t="n">
        <f aca="false">((1-X522)*O522+X522*P522)*D522+E522*O522</f>
        <v>323.099852493786</v>
      </c>
      <c r="AA522" s="0" t="n">
        <f aca="false">IF(D522*X522&gt;0,AA521,Q522)</f>
        <v>32</v>
      </c>
      <c r="AB522" s="0" t="n">
        <f aca="false">(X522*D522)</f>
        <v>0</v>
      </c>
      <c r="AC522" s="0" t="n">
        <f aca="false">SUM(AB$10:AB521)/K522</f>
        <v>0</v>
      </c>
      <c r="AD522" s="0" t="n">
        <f aca="false">R522*E522+D522*(X522*S522+(1-X522)*T522)</f>
        <v>-1.01695918239811</v>
      </c>
      <c r="AE522" s="0" t="n">
        <f aca="false">Z522</f>
        <v>323.099852493786</v>
      </c>
      <c r="AF522" s="0" t="n">
        <f aca="false">E522*O522</f>
        <v>323.099852493786</v>
      </c>
      <c r="AG522" s="0" t="n">
        <f aca="false">((1-X522)*O522+X522*P522)*D522</f>
        <v>0</v>
      </c>
      <c r="AH522" s="0" t="n">
        <f aca="false">D522*(LN(EXP(S522)+EXP(T522)))</f>
        <v>-0</v>
      </c>
      <c r="AJ522" s="0" t="n">
        <f aca="false">$J$5</f>
        <v>10</v>
      </c>
      <c r="AK522" s="4" t="n">
        <f aca="false">AJ522+MAX(K522,AK$10:AK521)</f>
        <v>5348.82985076217</v>
      </c>
      <c r="AL522" s="5" t="n">
        <f aca="false">AK522-K522</f>
        <v>323.099852493786</v>
      </c>
      <c r="AM522" s="0" t="n">
        <f aca="false">-G522*AL522/3600</f>
        <v>-1.01695918239811</v>
      </c>
      <c r="AN522" s="0" t="n">
        <f aca="false">-H522*AL522/3600</f>
        <v>-0.831275534774198</v>
      </c>
      <c r="AO522" s="0" t="n">
        <f aca="false">AM522*E522+AN522*D522</f>
        <v>-1.01695918239811</v>
      </c>
      <c r="AP522" s="0" t="n">
        <f aca="false">AL522*D522</f>
        <v>0</v>
      </c>
      <c r="AR522" s="0" t="n">
        <f aca="false">AN522*D522</f>
        <v>-0</v>
      </c>
      <c r="AS522" s="0" t="n">
        <f aca="false">AH522-AR522</f>
        <v>0</v>
      </c>
    </row>
    <row r="523" customFormat="false" ht="12" hidden="false" customHeight="false" outlineLevel="0" collapsed="false">
      <c r="A523" s="3" t="n">
        <f aca="false">A522+1</f>
        <v>514</v>
      </c>
      <c r="B523" s="3" t="n">
        <f aca="false">IF(A523&lt;$N$4/3,0.1,(IF(A523&gt;2*$N$4/3,0.05,0.12)))</f>
        <v>0.12</v>
      </c>
      <c r="C523" s="4" t="n">
        <f aca="true">RAND()</f>
        <v>0.955052957348391</v>
      </c>
      <c r="D523" s="0" t="n">
        <f aca="false">IF((C523&gt;$M$2),1,0)</f>
        <v>1</v>
      </c>
      <c r="E523" s="0" t="n">
        <f aca="false">1-D523</f>
        <v>0</v>
      </c>
      <c r="F523" s="0" t="n">
        <f aca="true">RAND()</f>
        <v>0.000817816447435787</v>
      </c>
      <c r="G523" s="0" t="n">
        <f aca="false">7.75+F523*10</f>
        <v>7.75817816447436</v>
      </c>
      <c r="H523" s="0" t="n">
        <f aca="false">LOGINV(F523,2.64,1.139)</f>
        <v>0.387804598194268</v>
      </c>
      <c r="I523" s="0" t="n">
        <v>19.5</v>
      </c>
      <c r="J523" s="4" t="n">
        <f aca="true">-LN(RAND())/B523</f>
        <v>0.98269311608624</v>
      </c>
      <c r="K523" s="4" t="n">
        <f aca="false">K522+J523</f>
        <v>5026.71269138447</v>
      </c>
      <c r="L523" s="4" t="n">
        <f aca="false">(1/$J$4)*(1+AB522)</f>
        <v>10</v>
      </c>
      <c r="M523" s="4" t="n">
        <f aca="false">L523+MAX(K523,Y$10:Y522)</f>
        <v>5358.82985076217</v>
      </c>
      <c r="N523" s="4" t="n">
        <f aca="false">K523</f>
        <v>5026.71269138447</v>
      </c>
      <c r="O523" s="4" t="n">
        <f aca="false">M523-K523</f>
        <v>332.1171593777</v>
      </c>
      <c r="P523" s="4" t="n">
        <f aca="false">N523-K523</f>
        <v>0</v>
      </c>
      <c r="Q523" s="4" t="n">
        <f aca="false">A523-MATCH(K523,$M$9:M522,1)</f>
        <v>33</v>
      </c>
      <c r="R523" s="0" t="n">
        <f aca="false">-G523*(O523/3600)</f>
        <v>-0.715728914980923</v>
      </c>
      <c r="S523" s="0" t="n">
        <f aca="false">-1*I523-(H523*(P523/3600))</f>
        <v>-19.5</v>
      </c>
      <c r="T523" s="0" t="n">
        <f aca="false">-H523*(O523/3600)</f>
        <v>-0.0357768226516363</v>
      </c>
      <c r="U523" s="0" t="n">
        <f aca="false">T523-S523</f>
        <v>19.4642231773484</v>
      </c>
      <c r="V523" s="0" t="n">
        <f aca="false">1/(1+EXP(U523))</f>
        <v>3.52204806154692E-009</v>
      </c>
      <c r="W523" s="0" t="n">
        <f aca="true">RAND()</f>
        <v>0.648511774698722</v>
      </c>
      <c r="X523" s="0" t="n">
        <f aca="false">IF(W523&lt;V523,1,0)</f>
        <v>0</v>
      </c>
      <c r="Y523" s="0" t="n">
        <f aca="false">(M523*(1-X523)+N523*X523)*D523+M523*E523</f>
        <v>5358.82985076217</v>
      </c>
      <c r="Z523" s="0" t="n">
        <f aca="false">((1-X523)*O523+X523*P523)*D523+E523*O523</f>
        <v>332.1171593777</v>
      </c>
      <c r="AA523" s="0" t="n">
        <f aca="false">IF(D523*X523&gt;0,AA522,Q523)</f>
        <v>33</v>
      </c>
      <c r="AB523" s="0" t="n">
        <f aca="false">(X523*D523)</f>
        <v>0</v>
      </c>
      <c r="AC523" s="0" t="n">
        <f aca="false">SUM(AB$10:AB522)/K523</f>
        <v>0</v>
      </c>
      <c r="AD523" s="0" t="n">
        <f aca="false">R523*E523+D523*(X523*S523+(1-X523)*T523)</f>
        <v>-0.0357768226516363</v>
      </c>
      <c r="AE523" s="0" t="n">
        <f aca="false">Z523</f>
        <v>332.1171593777</v>
      </c>
      <c r="AF523" s="0" t="n">
        <f aca="false">E523*O523</f>
        <v>0</v>
      </c>
      <c r="AG523" s="0" t="n">
        <f aca="false">((1-X523)*O523+X523*P523)*D523</f>
        <v>332.1171593777</v>
      </c>
      <c r="AH523" s="0" t="n">
        <f aca="false">D523*(LN(EXP(S523)+EXP(T523)))</f>
        <v>-0.0357768191295882</v>
      </c>
      <c r="AJ523" s="0" t="n">
        <f aca="false">$J$5</f>
        <v>10</v>
      </c>
      <c r="AK523" s="4" t="n">
        <f aca="false">AJ523+MAX(K523,AK$10:AK522)</f>
        <v>5358.82985076217</v>
      </c>
      <c r="AL523" s="5" t="n">
        <f aca="false">AK523-K523</f>
        <v>332.1171593777</v>
      </c>
      <c r="AM523" s="0" t="n">
        <f aca="false">-G523*AL523/3600</f>
        <v>-0.715728914980923</v>
      </c>
      <c r="AN523" s="0" t="n">
        <f aca="false">-H523*AL523/3600</f>
        <v>-0.0357768226516363</v>
      </c>
      <c r="AO523" s="0" t="n">
        <f aca="false">AM523*E523+AN523*D523</f>
        <v>-0.0357768226516363</v>
      </c>
      <c r="AP523" s="0" t="n">
        <f aca="false">AL523*D523</f>
        <v>332.1171593777</v>
      </c>
      <c r="AR523" s="0" t="n">
        <f aca="false">AN523*D523</f>
        <v>-0.0357768226516363</v>
      </c>
      <c r="AS523" s="0" t="n">
        <f aca="false">AH523-AR523</f>
        <v>3.52204807679835E-009</v>
      </c>
    </row>
    <row r="524" customFormat="false" ht="12" hidden="false" customHeight="false" outlineLevel="0" collapsed="false">
      <c r="A524" s="3" t="n">
        <f aca="false">A523+1</f>
        <v>515</v>
      </c>
      <c r="B524" s="3" t="n">
        <f aca="false">IF(A524&lt;$N$4/3,0.1,(IF(A524&gt;2*$N$4/3,0.05,0.12)))</f>
        <v>0.12</v>
      </c>
      <c r="C524" s="4" t="n">
        <f aca="true">RAND()</f>
        <v>0.852863308005026</v>
      </c>
      <c r="D524" s="0" t="n">
        <f aca="false">IF((C524&gt;$M$2),1,0)</f>
        <v>0</v>
      </c>
      <c r="E524" s="0" t="n">
        <f aca="false">1-D524</f>
        <v>1</v>
      </c>
      <c r="F524" s="0" t="n">
        <f aca="true">RAND()</f>
        <v>0.160294770246012</v>
      </c>
      <c r="G524" s="0" t="n">
        <f aca="false">7.75+F524*10</f>
        <v>9.35294770246012</v>
      </c>
      <c r="H524" s="0" t="n">
        <f aca="false">LOGINV(F524,2.64,1.139)</f>
        <v>4.52081157750848</v>
      </c>
      <c r="I524" s="0" t="n">
        <v>19.5</v>
      </c>
      <c r="J524" s="4" t="n">
        <f aca="true">-LN(RAND())/B524</f>
        <v>2.43769364865981</v>
      </c>
      <c r="K524" s="4" t="n">
        <f aca="false">K523+J524</f>
        <v>5029.15038503313</v>
      </c>
      <c r="L524" s="4" t="n">
        <f aca="false">(1/$J$4)*(1+AB523)</f>
        <v>10</v>
      </c>
      <c r="M524" s="4" t="n">
        <f aca="false">L524+MAX(K524,Y$10:Y523)</f>
        <v>5368.82985076217</v>
      </c>
      <c r="N524" s="4" t="n">
        <f aca="false">K524</f>
        <v>5029.15038503313</v>
      </c>
      <c r="O524" s="4" t="n">
        <f aca="false">M524-K524</f>
        <v>339.67946572904</v>
      </c>
      <c r="P524" s="4" t="n">
        <f aca="false">N524-K524</f>
        <v>0</v>
      </c>
      <c r="Q524" s="4" t="n">
        <f aca="false">A524-MATCH(K524,$M$9:M523,1)</f>
        <v>33</v>
      </c>
      <c r="R524" s="0" t="n">
        <f aca="false">-G524*(O524/3600)</f>
        <v>-0.882501188489808</v>
      </c>
      <c r="S524" s="0" t="n">
        <f aca="false">-1*I524-(H524*(P524/3600))</f>
        <v>-19.5</v>
      </c>
      <c r="T524" s="0" t="n">
        <f aca="false">-H524*(O524/3600)</f>
        <v>-0.426563017030483</v>
      </c>
      <c r="U524" s="0" t="n">
        <f aca="false">T524-S524</f>
        <v>19.0734369829695</v>
      </c>
      <c r="V524" s="0" t="n">
        <f aca="false">1/(1+EXP(U524))</f>
        <v>5.20608872244104E-009</v>
      </c>
      <c r="W524" s="0" t="n">
        <f aca="true">RAND()</f>
        <v>0.126550758785682</v>
      </c>
      <c r="X524" s="0" t="n">
        <f aca="false">IF(W524&lt;V524,1,0)</f>
        <v>0</v>
      </c>
      <c r="Y524" s="0" t="n">
        <f aca="false">(M524*(1-X524)+N524*X524)*D524+M524*E524</f>
        <v>5368.82985076217</v>
      </c>
      <c r="Z524" s="0" t="n">
        <f aca="false">((1-X524)*O524+X524*P524)*D524+E524*O524</f>
        <v>339.67946572904</v>
      </c>
      <c r="AA524" s="0" t="n">
        <f aca="false">IF(D524*X524&gt;0,AA523,Q524)</f>
        <v>33</v>
      </c>
      <c r="AB524" s="0" t="n">
        <f aca="false">(X524*D524)</f>
        <v>0</v>
      </c>
      <c r="AC524" s="0" t="n">
        <f aca="false">SUM(AB$10:AB523)/K524</f>
        <v>0</v>
      </c>
      <c r="AD524" s="0" t="n">
        <f aca="false">R524*E524+D524*(X524*S524+(1-X524)*T524)</f>
        <v>-0.882501188489808</v>
      </c>
      <c r="AE524" s="0" t="n">
        <f aca="false">Z524</f>
        <v>339.67946572904</v>
      </c>
      <c r="AF524" s="0" t="n">
        <f aca="false">E524*O524</f>
        <v>339.67946572904</v>
      </c>
      <c r="AG524" s="0" t="n">
        <f aca="false">((1-X524)*O524+X524*P524)*D524</f>
        <v>0</v>
      </c>
      <c r="AH524" s="0" t="n">
        <f aca="false">D524*(LN(EXP(S524)+EXP(T524)))</f>
        <v>-0</v>
      </c>
      <c r="AJ524" s="0" t="n">
        <f aca="false">$J$5</f>
        <v>10</v>
      </c>
      <c r="AK524" s="4" t="n">
        <f aca="false">AJ524+MAX(K524,AK$10:AK523)</f>
        <v>5368.82985076217</v>
      </c>
      <c r="AL524" s="5" t="n">
        <f aca="false">AK524-K524</f>
        <v>339.67946572904</v>
      </c>
      <c r="AM524" s="0" t="n">
        <f aca="false">-G524*AL524/3600</f>
        <v>-0.882501188489808</v>
      </c>
      <c r="AN524" s="0" t="n">
        <f aca="false">-H524*AL524/3600</f>
        <v>-0.426563017030483</v>
      </c>
      <c r="AO524" s="0" t="n">
        <f aca="false">AM524*E524+AN524*D524</f>
        <v>-0.882501188489808</v>
      </c>
      <c r="AP524" s="0" t="n">
        <f aca="false">AL524*D524</f>
        <v>0</v>
      </c>
      <c r="AR524" s="0" t="n">
        <f aca="false">AN524*D524</f>
        <v>-0</v>
      </c>
      <c r="AS524" s="0" t="n">
        <f aca="false">AH524-AR524</f>
        <v>0</v>
      </c>
    </row>
    <row r="525" customFormat="false" ht="12" hidden="false" customHeight="false" outlineLevel="0" collapsed="false">
      <c r="A525" s="3" t="n">
        <f aca="false">A524+1</f>
        <v>516</v>
      </c>
      <c r="B525" s="3" t="n">
        <f aca="false">IF(A525&lt;$N$4/3,0.1,(IF(A525&gt;2*$N$4/3,0.05,0.12)))</f>
        <v>0.12</v>
      </c>
      <c r="C525" s="4" t="n">
        <f aca="true">RAND()</f>
        <v>0.955835841365185</v>
      </c>
      <c r="D525" s="0" t="n">
        <f aca="false">IF((C525&gt;$M$2),1,0)</f>
        <v>1</v>
      </c>
      <c r="E525" s="0" t="n">
        <f aca="false">1-D525</f>
        <v>0</v>
      </c>
      <c r="F525" s="0" t="n">
        <f aca="true">RAND()</f>
        <v>0.516925249335778</v>
      </c>
      <c r="G525" s="0" t="n">
        <f aca="false">7.75+F525*10</f>
        <v>12.9192524933578</v>
      </c>
      <c r="H525" s="0" t="n">
        <f aca="false">LOGINV(F525,2.64,1.139)</f>
        <v>14.7071964960336</v>
      </c>
      <c r="I525" s="0" t="n">
        <v>19.5</v>
      </c>
      <c r="J525" s="4" t="n">
        <f aca="true">-LN(RAND())/B525</f>
        <v>21.7914966914585</v>
      </c>
      <c r="K525" s="4" t="n">
        <f aca="false">K524+J525</f>
        <v>5050.94188172459</v>
      </c>
      <c r="L525" s="4" t="n">
        <f aca="false">(1/$J$4)*(1+AB524)</f>
        <v>10</v>
      </c>
      <c r="M525" s="4" t="n">
        <f aca="false">L525+MAX(K525,Y$10:Y524)</f>
        <v>5378.82985076217</v>
      </c>
      <c r="N525" s="4" t="n">
        <f aca="false">K525</f>
        <v>5050.94188172459</v>
      </c>
      <c r="O525" s="4" t="n">
        <f aca="false">M525-K525</f>
        <v>327.887969037582</v>
      </c>
      <c r="P525" s="4" t="n">
        <f aca="false">N525-K525</f>
        <v>0</v>
      </c>
      <c r="Q525" s="4" t="n">
        <f aca="false">A525-MATCH(K525,$M$9:M524,1)</f>
        <v>32</v>
      </c>
      <c r="R525" s="0" t="n">
        <f aca="false">-G525*(O525/3600)</f>
        <v>-1.17668540598078</v>
      </c>
      <c r="S525" s="0" t="n">
        <f aca="false">-1*I525-(H525*(P525/3600))</f>
        <v>-19.5</v>
      </c>
      <c r="T525" s="0" t="n">
        <f aca="false">-H525*(O525/3600)</f>
        <v>-1.33953133036697</v>
      </c>
      <c r="U525" s="0" t="n">
        <f aca="false">T525-S525</f>
        <v>18.160468669633</v>
      </c>
      <c r="V525" s="0" t="n">
        <f aca="false">1/(1+EXP(U525))</f>
        <v>1.29720514457083E-008</v>
      </c>
      <c r="W525" s="0" t="n">
        <f aca="true">RAND()</f>
        <v>0.157025429092783</v>
      </c>
      <c r="X525" s="0" t="n">
        <f aca="false">IF(W525&lt;V525,1,0)</f>
        <v>0</v>
      </c>
      <c r="Y525" s="0" t="n">
        <f aca="false">(M525*(1-X525)+N525*X525)*D525+M525*E525</f>
        <v>5378.82985076217</v>
      </c>
      <c r="Z525" s="0" t="n">
        <f aca="false">((1-X525)*O525+X525*P525)*D525+E525*O525</f>
        <v>327.887969037582</v>
      </c>
      <c r="AA525" s="0" t="n">
        <f aca="false">IF(D525*X525&gt;0,AA524,Q525)</f>
        <v>32</v>
      </c>
      <c r="AB525" s="0" t="n">
        <f aca="false">(X525*D525)</f>
        <v>0</v>
      </c>
      <c r="AC525" s="0" t="n">
        <f aca="false">SUM(AB$10:AB524)/K525</f>
        <v>0</v>
      </c>
      <c r="AD525" s="0" t="n">
        <f aca="false">R525*E525+D525*(X525*S525+(1-X525)*T525)</f>
        <v>-1.33953133036697</v>
      </c>
      <c r="AE525" s="0" t="n">
        <f aca="false">Z525</f>
        <v>327.887969037582</v>
      </c>
      <c r="AF525" s="0" t="n">
        <f aca="false">E525*O525</f>
        <v>0</v>
      </c>
      <c r="AG525" s="0" t="n">
        <f aca="false">((1-X525)*O525+X525*P525)*D525</f>
        <v>327.887969037582</v>
      </c>
      <c r="AH525" s="0" t="n">
        <f aca="false">D525*(LN(EXP(S525)+EXP(T525)))</f>
        <v>-1.33953131739492</v>
      </c>
      <c r="AJ525" s="0" t="n">
        <f aca="false">$J$5</f>
        <v>10</v>
      </c>
      <c r="AK525" s="4" t="n">
        <f aca="false">AJ525+MAX(K525,AK$10:AK524)</f>
        <v>5378.82985076217</v>
      </c>
      <c r="AL525" s="5" t="n">
        <f aca="false">AK525-K525</f>
        <v>327.887969037582</v>
      </c>
      <c r="AM525" s="0" t="n">
        <f aca="false">-G525*AL525/3600</f>
        <v>-1.17668540598078</v>
      </c>
      <c r="AN525" s="0" t="n">
        <f aca="false">-H525*AL525/3600</f>
        <v>-1.33953133036697</v>
      </c>
      <c r="AO525" s="0" t="n">
        <f aca="false">AM525*E525+AN525*D525</f>
        <v>-1.33953133036697</v>
      </c>
      <c r="AP525" s="0" t="n">
        <f aca="false">AL525*D525</f>
        <v>327.887969037582</v>
      </c>
      <c r="AR525" s="0" t="n">
        <f aca="false">AN525*D525</f>
        <v>-1.33953133036697</v>
      </c>
      <c r="AS525" s="0" t="n">
        <f aca="false">AH525-AR525</f>
        <v>1.29720518771137E-008</v>
      </c>
    </row>
    <row r="526" customFormat="false" ht="12" hidden="false" customHeight="false" outlineLevel="0" collapsed="false">
      <c r="A526" s="3" t="n">
        <f aca="false">A525+1</f>
        <v>517</v>
      </c>
      <c r="B526" s="3" t="n">
        <f aca="false">IF(A526&lt;$N$4/3,0.1,(IF(A526&gt;2*$N$4/3,0.05,0.12)))</f>
        <v>0.12</v>
      </c>
      <c r="C526" s="4" t="n">
        <f aca="true">RAND()</f>
        <v>0.342413052020718</v>
      </c>
      <c r="D526" s="0" t="n">
        <f aca="false">IF((C526&gt;$M$2),1,0)</f>
        <v>0</v>
      </c>
      <c r="E526" s="0" t="n">
        <f aca="false">1-D526</f>
        <v>1</v>
      </c>
      <c r="F526" s="0" t="n">
        <f aca="true">RAND()</f>
        <v>0.465045120449011</v>
      </c>
      <c r="G526" s="0" t="n">
        <f aca="false">7.75+F526*10</f>
        <v>12.4004512044901</v>
      </c>
      <c r="H526" s="0" t="n">
        <f aca="false">LOGINV(F526,2.64,1.139)</f>
        <v>12.68060991127</v>
      </c>
      <c r="I526" s="0" t="n">
        <v>19.5</v>
      </c>
      <c r="J526" s="4" t="n">
        <f aca="true">-LN(RAND())/B526</f>
        <v>6.7241457517603</v>
      </c>
      <c r="K526" s="4" t="n">
        <f aca="false">K525+J526</f>
        <v>5057.66602747635</v>
      </c>
      <c r="L526" s="4" t="n">
        <f aca="false">(1/$J$4)*(1+AB525)</f>
        <v>10</v>
      </c>
      <c r="M526" s="4" t="n">
        <f aca="false">L526+MAX(K526,Y$10:Y525)</f>
        <v>5388.82985076217</v>
      </c>
      <c r="N526" s="4" t="n">
        <f aca="false">K526</f>
        <v>5057.66602747635</v>
      </c>
      <c r="O526" s="4" t="n">
        <f aca="false">M526-K526</f>
        <v>331.163823285821</v>
      </c>
      <c r="P526" s="4" t="n">
        <f aca="false">N526-K526</f>
        <v>0</v>
      </c>
      <c r="Q526" s="4" t="n">
        <f aca="false">A526-MATCH(K526,$M$9:M525,1)</f>
        <v>33</v>
      </c>
      <c r="R526" s="0" t="n">
        <f aca="false">-G526*(O526/3600)</f>
        <v>-1.14071689759673</v>
      </c>
      <c r="S526" s="0" t="n">
        <f aca="false">-1*I526-(H526*(P526/3600))</f>
        <v>-19.5</v>
      </c>
      <c r="T526" s="0" t="n">
        <f aca="false">-H526*(O526/3600)</f>
        <v>-1.16648868328118</v>
      </c>
      <c r="U526" s="0" t="n">
        <f aca="false">T526-S526</f>
        <v>18.3335113167188</v>
      </c>
      <c r="V526" s="0" t="n">
        <f aca="false">1/(1+EXP(U526))</f>
        <v>1.09108151107852E-008</v>
      </c>
      <c r="W526" s="0" t="n">
        <f aca="true">RAND()</f>
        <v>0.912059760500955</v>
      </c>
      <c r="X526" s="0" t="n">
        <f aca="false">IF(W526&lt;V526,1,0)</f>
        <v>0</v>
      </c>
      <c r="Y526" s="0" t="n">
        <f aca="false">(M526*(1-X526)+N526*X526)*D526+M526*E526</f>
        <v>5388.82985076217</v>
      </c>
      <c r="Z526" s="0" t="n">
        <f aca="false">((1-X526)*O526+X526*P526)*D526+E526*O526</f>
        <v>331.163823285821</v>
      </c>
      <c r="AA526" s="0" t="n">
        <f aca="false">IF(D526*X526&gt;0,AA525,Q526)</f>
        <v>33</v>
      </c>
      <c r="AB526" s="0" t="n">
        <f aca="false">(X526*D526)</f>
        <v>0</v>
      </c>
      <c r="AC526" s="0" t="n">
        <f aca="false">SUM(AB$10:AB525)/K526</f>
        <v>0</v>
      </c>
      <c r="AD526" s="0" t="n">
        <f aca="false">R526*E526+D526*(X526*S526+(1-X526)*T526)</f>
        <v>-1.14071689759673</v>
      </c>
      <c r="AE526" s="0" t="n">
        <f aca="false">Z526</f>
        <v>331.163823285821</v>
      </c>
      <c r="AF526" s="0" t="n">
        <f aca="false">E526*O526</f>
        <v>331.163823285821</v>
      </c>
      <c r="AG526" s="0" t="n">
        <f aca="false">((1-X526)*O526+X526*P526)*D526</f>
        <v>0</v>
      </c>
      <c r="AH526" s="0" t="n">
        <f aca="false">D526*(LN(EXP(S526)+EXP(T526)))</f>
        <v>-0</v>
      </c>
      <c r="AJ526" s="0" t="n">
        <f aca="false">$J$5</f>
        <v>10</v>
      </c>
      <c r="AK526" s="4" t="n">
        <f aca="false">AJ526+MAX(K526,AK$10:AK525)</f>
        <v>5388.82985076217</v>
      </c>
      <c r="AL526" s="5" t="n">
        <f aca="false">AK526-K526</f>
        <v>331.163823285821</v>
      </c>
      <c r="AM526" s="0" t="n">
        <f aca="false">-G526*AL526/3600</f>
        <v>-1.14071689759673</v>
      </c>
      <c r="AN526" s="0" t="n">
        <f aca="false">-H526*AL526/3600</f>
        <v>-1.16648868328118</v>
      </c>
      <c r="AO526" s="0" t="n">
        <f aca="false">AM526*E526+AN526*D526</f>
        <v>-1.14071689759673</v>
      </c>
      <c r="AP526" s="0" t="n">
        <f aca="false">AL526*D526</f>
        <v>0</v>
      </c>
      <c r="AR526" s="0" t="n">
        <f aca="false">AN526*D526</f>
        <v>-0</v>
      </c>
      <c r="AS526" s="0" t="n">
        <f aca="false">AH526-AR526</f>
        <v>0</v>
      </c>
    </row>
    <row r="527" customFormat="false" ht="12" hidden="false" customHeight="false" outlineLevel="0" collapsed="false">
      <c r="A527" s="3" t="n">
        <f aca="false">A526+1</f>
        <v>518</v>
      </c>
      <c r="B527" s="3" t="n">
        <f aca="false">IF(A527&lt;$N$4/3,0.1,(IF(A527&gt;2*$N$4/3,0.05,0.12)))</f>
        <v>0.12</v>
      </c>
      <c r="C527" s="4" t="n">
        <f aca="true">RAND()</f>
        <v>0.221610850931629</v>
      </c>
      <c r="D527" s="0" t="n">
        <f aca="false">IF((C527&gt;$M$2),1,0)</f>
        <v>0</v>
      </c>
      <c r="E527" s="0" t="n">
        <f aca="false">1-D527</f>
        <v>1</v>
      </c>
      <c r="F527" s="0" t="n">
        <f aca="true">RAND()</f>
        <v>0.357188010750198</v>
      </c>
      <c r="G527" s="0" t="n">
        <f aca="false">7.75+F527*10</f>
        <v>11.321880107502</v>
      </c>
      <c r="H527" s="0" t="n">
        <f aca="false">LOGINV(F527,2.64,1.139)</f>
        <v>9.23631233412787</v>
      </c>
      <c r="I527" s="0" t="n">
        <v>19.5</v>
      </c>
      <c r="J527" s="4" t="n">
        <f aca="true">-LN(RAND())/B527</f>
        <v>14.2554015096223</v>
      </c>
      <c r="K527" s="4" t="n">
        <f aca="false">K526+J527</f>
        <v>5071.92142898597</v>
      </c>
      <c r="L527" s="4" t="n">
        <f aca="false">(1/$J$4)*(1+AB526)</f>
        <v>10</v>
      </c>
      <c r="M527" s="4" t="n">
        <f aca="false">L527+MAX(K527,Y$10:Y526)</f>
        <v>5398.82985076217</v>
      </c>
      <c r="N527" s="4" t="n">
        <f aca="false">K527</f>
        <v>5071.92142898597</v>
      </c>
      <c r="O527" s="4" t="n">
        <f aca="false">M527-K527</f>
        <v>326.908421776199</v>
      </c>
      <c r="P527" s="4" t="n">
        <f aca="false">N527-K527</f>
        <v>0</v>
      </c>
      <c r="Q527" s="4" t="n">
        <f aca="false">A527-MATCH(K527,$M$9:M526,1)</f>
        <v>32</v>
      </c>
      <c r="R527" s="0" t="n">
        <f aca="false">-G527*(O527/3600)</f>
        <v>-1.02811609930078</v>
      </c>
      <c r="S527" s="0" t="n">
        <f aca="false">-1*I527-(H527*(P527/3600))</f>
        <v>-19.5</v>
      </c>
      <c r="T527" s="0" t="n">
        <f aca="false">-H527*(O527/3600)</f>
        <v>-0.838730080050496</v>
      </c>
      <c r="U527" s="0" t="n">
        <f aca="false">T527-S527</f>
        <v>18.6612699199495</v>
      </c>
      <c r="V527" s="0" t="n">
        <f aca="false">1/(1+EXP(U527))</f>
        <v>7.86164529135194E-009</v>
      </c>
      <c r="W527" s="0" t="n">
        <f aca="true">RAND()</f>
        <v>0.100845508912262</v>
      </c>
      <c r="X527" s="0" t="n">
        <f aca="false">IF(W527&lt;V527,1,0)</f>
        <v>0</v>
      </c>
      <c r="Y527" s="0" t="n">
        <f aca="false">(M527*(1-X527)+N527*X527)*D527+M527*E527</f>
        <v>5398.82985076217</v>
      </c>
      <c r="Z527" s="0" t="n">
        <f aca="false">((1-X527)*O527+X527*P527)*D527+E527*O527</f>
        <v>326.908421776199</v>
      </c>
      <c r="AA527" s="0" t="n">
        <f aca="false">IF(D527*X527&gt;0,AA526,Q527)</f>
        <v>32</v>
      </c>
      <c r="AB527" s="0" t="n">
        <f aca="false">(X527*D527)</f>
        <v>0</v>
      </c>
      <c r="AC527" s="0" t="n">
        <f aca="false">SUM(AB$10:AB526)/K527</f>
        <v>0</v>
      </c>
      <c r="AD527" s="0" t="n">
        <f aca="false">R527*E527+D527*(X527*S527+(1-X527)*T527)</f>
        <v>-1.02811609930078</v>
      </c>
      <c r="AE527" s="0" t="n">
        <f aca="false">Z527</f>
        <v>326.908421776199</v>
      </c>
      <c r="AF527" s="0" t="n">
        <f aca="false">E527*O527</f>
        <v>326.908421776199</v>
      </c>
      <c r="AG527" s="0" t="n">
        <f aca="false">((1-X527)*O527+X527*P527)*D527</f>
        <v>0</v>
      </c>
      <c r="AH527" s="0" t="n">
        <f aca="false">D527*(LN(EXP(S527)+EXP(T527)))</f>
        <v>-0</v>
      </c>
      <c r="AJ527" s="0" t="n">
        <f aca="false">$J$5</f>
        <v>10</v>
      </c>
      <c r="AK527" s="4" t="n">
        <f aca="false">AJ527+MAX(K527,AK$10:AK526)</f>
        <v>5398.82985076217</v>
      </c>
      <c r="AL527" s="5" t="n">
        <f aca="false">AK527-K527</f>
        <v>326.908421776199</v>
      </c>
      <c r="AM527" s="0" t="n">
        <f aca="false">-G527*AL527/3600</f>
        <v>-1.02811609930078</v>
      </c>
      <c r="AN527" s="0" t="n">
        <f aca="false">-H527*AL527/3600</f>
        <v>-0.838730080050496</v>
      </c>
      <c r="AO527" s="0" t="n">
        <f aca="false">AM527*E527+AN527*D527</f>
        <v>-1.02811609930078</v>
      </c>
      <c r="AP527" s="0" t="n">
        <f aca="false">AL527*D527</f>
        <v>0</v>
      </c>
      <c r="AR527" s="0" t="n">
        <f aca="false">AN527*D527</f>
        <v>-0</v>
      </c>
      <c r="AS527" s="0" t="n">
        <f aca="false">AH527-AR527</f>
        <v>0</v>
      </c>
    </row>
    <row r="528" customFormat="false" ht="12" hidden="false" customHeight="false" outlineLevel="0" collapsed="false">
      <c r="A528" s="3" t="n">
        <f aca="false">A527+1</f>
        <v>519</v>
      </c>
      <c r="B528" s="3" t="n">
        <f aca="false">IF(A528&lt;$N$4/3,0.1,(IF(A528&gt;2*$N$4/3,0.05,0.12)))</f>
        <v>0.12</v>
      </c>
      <c r="C528" s="4" t="n">
        <f aca="true">RAND()</f>
        <v>0.210055990311038</v>
      </c>
      <c r="D528" s="0" t="n">
        <f aca="false">IF((C528&gt;$M$2),1,0)</f>
        <v>0</v>
      </c>
      <c r="E528" s="0" t="n">
        <f aca="false">1-D528</f>
        <v>1</v>
      </c>
      <c r="F528" s="0" t="n">
        <f aca="true">RAND()</f>
        <v>0.155961427223788</v>
      </c>
      <c r="G528" s="0" t="n">
        <f aca="false">7.75+F528*10</f>
        <v>9.30961427223789</v>
      </c>
      <c r="H528" s="0" t="n">
        <f aca="false">LOGINV(F528,2.64,1.139)</f>
        <v>4.42932982015599</v>
      </c>
      <c r="I528" s="0" t="n">
        <v>19.5</v>
      </c>
      <c r="J528" s="4" t="n">
        <f aca="true">-LN(RAND())/B528</f>
        <v>0.906095199001535</v>
      </c>
      <c r="K528" s="4" t="n">
        <f aca="false">K527+J528</f>
        <v>5072.82752418497</v>
      </c>
      <c r="L528" s="4" t="n">
        <f aca="false">(1/$J$4)*(1+AB527)</f>
        <v>10</v>
      </c>
      <c r="M528" s="4" t="n">
        <f aca="false">L528+MAX(K528,Y$10:Y527)</f>
        <v>5408.82985076217</v>
      </c>
      <c r="N528" s="4" t="n">
        <f aca="false">K528</f>
        <v>5072.82752418497</v>
      </c>
      <c r="O528" s="4" t="n">
        <f aca="false">M528-K528</f>
        <v>336.002326577198</v>
      </c>
      <c r="P528" s="4" t="n">
        <f aca="false">N528-K528</f>
        <v>0</v>
      </c>
      <c r="Q528" s="4" t="n">
        <f aca="false">A528-MATCH(K528,$M$9:M527,1)</f>
        <v>33</v>
      </c>
      <c r="R528" s="0" t="n">
        <f aca="false">-G528*(O528/3600)</f>
        <v>-0.868903348613394</v>
      </c>
      <c r="S528" s="0" t="n">
        <f aca="false">-1*I528-(H528*(P528/3600))</f>
        <v>-19.5</v>
      </c>
      <c r="T528" s="0" t="n">
        <f aca="false">-H528*(O528/3600)</f>
        <v>-0.41340697909727</v>
      </c>
      <c r="U528" s="0" t="n">
        <f aca="false">T528-S528</f>
        <v>19.0865930209027</v>
      </c>
      <c r="V528" s="0" t="n">
        <f aca="false">1/(1+EXP(U528))</f>
        <v>5.13804579117985E-009</v>
      </c>
      <c r="W528" s="0" t="n">
        <f aca="true">RAND()</f>
        <v>0.265092860169025</v>
      </c>
      <c r="X528" s="0" t="n">
        <f aca="false">IF(W528&lt;V528,1,0)</f>
        <v>0</v>
      </c>
      <c r="Y528" s="0" t="n">
        <f aca="false">(M528*(1-X528)+N528*X528)*D528+M528*E528</f>
        <v>5408.82985076217</v>
      </c>
      <c r="Z528" s="0" t="n">
        <f aca="false">((1-X528)*O528+X528*P528)*D528+E528*O528</f>
        <v>336.002326577198</v>
      </c>
      <c r="AA528" s="0" t="n">
        <f aca="false">IF(D528*X528&gt;0,AA527,Q528)</f>
        <v>33</v>
      </c>
      <c r="AB528" s="0" t="n">
        <f aca="false">(X528*D528)</f>
        <v>0</v>
      </c>
      <c r="AC528" s="0" t="n">
        <f aca="false">SUM(AB$10:AB527)/K528</f>
        <v>0</v>
      </c>
      <c r="AD528" s="0" t="n">
        <f aca="false">R528*E528+D528*(X528*S528+(1-X528)*T528)</f>
        <v>-0.868903348613394</v>
      </c>
      <c r="AE528" s="0" t="n">
        <f aca="false">Z528</f>
        <v>336.002326577198</v>
      </c>
      <c r="AF528" s="0" t="n">
        <f aca="false">E528*O528</f>
        <v>336.002326577198</v>
      </c>
      <c r="AG528" s="0" t="n">
        <f aca="false">((1-X528)*O528+X528*P528)*D528</f>
        <v>0</v>
      </c>
      <c r="AH528" s="0" t="n">
        <f aca="false">D528*(LN(EXP(S528)+EXP(T528)))</f>
        <v>-0</v>
      </c>
      <c r="AJ528" s="0" t="n">
        <f aca="false">$J$5</f>
        <v>10</v>
      </c>
      <c r="AK528" s="4" t="n">
        <f aca="false">AJ528+MAX(K528,AK$10:AK527)</f>
        <v>5408.82985076217</v>
      </c>
      <c r="AL528" s="5" t="n">
        <f aca="false">AK528-K528</f>
        <v>336.002326577198</v>
      </c>
      <c r="AM528" s="0" t="n">
        <f aca="false">-G528*AL528/3600</f>
        <v>-0.868903348613394</v>
      </c>
      <c r="AN528" s="0" t="n">
        <f aca="false">-H528*AL528/3600</f>
        <v>-0.41340697909727</v>
      </c>
      <c r="AO528" s="0" t="n">
        <f aca="false">AM528*E528+AN528*D528</f>
        <v>-0.868903348613394</v>
      </c>
      <c r="AP528" s="0" t="n">
        <f aca="false">AL528*D528</f>
        <v>0</v>
      </c>
      <c r="AR528" s="0" t="n">
        <f aca="false">AN528*D528</f>
        <v>-0</v>
      </c>
      <c r="AS528" s="0" t="n">
        <f aca="false">AH528-AR528</f>
        <v>0</v>
      </c>
    </row>
    <row r="529" customFormat="false" ht="12" hidden="false" customHeight="false" outlineLevel="0" collapsed="false">
      <c r="A529" s="3" t="n">
        <f aca="false">A528+1</f>
        <v>520</v>
      </c>
      <c r="B529" s="3" t="n">
        <f aca="false">IF(A529&lt;$N$4/3,0.1,(IF(A529&gt;2*$N$4/3,0.05,0.12)))</f>
        <v>0.12</v>
      </c>
      <c r="C529" s="4" t="n">
        <f aca="true">RAND()</f>
        <v>0.611930349031898</v>
      </c>
      <c r="D529" s="0" t="n">
        <f aca="false">IF((C529&gt;$M$2),1,0)</f>
        <v>0</v>
      </c>
      <c r="E529" s="0" t="n">
        <f aca="false">1-D529</f>
        <v>1</v>
      </c>
      <c r="F529" s="0" t="n">
        <f aca="true">RAND()</f>
        <v>0.653512670487831</v>
      </c>
      <c r="G529" s="0" t="n">
        <f aca="false">7.75+F529*10</f>
        <v>14.2851267048783</v>
      </c>
      <c r="H529" s="0" t="n">
        <f aca="false">LOGINV(F529,2.64,1.139)</f>
        <v>21.9705218396581</v>
      </c>
      <c r="I529" s="0" t="n">
        <v>19.5</v>
      </c>
      <c r="J529" s="4" t="n">
        <f aca="true">-LN(RAND())/B529</f>
        <v>5.10537731708917</v>
      </c>
      <c r="K529" s="4" t="n">
        <f aca="false">K528+J529</f>
        <v>5077.93290150206</v>
      </c>
      <c r="L529" s="4" t="n">
        <f aca="false">(1/$J$4)*(1+AB528)</f>
        <v>10</v>
      </c>
      <c r="M529" s="4" t="n">
        <f aca="false">L529+MAX(K529,Y$10:Y528)</f>
        <v>5418.82985076217</v>
      </c>
      <c r="N529" s="4" t="n">
        <f aca="false">K529</f>
        <v>5077.93290150206</v>
      </c>
      <c r="O529" s="4" t="n">
        <f aca="false">M529-K529</f>
        <v>340.896949260109</v>
      </c>
      <c r="P529" s="4" t="n">
        <f aca="false">N529-K529</f>
        <v>0</v>
      </c>
      <c r="Q529" s="4" t="n">
        <f aca="false">A529-MATCH(K529,$M$9:M528,1)</f>
        <v>34</v>
      </c>
      <c r="R529" s="0" t="n">
        <f aca="false">-G529*(O529/3600)</f>
        <v>-1.3527100315242</v>
      </c>
      <c r="S529" s="0" t="n">
        <f aca="false">-1*I529-(H529*(P529/3600))</f>
        <v>-19.5</v>
      </c>
      <c r="T529" s="0" t="n">
        <f aca="false">-H529*(O529/3600)</f>
        <v>-2.08046774133113</v>
      </c>
      <c r="U529" s="0" t="n">
        <f aca="false">T529-S529</f>
        <v>17.4195322586689</v>
      </c>
      <c r="V529" s="0" t="n">
        <f aca="false">1/(1+EXP(U529))</f>
        <v>2.72140545449338E-008</v>
      </c>
      <c r="W529" s="0" t="n">
        <f aca="true">RAND()</f>
        <v>0.260044436044336</v>
      </c>
      <c r="X529" s="0" t="n">
        <f aca="false">IF(W529&lt;V529,1,0)</f>
        <v>0</v>
      </c>
      <c r="Y529" s="0" t="n">
        <f aca="false">(M529*(1-X529)+N529*X529)*D529+M529*E529</f>
        <v>5418.82985076217</v>
      </c>
      <c r="Z529" s="0" t="n">
        <f aca="false">((1-X529)*O529+X529*P529)*D529+E529*O529</f>
        <v>340.896949260109</v>
      </c>
      <c r="AA529" s="0" t="n">
        <f aca="false">IF(D529*X529&gt;0,AA528,Q529)</f>
        <v>34</v>
      </c>
      <c r="AB529" s="0" t="n">
        <f aca="false">(X529*D529)</f>
        <v>0</v>
      </c>
      <c r="AC529" s="0" t="n">
        <f aca="false">SUM(AB$10:AB528)/K529</f>
        <v>0</v>
      </c>
      <c r="AD529" s="0" t="n">
        <f aca="false">R529*E529+D529*(X529*S529+(1-X529)*T529)</f>
        <v>-1.3527100315242</v>
      </c>
      <c r="AE529" s="0" t="n">
        <f aca="false">Z529</f>
        <v>340.896949260109</v>
      </c>
      <c r="AF529" s="0" t="n">
        <f aca="false">E529*O529</f>
        <v>340.896949260109</v>
      </c>
      <c r="AG529" s="0" t="n">
        <f aca="false">((1-X529)*O529+X529*P529)*D529</f>
        <v>0</v>
      </c>
      <c r="AH529" s="0" t="n">
        <f aca="false">D529*(LN(EXP(S529)+EXP(T529)))</f>
        <v>-0</v>
      </c>
      <c r="AJ529" s="0" t="n">
        <f aca="false">$J$5</f>
        <v>10</v>
      </c>
      <c r="AK529" s="4" t="n">
        <f aca="false">AJ529+MAX(K529,AK$10:AK528)</f>
        <v>5418.82985076217</v>
      </c>
      <c r="AL529" s="5" t="n">
        <f aca="false">AK529-K529</f>
        <v>340.896949260109</v>
      </c>
      <c r="AM529" s="0" t="n">
        <f aca="false">-G529*AL529/3600</f>
        <v>-1.3527100315242</v>
      </c>
      <c r="AN529" s="0" t="n">
        <f aca="false">-H529*AL529/3600</f>
        <v>-2.08046774133113</v>
      </c>
      <c r="AO529" s="0" t="n">
        <f aca="false">AM529*E529+AN529*D529</f>
        <v>-1.3527100315242</v>
      </c>
      <c r="AP529" s="0" t="n">
        <f aca="false">AL529*D529</f>
        <v>0</v>
      </c>
      <c r="AR529" s="0" t="n">
        <f aca="false">AN529*D529</f>
        <v>-0</v>
      </c>
      <c r="AS529" s="0" t="n">
        <f aca="false">AH529-AR529</f>
        <v>0</v>
      </c>
    </row>
    <row r="530" customFormat="false" ht="12" hidden="false" customHeight="false" outlineLevel="0" collapsed="false">
      <c r="A530" s="3" t="n">
        <f aca="false">A529+1</f>
        <v>521</v>
      </c>
      <c r="B530" s="3" t="n">
        <f aca="false">IF(A530&lt;$N$4/3,0.1,(IF(A530&gt;2*$N$4/3,0.05,0.12)))</f>
        <v>0.12</v>
      </c>
      <c r="C530" s="4" t="n">
        <f aca="true">RAND()</f>
        <v>0.535145156933793</v>
      </c>
      <c r="D530" s="0" t="n">
        <f aca="false">IF((C530&gt;$M$2),1,0)</f>
        <v>0</v>
      </c>
      <c r="E530" s="0" t="n">
        <f aca="false">1-D530</f>
        <v>1</v>
      </c>
      <c r="F530" s="0" t="n">
        <f aca="true">RAND()</f>
        <v>0.631282689986968</v>
      </c>
      <c r="G530" s="0" t="n">
        <f aca="false">7.75+F530*10</f>
        <v>14.0628268998697</v>
      </c>
      <c r="H530" s="0" t="n">
        <f aca="false">LOGINV(F530,2.64,1.139)</f>
        <v>20.5292890426922</v>
      </c>
      <c r="I530" s="0" t="n">
        <v>19.5</v>
      </c>
      <c r="J530" s="4" t="n">
        <f aca="true">-LN(RAND())/B530</f>
        <v>11.247107789019</v>
      </c>
      <c r="K530" s="4" t="n">
        <f aca="false">K529+J530</f>
        <v>5089.18000929108</v>
      </c>
      <c r="L530" s="4" t="n">
        <f aca="false">(1/$J$4)*(1+AB529)</f>
        <v>10</v>
      </c>
      <c r="M530" s="4" t="n">
        <f aca="false">L530+MAX(K530,Y$10:Y529)</f>
        <v>5428.82985076217</v>
      </c>
      <c r="N530" s="4" t="n">
        <f aca="false">K530</f>
        <v>5089.18000929108</v>
      </c>
      <c r="O530" s="4" t="n">
        <f aca="false">M530-K530</f>
        <v>339.64984147109</v>
      </c>
      <c r="P530" s="4" t="n">
        <f aca="false">N530-K530</f>
        <v>0</v>
      </c>
      <c r="Q530" s="4" t="n">
        <f aca="false">A530-MATCH(K530,$M$9:M529,1)</f>
        <v>33</v>
      </c>
      <c r="R530" s="0" t="n">
        <f aca="false">-G530*(O530/3600)</f>
        <v>-1.3267880353267</v>
      </c>
      <c r="S530" s="0" t="n">
        <f aca="false">-1*I530-(H530*(P530/3600))</f>
        <v>-19.5</v>
      </c>
      <c r="T530" s="0" t="n">
        <f aca="false">-H530*(O530/3600)</f>
        <v>-1.93688049135128</v>
      </c>
      <c r="U530" s="0" t="n">
        <f aca="false">T530-S530</f>
        <v>17.5631195086487</v>
      </c>
      <c r="V530" s="0" t="n">
        <f aca="false">1/(1+EXP(U530))</f>
        <v>2.3574044670869E-008</v>
      </c>
      <c r="W530" s="0" t="n">
        <f aca="true">RAND()</f>
        <v>0.737738763035446</v>
      </c>
      <c r="X530" s="0" t="n">
        <f aca="false">IF(W530&lt;V530,1,0)</f>
        <v>0</v>
      </c>
      <c r="Y530" s="0" t="n">
        <f aca="false">(M530*(1-X530)+N530*X530)*D530+M530*E530</f>
        <v>5428.82985076217</v>
      </c>
      <c r="Z530" s="0" t="n">
        <f aca="false">((1-X530)*O530+X530*P530)*D530+E530*O530</f>
        <v>339.64984147109</v>
      </c>
      <c r="AA530" s="0" t="n">
        <f aca="false">IF(D530*X530&gt;0,AA529,Q530)</f>
        <v>33</v>
      </c>
      <c r="AB530" s="0" t="n">
        <f aca="false">(X530*D530)</f>
        <v>0</v>
      </c>
      <c r="AC530" s="0" t="n">
        <f aca="false">SUM(AB$10:AB529)/K530</f>
        <v>0</v>
      </c>
      <c r="AD530" s="0" t="n">
        <f aca="false">R530*E530+D530*(X530*S530+(1-X530)*T530)</f>
        <v>-1.3267880353267</v>
      </c>
      <c r="AE530" s="0" t="n">
        <f aca="false">Z530</f>
        <v>339.64984147109</v>
      </c>
      <c r="AF530" s="0" t="n">
        <f aca="false">E530*O530</f>
        <v>339.64984147109</v>
      </c>
      <c r="AG530" s="0" t="n">
        <f aca="false">((1-X530)*O530+X530*P530)*D530</f>
        <v>0</v>
      </c>
      <c r="AH530" s="0" t="n">
        <f aca="false">D530*(LN(EXP(S530)+EXP(T530)))</f>
        <v>-0</v>
      </c>
      <c r="AJ530" s="0" t="n">
        <f aca="false">$J$5</f>
        <v>10</v>
      </c>
      <c r="AK530" s="4" t="n">
        <f aca="false">AJ530+MAX(K530,AK$10:AK529)</f>
        <v>5428.82985076217</v>
      </c>
      <c r="AL530" s="5" t="n">
        <f aca="false">AK530-K530</f>
        <v>339.64984147109</v>
      </c>
      <c r="AM530" s="0" t="n">
        <f aca="false">-G530*AL530/3600</f>
        <v>-1.3267880353267</v>
      </c>
      <c r="AN530" s="0" t="n">
        <f aca="false">-H530*AL530/3600</f>
        <v>-1.93688049135128</v>
      </c>
      <c r="AO530" s="0" t="n">
        <f aca="false">AM530*E530+AN530*D530</f>
        <v>-1.3267880353267</v>
      </c>
      <c r="AP530" s="0" t="n">
        <f aca="false">AL530*D530</f>
        <v>0</v>
      </c>
      <c r="AR530" s="0" t="n">
        <f aca="false">AN530*D530</f>
        <v>-0</v>
      </c>
      <c r="AS530" s="0" t="n">
        <f aca="false">AH530-AR530</f>
        <v>0</v>
      </c>
    </row>
    <row r="531" customFormat="false" ht="12" hidden="false" customHeight="false" outlineLevel="0" collapsed="false">
      <c r="A531" s="3" t="n">
        <f aca="false">A530+1</f>
        <v>522</v>
      </c>
      <c r="B531" s="3" t="n">
        <f aca="false">IF(A531&lt;$N$4/3,0.1,(IF(A531&gt;2*$N$4/3,0.05,0.12)))</f>
        <v>0.12</v>
      </c>
      <c r="C531" s="4" t="n">
        <f aca="true">RAND()</f>
        <v>0.877739582767714</v>
      </c>
      <c r="D531" s="0" t="n">
        <f aca="false">IF((C531&gt;$M$2),1,0)</f>
        <v>0</v>
      </c>
      <c r="E531" s="0" t="n">
        <f aca="false">1-D531</f>
        <v>1</v>
      </c>
      <c r="F531" s="0" t="n">
        <f aca="true">RAND()</f>
        <v>0.451986174211271</v>
      </c>
      <c r="G531" s="0" t="n">
        <f aca="false">7.75+F531*10</f>
        <v>12.2698617421127</v>
      </c>
      <c r="H531" s="0" t="n">
        <f aca="false">LOGINV(F531,2.64,1.139)</f>
        <v>12.2140328397018</v>
      </c>
      <c r="I531" s="0" t="n">
        <v>19.5</v>
      </c>
      <c r="J531" s="4" t="n">
        <f aca="true">-LN(RAND())/B531</f>
        <v>0.889770286599917</v>
      </c>
      <c r="K531" s="4" t="n">
        <f aca="false">K530+J531</f>
        <v>5090.06977957768</v>
      </c>
      <c r="L531" s="4" t="n">
        <f aca="false">(1/$J$4)*(1+AB530)</f>
        <v>10</v>
      </c>
      <c r="M531" s="4" t="n">
        <f aca="false">L531+MAX(K531,Y$10:Y530)</f>
        <v>5438.82985076217</v>
      </c>
      <c r="N531" s="4" t="n">
        <f aca="false">K531</f>
        <v>5090.06977957768</v>
      </c>
      <c r="O531" s="4" t="n">
        <f aca="false">M531-K531</f>
        <v>348.760071184491</v>
      </c>
      <c r="P531" s="4" t="n">
        <f aca="false">N531-K531</f>
        <v>0</v>
      </c>
      <c r="Q531" s="4" t="n">
        <f aca="false">A531-MATCH(K531,$M$9:M530,1)</f>
        <v>34</v>
      </c>
      <c r="R531" s="0" t="n">
        <f aca="false">-G531*(O531/3600)</f>
        <v>-1.18867718183419</v>
      </c>
      <c r="S531" s="0" t="n">
        <f aca="false">-1*I531-(H531*(P531/3600))</f>
        <v>-19.5</v>
      </c>
      <c r="T531" s="0" t="n">
        <f aca="false">-H531*(O531/3600)</f>
        <v>-1.18326860072891</v>
      </c>
      <c r="U531" s="0" t="n">
        <f aca="false">T531-S531</f>
        <v>18.3167313992711</v>
      </c>
      <c r="V531" s="0" t="n">
        <f aca="false">1/(1+EXP(U531))</f>
        <v>1.10954423686358E-008</v>
      </c>
      <c r="W531" s="0" t="n">
        <f aca="true">RAND()</f>
        <v>0.336095882647258</v>
      </c>
      <c r="X531" s="0" t="n">
        <f aca="false">IF(W531&lt;V531,1,0)</f>
        <v>0</v>
      </c>
      <c r="Y531" s="0" t="n">
        <f aca="false">(M531*(1-X531)+N531*X531)*D531+M531*E531</f>
        <v>5438.82985076217</v>
      </c>
      <c r="Z531" s="0" t="n">
        <f aca="false">((1-X531)*O531+X531*P531)*D531+E531*O531</f>
        <v>348.760071184491</v>
      </c>
      <c r="AA531" s="0" t="n">
        <f aca="false">IF(D531*X531&gt;0,AA530,Q531)</f>
        <v>34</v>
      </c>
      <c r="AB531" s="0" t="n">
        <f aca="false">(X531*D531)</f>
        <v>0</v>
      </c>
      <c r="AC531" s="0" t="n">
        <f aca="false">SUM(AB$10:AB530)/K531</f>
        <v>0</v>
      </c>
      <c r="AD531" s="0" t="n">
        <f aca="false">R531*E531+D531*(X531*S531+(1-X531)*T531)</f>
        <v>-1.18867718183419</v>
      </c>
      <c r="AE531" s="0" t="n">
        <f aca="false">Z531</f>
        <v>348.760071184491</v>
      </c>
      <c r="AF531" s="0" t="n">
        <f aca="false">E531*O531</f>
        <v>348.760071184491</v>
      </c>
      <c r="AG531" s="0" t="n">
        <f aca="false">((1-X531)*O531+X531*P531)*D531</f>
        <v>0</v>
      </c>
      <c r="AH531" s="0" t="n">
        <f aca="false">D531*(LN(EXP(S531)+EXP(T531)))</f>
        <v>-0</v>
      </c>
      <c r="AJ531" s="0" t="n">
        <f aca="false">$J$5</f>
        <v>10</v>
      </c>
      <c r="AK531" s="4" t="n">
        <f aca="false">AJ531+MAX(K531,AK$10:AK530)</f>
        <v>5438.82985076217</v>
      </c>
      <c r="AL531" s="5" t="n">
        <f aca="false">AK531-K531</f>
        <v>348.760071184491</v>
      </c>
      <c r="AM531" s="0" t="n">
        <f aca="false">-G531*AL531/3600</f>
        <v>-1.18867718183419</v>
      </c>
      <c r="AN531" s="0" t="n">
        <f aca="false">-H531*AL531/3600</f>
        <v>-1.18326860072891</v>
      </c>
      <c r="AO531" s="0" t="n">
        <f aca="false">AM531*E531+AN531*D531</f>
        <v>-1.18867718183419</v>
      </c>
      <c r="AP531" s="0" t="n">
        <f aca="false">AL531*D531</f>
        <v>0</v>
      </c>
      <c r="AR531" s="0" t="n">
        <f aca="false">AN531*D531</f>
        <v>-0</v>
      </c>
      <c r="AS531" s="0" t="n">
        <f aca="false">AH531-AR531</f>
        <v>0</v>
      </c>
    </row>
    <row r="532" customFormat="false" ht="12" hidden="false" customHeight="false" outlineLevel="0" collapsed="false">
      <c r="A532" s="3" t="n">
        <f aca="false">A531+1</f>
        <v>523</v>
      </c>
      <c r="B532" s="3" t="n">
        <f aca="false">IF(A532&lt;$N$4/3,0.1,(IF(A532&gt;2*$N$4/3,0.05,0.12)))</f>
        <v>0.12</v>
      </c>
      <c r="C532" s="4" t="n">
        <f aca="true">RAND()</f>
        <v>0.96167677296446</v>
      </c>
      <c r="D532" s="0" t="n">
        <f aca="false">IF((C532&gt;$M$2),1,0)</f>
        <v>1</v>
      </c>
      <c r="E532" s="0" t="n">
        <f aca="false">1-D532</f>
        <v>0</v>
      </c>
      <c r="F532" s="0" t="n">
        <f aca="true">RAND()</f>
        <v>0.43357956341258</v>
      </c>
      <c r="G532" s="0" t="n">
        <f aca="false">7.75+F532*10</f>
        <v>12.0857956341258</v>
      </c>
      <c r="H532" s="0" t="n">
        <f aca="false">LOGINV(F532,2.64,1.139)</f>
        <v>11.5823416714769</v>
      </c>
      <c r="I532" s="0" t="n">
        <v>19.5</v>
      </c>
      <c r="J532" s="4" t="n">
        <f aca="true">-LN(RAND())/B532</f>
        <v>0.510902540921825</v>
      </c>
      <c r="K532" s="4" t="n">
        <f aca="false">K531+J532</f>
        <v>5090.5806821186</v>
      </c>
      <c r="L532" s="4" t="n">
        <f aca="false">(1/$J$4)*(1+AB531)</f>
        <v>10</v>
      </c>
      <c r="M532" s="4" t="n">
        <f aca="false">L532+MAX(K532,Y$10:Y531)</f>
        <v>5448.82985076217</v>
      </c>
      <c r="N532" s="4" t="n">
        <f aca="false">K532</f>
        <v>5090.5806821186</v>
      </c>
      <c r="O532" s="4" t="n">
        <f aca="false">M532-K532</f>
        <v>358.249168643569</v>
      </c>
      <c r="P532" s="4" t="n">
        <f aca="false">N532-K532</f>
        <v>0</v>
      </c>
      <c r="Q532" s="4" t="n">
        <f aca="false">A532-MATCH(K532,$M$9:M531,1)</f>
        <v>35</v>
      </c>
      <c r="R532" s="0" t="n">
        <f aca="false">-G532*(O532/3600)</f>
        <v>-1.20270173286712</v>
      </c>
      <c r="S532" s="0" t="n">
        <f aca="false">-1*I532-(H532*(P532/3600))</f>
        <v>-19.5</v>
      </c>
      <c r="T532" s="0" t="n">
        <f aca="false">-H532*(O532/3600)</f>
        <v>-1.15260118743121</v>
      </c>
      <c r="U532" s="0" t="n">
        <f aca="false">T532-S532</f>
        <v>18.3473988125688</v>
      </c>
      <c r="V532" s="0" t="n">
        <f aca="false">1/(1+EXP(U532))</f>
        <v>1.07603385029125E-008</v>
      </c>
      <c r="W532" s="0" t="n">
        <f aca="true">RAND()</f>
        <v>0.270144916380872</v>
      </c>
      <c r="X532" s="0" t="n">
        <f aca="false">IF(W532&lt;V532,1,0)</f>
        <v>0</v>
      </c>
      <c r="Y532" s="0" t="n">
        <f aca="false">(M532*(1-X532)+N532*X532)*D532+M532*E532</f>
        <v>5448.82985076217</v>
      </c>
      <c r="Z532" s="0" t="n">
        <f aca="false">((1-X532)*O532+X532*P532)*D532+E532*O532</f>
        <v>358.249168643569</v>
      </c>
      <c r="AA532" s="0" t="n">
        <f aca="false">IF(D532*X532&gt;0,AA531,Q532)</f>
        <v>35</v>
      </c>
      <c r="AB532" s="0" t="n">
        <f aca="false">(X532*D532)</f>
        <v>0</v>
      </c>
      <c r="AC532" s="0" t="n">
        <f aca="false">SUM(AB$10:AB531)/K532</f>
        <v>0</v>
      </c>
      <c r="AD532" s="0" t="n">
        <f aca="false">R532*E532+D532*(X532*S532+(1-X532)*T532)</f>
        <v>-1.15260118743121</v>
      </c>
      <c r="AE532" s="0" t="n">
        <f aca="false">Z532</f>
        <v>358.249168643569</v>
      </c>
      <c r="AF532" s="0" t="n">
        <f aca="false">E532*O532</f>
        <v>0</v>
      </c>
      <c r="AG532" s="0" t="n">
        <f aca="false">((1-X532)*O532+X532*P532)*D532</f>
        <v>358.249168643569</v>
      </c>
      <c r="AH532" s="0" t="n">
        <f aca="false">D532*(LN(EXP(S532)+EXP(T532)))</f>
        <v>-1.15260117667088</v>
      </c>
      <c r="AJ532" s="0" t="n">
        <f aca="false">$J$5</f>
        <v>10</v>
      </c>
      <c r="AK532" s="4" t="n">
        <f aca="false">AJ532+MAX(K532,AK$10:AK531)</f>
        <v>5448.82985076217</v>
      </c>
      <c r="AL532" s="5" t="n">
        <f aca="false">AK532-K532</f>
        <v>358.249168643569</v>
      </c>
      <c r="AM532" s="0" t="n">
        <f aca="false">-G532*AL532/3600</f>
        <v>-1.20270173286712</v>
      </c>
      <c r="AN532" s="0" t="n">
        <f aca="false">-H532*AL532/3600</f>
        <v>-1.15260118743121</v>
      </c>
      <c r="AO532" s="0" t="n">
        <f aca="false">AM532*E532+AN532*D532</f>
        <v>-1.15260118743121</v>
      </c>
      <c r="AP532" s="0" t="n">
        <f aca="false">AL532*D532</f>
        <v>358.249168643569</v>
      </c>
      <c r="AR532" s="0" t="n">
        <f aca="false">AN532*D532</f>
        <v>-1.15260118743121</v>
      </c>
      <c r="AS532" s="0" t="n">
        <f aca="false">AH532-AR532</f>
        <v>1.07603386201305E-008</v>
      </c>
    </row>
    <row r="533" customFormat="false" ht="12" hidden="false" customHeight="false" outlineLevel="0" collapsed="false">
      <c r="A533" s="3" t="n">
        <f aca="false">A532+1</f>
        <v>524</v>
      </c>
      <c r="B533" s="3" t="n">
        <f aca="false">IF(A533&lt;$N$4/3,0.1,(IF(A533&gt;2*$N$4/3,0.05,0.12)))</f>
        <v>0.12</v>
      </c>
      <c r="C533" s="4" t="n">
        <f aca="true">RAND()</f>
        <v>0.185988583120593</v>
      </c>
      <c r="D533" s="0" t="n">
        <f aca="false">IF((C533&gt;$M$2),1,0)</f>
        <v>0</v>
      </c>
      <c r="E533" s="0" t="n">
        <f aca="false">1-D533</f>
        <v>1</v>
      </c>
      <c r="F533" s="0" t="n">
        <f aca="true">RAND()</f>
        <v>0.31249254274572</v>
      </c>
      <c r="G533" s="0" t="n">
        <f aca="false">7.75+F533*10</f>
        <v>10.8749254274572</v>
      </c>
      <c r="H533" s="0" t="n">
        <f aca="false">LOGINV(F533,2.64,1.139)</f>
        <v>8.03060345697181</v>
      </c>
      <c r="I533" s="0" t="n">
        <v>19.5</v>
      </c>
      <c r="J533" s="4" t="n">
        <f aca="true">-LN(RAND())/B533</f>
        <v>2.52859480375068</v>
      </c>
      <c r="K533" s="4" t="n">
        <f aca="false">K532+J533</f>
        <v>5093.10927692235</v>
      </c>
      <c r="L533" s="4" t="n">
        <f aca="false">(1/$J$4)*(1+AB532)</f>
        <v>10</v>
      </c>
      <c r="M533" s="4" t="n">
        <f aca="false">L533+MAX(K533,Y$10:Y532)</f>
        <v>5458.82985076217</v>
      </c>
      <c r="N533" s="4" t="n">
        <f aca="false">K533</f>
        <v>5093.10927692235</v>
      </c>
      <c r="O533" s="4" t="n">
        <f aca="false">M533-K533</f>
        <v>365.720573839818</v>
      </c>
      <c r="P533" s="4" t="n">
        <f aca="false">N533-K533</f>
        <v>0</v>
      </c>
      <c r="Q533" s="4" t="n">
        <f aca="false">A533-MATCH(K533,$M$9:M532,1)</f>
        <v>36</v>
      </c>
      <c r="R533" s="0" t="n">
        <f aca="false">-G533*(O533/3600)</f>
        <v>-1.10477332438747</v>
      </c>
      <c r="S533" s="0" t="n">
        <f aca="false">-1*I533-(H533*(P533/3600))</f>
        <v>-19.5</v>
      </c>
      <c r="T533" s="0" t="n">
        <f aca="false">-H533*(O533/3600)</f>
        <v>-0.815821362378821</v>
      </c>
      <c r="U533" s="0" t="n">
        <f aca="false">T533-S533</f>
        <v>18.6841786376212</v>
      </c>
      <c r="V533" s="0" t="n">
        <f aca="false">1/(1+EXP(U533))</f>
        <v>7.68359234952795E-009</v>
      </c>
      <c r="W533" s="0" t="n">
        <f aca="true">RAND()</f>
        <v>0.560418333525267</v>
      </c>
      <c r="X533" s="0" t="n">
        <f aca="false">IF(W533&lt;V533,1,0)</f>
        <v>0</v>
      </c>
      <c r="Y533" s="0" t="n">
        <f aca="false">(M533*(1-X533)+N533*X533)*D533+M533*E533</f>
        <v>5458.82985076217</v>
      </c>
      <c r="Z533" s="0" t="n">
        <f aca="false">((1-X533)*O533+X533*P533)*D533+E533*O533</f>
        <v>365.720573839818</v>
      </c>
      <c r="AA533" s="0" t="n">
        <f aca="false">IF(D533*X533&gt;0,AA532,Q533)</f>
        <v>36</v>
      </c>
      <c r="AB533" s="0" t="n">
        <f aca="false">(X533*D533)</f>
        <v>0</v>
      </c>
      <c r="AC533" s="0" t="n">
        <f aca="false">SUM(AB$10:AB532)/K533</f>
        <v>0</v>
      </c>
      <c r="AD533" s="0" t="n">
        <f aca="false">R533*E533+D533*(X533*S533+(1-X533)*T533)</f>
        <v>-1.10477332438747</v>
      </c>
      <c r="AE533" s="0" t="n">
        <f aca="false">Z533</f>
        <v>365.720573839818</v>
      </c>
      <c r="AF533" s="0" t="n">
        <f aca="false">E533*O533</f>
        <v>365.720573839818</v>
      </c>
      <c r="AG533" s="0" t="n">
        <f aca="false">((1-X533)*O533+X533*P533)*D533</f>
        <v>0</v>
      </c>
      <c r="AH533" s="0" t="n">
        <f aca="false">D533*(LN(EXP(S533)+EXP(T533)))</f>
        <v>-0</v>
      </c>
      <c r="AJ533" s="0" t="n">
        <f aca="false">$J$5</f>
        <v>10</v>
      </c>
      <c r="AK533" s="4" t="n">
        <f aca="false">AJ533+MAX(K533,AK$10:AK532)</f>
        <v>5458.82985076217</v>
      </c>
      <c r="AL533" s="5" t="n">
        <f aca="false">AK533-K533</f>
        <v>365.720573839818</v>
      </c>
      <c r="AM533" s="0" t="n">
        <f aca="false">-G533*AL533/3600</f>
        <v>-1.10477332438747</v>
      </c>
      <c r="AN533" s="0" t="n">
        <f aca="false">-H533*AL533/3600</f>
        <v>-0.815821362378821</v>
      </c>
      <c r="AO533" s="0" t="n">
        <f aca="false">AM533*E533+AN533*D533</f>
        <v>-1.10477332438747</v>
      </c>
      <c r="AP533" s="0" t="n">
        <f aca="false">AL533*D533</f>
        <v>0</v>
      </c>
      <c r="AR533" s="0" t="n">
        <f aca="false">AN533*D533</f>
        <v>-0</v>
      </c>
      <c r="AS533" s="0" t="n">
        <f aca="false">AH533-AR533</f>
        <v>0</v>
      </c>
    </row>
    <row r="534" customFormat="false" ht="12" hidden="false" customHeight="false" outlineLevel="0" collapsed="false">
      <c r="A534" s="3" t="n">
        <f aca="false">A533+1</f>
        <v>525</v>
      </c>
      <c r="B534" s="3" t="n">
        <f aca="false">IF(A534&lt;$N$4/3,0.1,(IF(A534&gt;2*$N$4/3,0.05,0.12)))</f>
        <v>0.12</v>
      </c>
      <c r="C534" s="4" t="n">
        <f aca="true">RAND()</f>
        <v>0.0798285964394657</v>
      </c>
      <c r="D534" s="0" t="n">
        <f aca="false">IF((C534&gt;$M$2),1,0)</f>
        <v>0</v>
      </c>
      <c r="E534" s="0" t="n">
        <f aca="false">1-D534</f>
        <v>1</v>
      </c>
      <c r="F534" s="0" t="n">
        <f aca="true">RAND()</f>
        <v>0.522224884962392</v>
      </c>
      <c r="G534" s="0" t="n">
        <f aca="false">7.75+F534*10</f>
        <v>12.9722488496239</v>
      </c>
      <c r="H534" s="0" t="n">
        <f aca="false">LOGINV(F534,2.64,1.139)</f>
        <v>14.9316930812573</v>
      </c>
      <c r="I534" s="0" t="n">
        <v>19.5</v>
      </c>
      <c r="J534" s="4" t="n">
        <f aca="true">-LN(RAND())/B534</f>
        <v>1.27466425762861</v>
      </c>
      <c r="K534" s="4" t="n">
        <f aca="false">K533+J534</f>
        <v>5094.38394117998</v>
      </c>
      <c r="L534" s="4" t="n">
        <f aca="false">(1/$J$4)*(1+AB533)</f>
        <v>10</v>
      </c>
      <c r="M534" s="4" t="n">
        <f aca="false">L534+MAX(K534,Y$10:Y533)</f>
        <v>5468.82985076217</v>
      </c>
      <c r="N534" s="4" t="n">
        <f aca="false">K534</f>
        <v>5094.38394117998</v>
      </c>
      <c r="O534" s="4" t="n">
        <f aca="false">M534-K534</f>
        <v>374.445909582189</v>
      </c>
      <c r="P534" s="4" t="n">
        <f aca="false">N534-K534</f>
        <v>0</v>
      </c>
      <c r="Q534" s="4" t="n">
        <f aca="false">A534-MATCH(K534,$M$9:M533,1)</f>
        <v>37</v>
      </c>
      <c r="R534" s="0" t="n">
        <f aca="false">-G534*(O534/3600)</f>
        <v>-1.3492793110622</v>
      </c>
      <c r="S534" s="0" t="n">
        <f aca="false">-1*I534-(H534*(P534/3600))</f>
        <v>-19.5</v>
      </c>
      <c r="T534" s="0" t="n">
        <f aca="false">-H534*(O534/3600)</f>
        <v>-1.55308649928152</v>
      </c>
      <c r="U534" s="0" t="n">
        <f aca="false">T534-S534</f>
        <v>17.9469135007185</v>
      </c>
      <c r="V534" s="0" t="n">
        <f aca="false">1/(1+EXP(U534))</f>
        <v>1.60603310264941E-008</v>
      </c>
      <c r="W534" s="0" t="n">
        <f aca="true">RAND()</f>
        <v>0.39525799097727</v>
      </c>
      <c r="X534" s="0" t="n">
        <f aca="false">IF(W534&lt;V534,1,0)</f>
        <v>0</v>
      </c>
      <c r="Y534" s="0" t="n">
        <f aca="false">(M534*(1-X534)+N534*X534)*D534+M534*E534</f>
        <v>5468.82985076217</v>
      </c>
      <c r="Z534" s="0" t="n">
        <f aca="false">((1-X534)*O534+X534*P534)*D534+E534*O534</f>
        <v>374.445909582189</v>
      </c>
      <c r="AA534" s="0" t="n">
        <f aca="false">IF(D534*X534&gt;0,AA533,Q534)</f>
        <v>37</v>
      </c>
      <c r="AB534" s="0" t="n">
        <f aca="false">(X534*D534)</f>
        <v>0</v>
      </c>
      <c r="AC534" s="0" t="n">
        <f aca="false">SUM(AB$10:AB533)/K534</f>
        <v>0</v>
      </c>
      <c r="AD534" s="0" t="n">
        <f aca="false">R534*E534+D534*(X534*S534+(1-X534)*T534)</f>
        <v>-1.3492793110622</v>
      </c>
      <c r="AE534" s="0" t="n">
        <f aca="false">Z534</f>
        <v>374.445909582189</v>
      </c>
      <c r="AF534" s="0" t="n">
        <f aca="false">E534*O534</f>
        <v>374.445909582189</v>
      </c>
      <c r="AG534" s="0" t="n">
        <f aca="false">((1-X534)*O534+X534*P534)*D534</f>
        <v>0</v>
      </c>
      <c r="AH534" s="0" t="n">
        <f aca="false">D534*(LN(EXP(S534)+EXP(T534)))</f>
        <v>-0</v>
      </c>
      <c r="AJ534" s="0" t="n">
        <f aca="false">$J$5</f>
        <v>10</v>
      </c>
      <c r="AK534" s="4" t="n">
        <f aca="false">AJ534+MAX(K534,AK$10:AK533)</f>
        <v>5468.82985076217</v>
      </c>
      <c r="AL534" s="5" t="n">
        <f aca="false">AK534-K534</f>
        <v>374.445909582189</v>
      </c>
      <c r="AM534" s="0" t="n">
        <f aca="false">-G534*AL534/3600</f>
        <v>-1.3492793110622</v>
      </c>
      <c r="AN534" s="0" t="n">
        <f aca="false">-H534*AL534/3600</f>
        <v>-1.55308649928152</v>
      </c>
      <c r="AO534" s="0" t="n">
        <f aca="false">AM534*E534+AN534*D534</f>
        <v>-1.3492793110622</v>
      </c>
      <c r="AP534" s="0" t="n">
        <f aca="false">AL534*D534</f>
        <v>0</v>
      </c>
      <c r="AR534" s="0" t="n">
        <f aca="false">AN534*D534</f>
        <v>-0</v>
      </c>
      <c r="AS534" s="0" t="n">
        <f aca="false">AH534-AR534</f>
        <v>0</v>
      </c>
    </row>
    <row r="535" customFormat="false" ht="12" hidden="false" customHeight="false" outlineLevel="0" collapsed="false">
      <c r="A535" s="3" t="n">
        <f aca="false">A534+1</f>
        <v>526</v>
      </c>
      <c r="B535" s="3" t="n">
        <f aca="false">IF(A535&lt;$N$4/3,0.1,(IF(A535&gt;2*$N$4/3,0.05,0.12)))</f>
        <v>0.12</v>
      </c>
      <c r="C535" s="4" t="n">
        <f aca="true">RAND()</f>
        <v>0.182378515387793</v>
      </c>
      <c r="D535" s="0" t="n">
        <f aca="false">IF((C535&gt;$M$2),1,0)</f>
        <v>0</v>
      </c>
      <c r="E535" s="0" t="n">
        <f aca="false">1-D535</f>
        <v>1</v>
      </c>
      <c r="F535" s="0" t="n">
        <f aca="true">RAND()</f>
        <v>0.362032249220764</v>
      </c>
      <c r="G535" s="0" t="n">
        <f aca="false">7.75+F535*10</f>
        <v>11.3703224922076</v>
      </c>
      <c r="H535" s="0" t="n">
        <f aca="false">LOGINV(F535,2.64,1.139)</f>
        <v>9.37359435067623</v>
      </c>
      <c r="I535" s="0" t="n">
        <v>19.5</v>
      </c>
      <c r="J535" s="4" t="n">
        <f aca="true">-LN(RAND())/B535</f>
        <v>6.37840760017138</v>
      </c>
      <c r="K535" s="4" t="n">
        <f aca="false">K534+J535</f>
        <v>5100.76234878015</v>
      </c>
      <c r="L535" s="4" t="n">
        <f aca="false">(1/$J$4)*(1+AB534)</f>
        <v>10</v>
      </c>
      <c r="M535" s="4" t="n">
        <f aca="false">L535+MAX(K535,Y$10:Y534)</f>
        <v>5478.82985076217</v>
      </c>
      <c r="N535" s="4" t="n">
        <f aca="false">K535</f>
        <v>5100.76234878015</v>
      </c>
      <c r="O535" s="4" t="n">
        <f aca="false">M535-K535</f>
        <v>378.067501982018</v>
      </c>
      <c r="P535" s="4" t="n">
        <f aca="false">N535-K535</f>
        <v>0</v>
      </c>
      <c r="Q535" s="4" t="n">
        <f aca="false">A535-MATCH(K535,$M$9:M534,1)</f>
        <v>37</v>
      </c>
      <c r="R535" s="0" t="n">
        <f aca="false">-G535*(O535/3600)</f>
        <v>-1.19409706148858</v>
      </c>
      <c r="S535" s="0" t="n">
        <f aca="false">-1*I535-(H535*(P535/3600))</f>
        <v>-19.5</v>
      </c>
      <c r="T535" s="0" t="n">
        <f aca="false">-H535*(O535/3600)</f>
        <v>-0.984403166875811</v>
      </c>
      <c r="U535" s="0" t="n">
        <f aca="false">T535-S535</f>
        <v>18.5155968331242</v>
      </c>
      <c r="V535" s="0" t="n">
        <f aca="false">1/(1+EXP(U535))</f>
        <v>9.09449235634854E-009</v>
      </c>
      <c r="W535" s="0" t="n">
        <f aca="true">RAND()</f>
        <v>0.642832381560794</v>
      </c>
      <c r="X535" s="0" t="n">
        <f aca="false">IF(W535&lt;V535,1,0)</f>
        <v>0</v>
      </c>
      <c r="Y535" s="0" t="n">
        <f aca="false">(M535*(1-X535)+N535*X535)*D535+M535*E535</f>
        <v>5478.82985076217</v>
      </c>
      <c r="Z535" s="0" t="n">
        <f aca="false">((1-X535)*O535+X535*P535)*D535+E535*O535</f>
        <v>378.067501982018</v>
      </c>
      <c r="AA535" s="0" t="n">
        <f aca="false">IF(D535*X535&gt;0,AA534,Q535)</f>
        <v>37</v>
      </c>
      <c r="AB535" s="0" t="n">
        <f aca="false">(X535*D535)</f>
        <v>0</v>
      </c>
      <c r="AC535" s="0" t="n">
        <f aca="false">SUM(AB$10:AB534)/K535</f>
        <v>0</v>
      </c>
      <c r="AD535" s="0" t="n">
        <f aca="false">R535*E535+D535*(X535*S535+(1-X535)*T535)</f>
        <v>-1.19409706148858</v>
      </c>
      <c r="AE535" s="0" t="n">
        <f aca="false">Z535</f>
        <v>378.067501982018</v>
      </c>
      <c r="AF535" s="0" t="n">
        <f aca="false">E535*O535</f>
        <v>378.067501982018</v>
      </c>
      <c r="AG535" s="0" t="n">
        <f aca="false">((1-X535)*O535+X535*P535)*D535</f>
        <v>0</v>
      </c>
      <c r="AH535" s="0" t="n">
        <f aca="false">D535*(LN(EXP(S535)+EXP(T535)))</f>
        <v>-0</v>
      </c>
      <c r="AJ535" s="0" t="n">
        <f aca="false">$J$5</f>
        <v>10</v>
      </c>
      <c r="AK535" s="4" t="n">
        <f aca="false">AJ535+MAX(K535,AK$10:AK534)</f>
        <v>5478.82985076217</v>
      </c>
      <c r="AL535" s="5" t="n">
        <f aca="false">AK535-K535</f>
        <v>378.067501982018</v>
      </c>
      <c r="AM535" s="0" t="n">
        <f aca="false">-G535*AL535/3600</f>
        <v>-1.19409706148858</v>
      </c>
      <c r="AN535" s="0" t="n">
        <f aca="false">-H535*AL535/3600</f>
        <v>-0.984403166875811</v>
      </c>
      <c r="AO535" s="0" t="n">
        <f aca="false">AM535*E535+AN535*D535</f>
        <v>-1.19409706148858</v>
      </c>
      <c r="AP535" s="0" t="n">
        <f aca="false">AL535*D535</f>
        <v>0</v>
      </c>
      <c r="AR535" s="0" t="n">
        <f aca="false">AN535*D535</f>
        <v>-0</v>
      </c>
      <c r="AS535" s="0" t="n">
        <f aca="false">AH535-AR535</f>
        <v>0</v>
      </c>
    </row>
    <row r="536" customFormat="false" ht="12" hidden="false" customHeight="false" outlineLevel="0" collapsed="false">
      <c r="A536" s="3" t="n">
        <f aca="false">A535+1</f>
        <v>527</v>
      </c>
      <c r="B536" s="3" t="n">
        <f aca="false">IF(A536&lt;$N$4/3,0.1,(IF(A536&gt;2*$N$4/3,0.05,0.12)))</f>
        <v>0.12</v>
      </c>
      <c r="C536" s="4" t="n">
        <f aca="true">RAND()</f>
        <v>0.0638279767657147</v>
      </c>
      <c r="D536" s="0" t="n">
        <f aca="false">IF((C536&gt;$M$2),1,0)</f>
        <v>0</v>
      </c>
      <c r="E536" s="0" t="n">
        <f aca="false">1-D536</f>
        <v>1</v>
      </c>
      <c r="F536" s="0" t="n">
        <f aca="true">RAND()</f>
        <v>0.417796980109639</v>
      </c>
      <c r="G536" s="0" t="n">
        <f aca="false">7.75+F536*10</f>
        <v>11.9279698010964</v>
      </c>
      <c r="H536" s="0" t="n">
        <f aca="false">LOGINV(F536,2.64,1.139)</f>
        <v>11.0631570658779</v>
      </c>
      <c r="I536" s="0" t="n">
        <v>19.5</v>
      </c>
      <c r="J536" s="4" t="n">
        <f aca="true">-LN(RAND())/B536</f>
        <v>17.2620399219017</v>
      </c>
      <c r="K536" s="4" t="n">
        <f aca="false">K535+J536</f>
        <v>5118.02438870205</v>
      </c>
      <c r="L536" s="4" t="n">
        <f aca="false">(1/$J$4)*(1+AB535)</f>
        <v>10</v>
      </c>
      <c r="M536" s="4" t="n">
        <f aca="false">L536+MAX(K536,Y$10:Y535)</f>
        <v>5488.82985076217</v>
      </c>
      <c r="N536" s="4" t="n">
        <f aca="false">K536</f>
        <v>5118.02438870205</v>
      </c>
      <c r="O536" s="4" t="n">
        <f aca="false">M536-K536</f>
        <v>370.805462060117</v>
      </c>
      <c r="P536" s="4" t="n">
        <f aca="false">N536-K536</f>
        <v>0</v>
      </c>
      <c r="Q536" s="4" t="n">
        <f aca="false">A536-MATCH(K536,$M$9:M535,1)</f>
        <v>37</v>
      </c>
      <c r="R536" s="0" t="n">
        <f aca="false">-G536*(O536/3600)</f>
        <v>-1.22859898709296</v>
      </c>
      <c r="S536" s="0" t="n">
        <f aca="false">-1*I536-(H536*(P536/3600))</f>
        <v>-19.5</v>
      </c>
      <c r="T536" s="0" t="n">
        <f aca="false">-H536*(O536/3600)</f>
        <v>-1.13952196323791</v>
      </c>
      <c r="U536" s="0" t="n">
        <f aca="false">T536-S536</f>
        <v>18.3604780367621</v>
      </c>
      <c r="V536" s="0" t="n">
        <f aca="false">1/(1+EXP(U536))</f>
        <v>1.06205179898572E-008</v>
      </c>
      <c r="W536" s="0" t="n">
        <f aca="true">RAND()</f>
        <v>0.85305002072529</v>
      </c>
      <c r="X536" s="0" t="n">
        <f aca="false">IF(W536&lt;V536,1,0)</f>
        <v>0</v>
      </c>
      <c r="Y536" s="0" t="n">
        <f aca="false">(M536*(1-X536)+N536*X536)*D536+M536*E536</f>
        <v>5488.82985076217</v>
      </c>
      <c r="Z536" s="0" t="n">
        <f aca="false">((1-X536)*O536+X536*P536)*D536+E536*O536</f>
        <v>370.805462060117</v>
      </c>
      <c r="AA536" s="0" t="n">
        <f aca="false">IF(D536*X536&gt;0,AA535,Q536)</f>
        <v>37</v>
      </c>
      <c r="AB536" s="0" t="n">
        <f aca="false">(X536*D536)</f>
        <v>0</v>
      </c>
      <c r="AC536" s="0" t="n">
        <f aca="false">SUM(AB$10:AB535)/K536</f>
        <v>0</v>
      </c>
      <c r="AD536" s="0" t="n">
        <f aca="false">R536*E536+D536*(X536*S536+(1-X536)*T536)</f>
        <v>-1.22859898709296</v>
      </c>
      <c r="AE536" s="0" t="n">
        <f aca="false">Z536</f>
        <v>370.805462060117</v>
      </c>
      <c r="AF536" s="0" t="n">
        <f aca="false">E536*O536</f>
        <v>370.805462060117</v>
      </c>
      <c r="AG536" s="0" t="n">
        <f aca="false">((1-X536)*O536+X536*P536)*D536</f>
        <v>0</v>
      </c>
      <c r="AH536" s="0" t="n">
        <f aca="false">D536*(LN(EXP(S536)+EXP(T536)))</f>
        <v>-0</v>
      </c>
      <c r="AJ536" s="0" t="n">
        <f aca="false">$J$5</f>
        <v>10</v>
      </c>
      <c r="AK536" s="4" t="n">
        <f aca="false">AJ536+MAX(K536,AK$10:AK535)</f>
        <v>5488.82985076217</v>
      </c>
      <c r="AL536" s="5" t="n">
        <f aca="false">AK536-K536</f>
        <v>370.805462060117</v>
      </c>
      <c r="AM536" s="0" t="n">
        <f aca="false">-G536*AL536/3600</f>
        <v>-1.22859898709296</v>
      </c>
      <c r="AN536" s="0" t="n">
        <f aca="false">-H536*AL536/3600</f>
        <v>-1.13952196323792</v>
      </c>
      <c r="AO536" s="0" t="n">
        <f aca="false">AM536*E536+AN536*D536</f>
        <v>-1.22859898709296</v>
      </c>
      <c r="AP536" s="0" t="n">
        <f aca="false">AL536*D536</f>
        <v>0</v>
      </c>
      <c r="AR536" s="0" t="n">
        <f aca="false">AN536*D536</f>
        <v>-0</v>
      </c>
      <c r="AS536" s="0" t="n">
        <f aca="false">AH536-AR536</f>
        <v>0</v>
      </c>
    </row>
    <row r="537" customFormat="false" ht="12" hidden="false" customHeight="false" outlineLevel="0" collapsed="false">
      <c r="A537" s="3" t="n">
        <f aca="false">A536+1</f>
        <v>528</v>
      </c>
      <c r="B537" s="3" t="n">
        <f aca="false">IF(A537&lt;$N$4/3,0.1,(IF(A537&gt;2*$N$4/3,0.05,0.12)))</f>
        <v>0.12</v>
      </c>
      <c r="C537" s="4" t="n">
        <f aca="true">RAND()</f>
        <v>0.181601586659742</v>
      </c>
      <c r="D537" s="0" t="n">
        <f aca="false">IF((C537&gt;$M$2),1,0)</f>
        <v>0</v>
      </c>
      <c r="E537" s="0" t="n">
        <f aca="false">1-D537</f>
        <v>1</v>
      </c>
      <c r="F537" s="0" t="n">
        <f aca="true">RAND()</f>
        <v>0.986240109420121</v>
      </c>
      <c r="G537" s="0" t="n">
        <f aca="false">7.75+F537*10</f>
        <v>17.6124010942012</v>
      </c>
      <c r="H537" s="0" t="n">
        <f aca="false">LOGINV(F537,2.64,1.139)</f>
        <v>172.505635481917</v>
      </c>
      <c r="I537" s="0" t="n">
        <v>19.5</v>
      </c>
      <c r="J537" s="4" t="n">
        <f aca="true">-LN(RAND())/B537</f>
        <v>0.933314983947026</v>
      </c>
      <c r="K537" s="4" t="n">
        <f aca="false">K536+J537</f>
        <v>5118.957703686</v>
      </c>
      <c r="L537" s="4" t="n">
        <f aca="false">(1/$J$4)*(1+AB536)</f>
        <v>10</v>
      </c>
      <c r="M537" s="4" t="n">
        <f aca="false">L537+MAX(K537,Y$10:Y536)</f>
        <v>5498.82985076217</v>
      </c>
      <c r="N537" s="4" t="n">
        <f aca="false">K537</f>
        <v>5118.957703686</v>
      </c>
      <c r="O537" s="4" t="n">
        <f aca="false">M537-K537</f>
        <v>379.87214707617</v>
      </c>
      <c r="P537" s="4" t="n">
        <f aca="false">N537-K537</f>
        <v>0</v>
      </c>
      <c r="Q537" s="4" t="n">
        <f aca="false">A537-MATCH(K537,$M$9:M536,1)</f>
        <v>37</v>
      </c>
      <c r="R537" s="0" t="n">
        <f aca="false">-G537*(O537/3600)</f>
        <v>-1.85846128300581</v>
      </c>
      <c r="S537" s="0" t="n">
        <f aca="false">-1*I537-(H537*(P537/3600))</f>
        <v>-19.5</v>
      </c>
      <c r="T537" s="0" t="n">
        <f aca="false">-H537*(O537/3600)</f>
        <v>-18.2028017036819</v>
      </c>
      <c r="U537" s="0" t="n">
        <f aca="false">T537-S537</f>
        <v>1.29719829631807</v>
      </c>
      <c r="V537" s="0" t="n">
        <f aca="false">1/(1+EXP(U537))</f>
        <v>0.214636916699626</v>
      </c>
      <c r="W537" s="0" t="n">
        <f aca="true">RAND()</f>
        <v>0.0825335132644617</v>
      </c>
      <c r="X537" s="0" t="n">
        <f aca="false">IF(W537&lt;V537,1,0)</f>
        <v>1</v>
      </c>
      <c r="Y537" s="0" t="n">
        <f aca="false">(M537*(1-X537)+N537*X537)*D537+M537*E537</f>
        <v>5498.82985076217</v>
      </c>
      <c r="Z537" s="0" t="n">
        <f aca="false">((1-X537)*O537+X537*P537)*D537+E537*O537</f>
        <v>379.87214707617</v>
      </c>
      <c r="AA537" s="0" t="n">
        <f aca="false">IF(D537*X537&gt;0,AA536,Q537)</f>
        <v>37</v>
      </c>
      <c r="AB537" s="0" t="n">
        <f aca="false">(X537*D537)</f>
        <v>0</v>
      </c>
      <c r="AC537" s="0" t="n">
        <f aca="false">SUM(AB$10:AB536)/K537</f>
        <v>0</v>
      </c>
      <c r="AD537" s="0" t="n">
        <f aca="false">R537*E537+D537*(X537*S537+(1-X537)*T537)</f>
        <v>-1.85846128300581</v>
      </c>
      <c r="AE537" s="0" t="n">
        <f aca="false">Z537</f>
        <v>379.87214707617</v>
      </c>
      <c r="AF537" s="0" t="n">
        <f aca="false">E537*O537</f>
        <v>379.87214707617</v>
      </c>
      <c r="AG537" s="0" t="n">
        <f aca="false">((1-X537)*O537+X537*P537)*D537</f>
        <v>0</v>
      </c>
      <c r="AH537" s="0" t="n">
        <f aca="false">D537*(LN(EXP(S537)+EXP(T537)))</f>
        <v>-0</v>
      </c>
      <c r="AJ537" s="0" t="n">
        <f aca="false">$J$5</f>
        <v>10</v>
      </c>
      <c r="AK537" s="4" t="n">
        <f aca="false">AJ537+MAX(K537,AK$10:AK536)</f>
        <v>5498.82985076217</v>
      </c>
      <c r="AL537" s="5" t="n">
        <f aca="false">AK537-K537</f>
        <v>379.87214707617</v>
      </c>
      <c r="AM537" s="0" t="n">
        <f aca="false">-G537*AL537/3600</f>
        <v>-1.85846128300581</v>
      </c>
      <c r="AN537" s="0" t="n">
        <f aca="false">-H537*AL537/3600</f>
        <v>-18.2028017036819</v>
      </c>
      <c r="AO537" s="0" t="n">
        <f aca="false">AM537*E537+AN537*D537</f>
        <v>-1.85846128300581</v>
      </c>
      <c r="AP537" s="0" t="n">
        <f aca="false">AL537*D537</f>
        <v>0</v>
      </c>
      <c r="AR537" s="0" t="n">
        <f aca="false">AN537*D537</f>
        <v>-0</v>
      </c>
      <c r="AS537" s="0" t="n">
        <f aca="false">AH537-AR537</f>
        <v>0</v>
      </c>
    </row>
    <row r="538" customFormat="false" ht="12" hidden="false" customHeight="false" outlineLevel="0" collapsed="false">
      <c r="A538" s="3" t="n">
        <f aca="false">A537+1</f>
        <v>529</v>
      </c>
      <c r="B538" s="3" t="n">
        <f aca="false">IF(A538&lt;$N$4/3,0.1,(IF(A538&gt;2*$N$4/3,0.05,0.12)))</f>
        <v>0.12</v>
      </c>
      <c r="C538" s="4" t="n">
        <f aca="true">RAND()</f>
        <v>0.851924741316924</v>
      </c>
      <c r="D538" s="0" t="n">
        <f aca="false">IF((C538&gt;$M$2),1,0)</f>
        <v>0</v>
      </c>
      <c r="E538" s="0" t="n">
        <f aca="false">1-D538</f>
        <v>1</v>
      </c>
      <c r="F538" s="0" t="n">
        <f aca="true">RAND()</f>
        <v>0.451246084665669</v>
      </c>
      <c r="G538" s="0" t="n">
        <f aca="false">7.75+F538*10</f>
        <v>12.2624608466567</v>
      </c>
      <c r="H538" s="0" t="n">
        <f aca="false">LOGINV(F538,2.64,1.139)</f>
        <v>12.1880608819235</v>
      </c>
      <c r="I538" s="0" t="n">
        <v>19.5</v>
      </c>
      <c r="J538" s="4" t="n">
        <f aca="true">-LN(RAND())/B538</f>
        <v>9.4217344944789</v>
      </c>
      <c r="K538" s="4" t="n">
        <f aca="false">K537+J538</f>
        <v>5128.37943818048</v>
      </c>
      <c r="L538" s="4" t="n">
        <f aca="false">(1/$J$4)*(1+AB537)</f>
        <v>10</v>
      </c>
      <c r="M538" s="4" t="n">
        <f aca="false">L538+MAX(K538,Y$10:Y537)</f>
        <v>5508.82985076217</v>
      </c>
      <c r="N538" s="4" t="n">
        <f aca="false">K538</f>
        <v>5128.37943818048</v>
      </c>
      <c r="O538" s="4" t="n">
        <f aca="false">M538-K538</f>
        <v>380.450412581691</v>
      </c>
      <c r="P538" s="4" t="n">
        <f aca="false">N538-K538</f>
        <v>0</v>
      </c>
      <c r="Q538" s="4" t="n">
        <f aca="false">A538-MATCH(K538,$M$9:M537,1)</f>
        <v>38</v>
      </c>
      <c r="R538" s="0" t="n">
        <f aca="false">-G538*(O538/3600)</f>
        <v>-1.29590508010483</v>
      </c>
      <c r="S538" s="0" t="n">
        <f aca="false">-1*I538-(H538*(P538/3600))</f>
        <v>-19.5</v>
      </c>
      <c r="T538" s="0" t="n">
        <f aca="false">-H538*(O538/3600)</f>
        <v>-1.28804244197182</v>
      </c>
      <c r="U538" s="0" t="n">
        <f aca="false">T538-S538</f>
        <v>18.2119575580282</v>
      </c>
      <c r="V538" s="0" t="n">
        <f aca="false">1/(1+EXP(U538))</f>
        <v>1.23210387244053E-008</v>
      </c>
      <c r="W538" s="0" t="n">
        <f aca="true">RAND()</f>
        <v>0.527120842499374</v>
      </c>
      <c r="X538" s="0" t="n">
        <f aca="false">IF(W538&lt;V538,1,0)</f>
        <v>0</v>
      </c>
      <c r="Y538" s="0" t="n">
        <f aca="false">(M538*(1-X538)+N538*X538)*D538+M538*E538</f>
        <v>5508.82985076217</v>
      </c>
      <c r="Z538" s="0" t="n">
        <f aca="false">((1-X538)*O538+X538*P538)*D538+E538*O538</f>
        <v>380.450412581691</v>
      </c>
      <c r="AA538" s="0" t="n">
        <f aca="false">IF(D538*X538&gt;0,AA537,Q538)</f>
        <v>38</v>
      </c>
      <c r="AB538" s="0" t="n">
        <f aca="false">(X538*D538)</f>
        <v>0</v>
      </c>
      <c r="AC538" s="0" t="n">
        <f aca="false">SUM(AB$10:AB537)/K538</f>
        <v>0</v>
      </c>
      <c r="AD538" s="0" t="n">
        <f aca="false">R538*E538+D538*(X538*S538+(1-X538)*T538)</f>
        <v>-1.29590508010483</v>
      </c>
      <c r="AE538" s="0" t="n">
        <f aca="false">Z538</f>
        <v>380.450412581691</v>
      </c>
      <c r="AF538" s="0" t="n">
        <f aca="false">E538*O538</f>
        <v>380.450412581691</v>
      </c>
      <c r="AG538" s="0" t="n">
        <f aca="false">((1-X538)*O538+X538*P538)*D538</f>
        <v>0</v>
      </c>
      <c r="AH538" s="0" t="n">
        <f aca="false">D538*(LN(EXP(S538)+EXP(T538)))</f>
        <v>-0</v>
      </c>
      <c r="AJ538" s="0" t="n">
        <f aca="false">$J$5</f>
        <v>10</v>
      </c>
      <c r="AK538" s="4" t="n">
        <f aca="false">AJ538+MAX(K538,AK$10:AK537)</f>
        <v>5508.82985076217</v>
      </c>
      <c r="AL538" s="5" t="n">
        <f aca="false">AK538-K538</f>
        <v>380.450412581691</v>
      </c>
      <c r="AM538" s="0" t="n">
        <f aca="false">-G538*AL538/3600</f>
        <v>-1.29590508010483</v>
      </c>
      <c r="AN538" s="0" t="n">
        <f aca="false">-H538*AL538/3600</f>
        <v>-1.28804244197182</v>
      </c>
      <c r="AO538" s="0" t="n">
        <f aca="false">AM538*E538+AN538*D538</f>
        <v>-1.29590508010483</v>
      </c>
      <c r="AP538" s="0" t="n">
        <f aca="false">AL538*D538</f>
        <v>0</v>
      </c>
      <c r="AR538" s="0" t="n">
        <f aca="false">AN538*D538</f>
        <v>-0</v>
      </c>
      <c r="AS538" s="0" t="n">
        <f aca="false">AH538-AR538</f>
        <v>0</v>
      </c>
    </row>
    <row r="539" customFormat="false" ht="12" hidden="false" customHeight="false" outlineLevel="0" collapsed="false">
      <c r="A539" s="3" t="n">
        <f aca="false">A538+1</f>
        <v>530</v>
      </c>
      <c r="B539" s="3" t="n">
        <f aca="false">IF(A539&lt;$N$4/3,0.1,(IF(A539&gt;2*$N$4/3,0.05,0.12)))</f>
        <v>0.12</v>
      </c>
      <c r="C539" s="4" t="n">
        <f aca="true">RAND()</f>
        <v>0.500947126243262</v>
      </c>
      <c r="D539" s="0" t="n">
        <f aca="false">IF((C539&gt;$M$2),1,0)</f>
        <v>0</v>
      </c>
      <c r="E539" s="0" t="n">
        <f aca="false">1-D539</f>
        <v>1</v>
      </c>
      <c r="F539" s="0" t="n">
        <f aca="true">RAND()</f>
        <v>0.59726594832005</v>
      </c>
      <c r="G539" s="0" t="n">
        <f aca="false">7.75+F539*10</f>
        <v>13.7226594832005</v>
      </c>
      <c r="H539" s="0" t="n">
        <f aca="false">LOGINV(F539,2.64,1.139)</f>
        <v>18.5507287842172</v>
      </c>
      <c r="I539" s="0" t="n">
        <v>19.5</v>
      </c>
      <c r="J539" s="4" t="n">
        <f aca="true">-LN(RAND())/B539</f>
        <v>6.98509452218829</v>
      </c>
      <c r="K539" s="4" t="n">
        <f aca="false">K538+J539</f>
        <v>5135.36453270267</v>
      </c>
      <c r="L539" s="4" t="n">
        <f aca="false">(1/$J$4)*(1+AB538)</f>
        <v>10</v>
      </c>
      <c r="M539" s="4" t="n">
        <f aca="false">L539+MAX(K539,Y$10:Y538)</f>
        <v>5518.82985076217</v>
      </c>
      <c r="N539" s="4" t="n">
        <f aca="false">K539</f>
        <v>5135.36453270267</v>
      </c>
      <c r="O539" s="4" t="n">
        <f aca="false">M539-K539</f>
        <v>383.465318059503</v>
      </c>
      <c r="P539" s="4" t="n">
        <f aca="false">N539-K539</f>
        <v>0</v>
      </c>
      <c r="Q539" s="4" t="n">
        <f aca="false">A539-MATCH(K539,$M$9:M538,1)</f>
        <v>38</v>
      </c>
      <c r="R539" s="0" t="n">
        <f aca="false">-G539*(O539/3600)</f>
        <v>-1.46171221759659</v>
      </c>
      <c r="S539" s="0" t="n">
        <f aca="false">-1*I539-(H539*(P539/3600))</f>
        <v>-19.5</v>
      </c>
      <c r="T539" s="0" t="n">
        <f aca="false">-H539*(O539/3600)</f>
        <v>-1.97598919818762</v>
      </c>
      <c r="U539" s="0" t="n">
        <f aca="false">T539-S539</f>
        <v>17.5240108018124</v>
      </c>
      <c r="V539" s="0" t="n">
        <f aca="false">1/(1+EXP(U539))</f>
        <v>2.45142605288418E-008</v>
      </c>
      <c r="W539" s="0" t="n">
        <f aca="true">RAND()</f>
        <v>0.712313627155469</v>
      </c>
      <c r="X539" s="0" t="n">
        <f aca="false">IF(W539&lt;V539,1,0)</f>
        <v>0</v>
      </c>
      <c r="Y539" s="0" t="n">
        <f aca="false">(M539*(1-X539)+N539*X539)*D539+M539*E539</f>
        <v>5518.82985076217</v>
      </c>
      <c r="Z539" s="0" t="n">
        <f aca="false">((1-X539)*O539+X539*P539)*D539+E539*O539</f>
        <v>383.465318059503</v>
      </c>
      <c r="AA539" s="0" t="n">
        <f aca="false">IF(D539*X539&gt;0,AA538,Q539)</f>
        <v>38</v>
      </c>
      <c r="AB539" s="0" t="n">
        <f aca="false">(X539*D539)</f>
        <v>0</v>
      </c>
      <c r="AC539" s="0" t="n">
        <f aca="false">SUM(AB$10:AB538)/K539</f>
        <v>0</v>
      </c>
      <c r="AD539" s="0" t="n">
        <f aca="false">R539*E539+D539*(X539*S539+(1-X539)*T539)</f>
        <v>-1.46171221759659</v>
      </c>
      <c r="AE539" s="0" t="n">
        <f aca="false">Z539</f>
        <v>383.465318059503</v>
      </c>
      <c r="AF539" s="0" t="n">
        <f aca="false">E539*O539</f>
        <v>383.465318059503</v>
      </c>
      <c r="AG539" s="0" t="n">
        <f aca="false">((1-X539)*O539+X539*P539)*D539</f>
        <v>0</v>
      </c>
      <c r="AH539" s="0" t="n">
        <f aca="false">D539*(LN(EXP(S539)+EXP(T539)))</f>
        <v>-0</v>
      </c>
      <c r="AJ539" s="0" t="n">
        <f aca="false">$J$5</f>
        <v>10</v>
      </c>
      <c r="AK539" s="4" t="n">
        <f aca="false">AJ539+MAX(K539,AK$10:AK538)</f>
        <v>5518.82985076217</v>
      </c>
      <c r="AL539" s="5" t="n">
        <f aca="false">AK539-K539</f>
        <v>383.465318059503</v>
      </c>
      <c r="AM539" s="0" t="n">
        <f aca="false">-G539*AL539/3600</f>
        <v>-1.46171221759659</v>
      </c>
      <c r="AN539" s="0" t="n">
        <f aca="false">-H539*AL539/3600</f>
        <v>-1.97598919818762</v>
      </c>
      <c r="AO539" s="0" t="n">
        <f aca="false">AM539*E539+AN539*D539</f>
        <v>-1.46171221759659</v>
      </c>
      <c r="AP539" s="0" t="n">
        <f aca="false">AL539*D539</f>
        <v>0</v>
      </c>
      <c r="AR539" s="0" t="n">
        <f aca="false">AN539*D539</f>
        <v>-0</v>
      </c>
      <c r="AS539" s="0" t="n">
        <f aca="false">AH539-AR539</f>
        <v>0</v>
      </c>
    </row>
    <row r="540" customFormat="false" ht="12" hidden="false" customHeight="false" outlineLevel="0" collapsed="false">
      <c r="A540" s="3" t="n">
        <f aca="false">A539+1</f>
        <v>531</v>
      </c>
      <c r="B540" s="3" t="n">
        <f aca="false">IF(A540&lt;$N$4/3,0.1,(IF(A540&gt;2*$N$4/3,0.05,0.12)))</f>
        <v>0.12</v>
      </c>
      <c r="C540" s="4" t="n">
        <f aca="true">RAND()</f>
        <v>0.924101342855777</v>
      </c>
      <c r="D540" s="0" t="n">
        <f aca="false">IF((C540&gt;$M$2),1,0)</f>
        <v>1</v>
      </c>
      <c r="E540" s="0" t="n">
        <f aca="false">1-D540</f>
        <v>0</v>
      </c>
      <c r="F540" s="0" t="n">
        <f aca="true">RAND()</f>
        <v>0.426728010944502</v>
      </c>
      <c r="G540" s="0" t="n">
        <f aca="false">7.75+F540*10</f>
        <v>12.017280109445</v>
      </c>
      <c r="H540" s="0" t="n">
        <f aca="false">LOGINV(F540,2.64,1.139)</f>
        <v>11.354505351482</v>
      </c>
      <c r="I540" s="0" t="n">
        <v>19.5</v>
      </c>
      <c r="J540" s="4" t="n">
        <f aca="true">-LN(RAND())/B540</f>
        <v>2.79883351497686</v>
      </c>
      <c r="K540" s="4" t="n">
        <f aca="false">K539+J540</f>
        <v>5138.16336621765</v>
      </c>
      <c r="L540" s="4" t="n">
        <f aca="false">(1/$J$4)*(1+AB539)</f>
        <v>10</v>
      </c>
      <c r="M540" s="4" t="n">
        <f aca="false">L540+MAX(K540,Y$10:Y539)</f>
        <v>5528.82985076217</v>
      </c>
      <c r="N540" s="4" t="n">
        <f aca="false">K540</f>
        <v>5138.16336621765</v>
      </c>
      <c r="O540" s="4" t="n">
        <f aca="false">M540-K540</f>
        <v>390.666484544527</v>
      </c>
      <c r="P540" s="4" t="n">
        <f aca="false">N540-K540</f>
        <v>0</v>
      </c>
      <c r="Q540" s="4" t="n">
        <f aca="false">A540-MATCH(K540,$M$9:M539,1)</f>
        <v>39</v>
      </c>
      <c r="R540" s="0" t="n">
        <f aca="false">-G540*(O540/3600)</f>
        <v>-1.30409682615104</v>
      </c>
      <c r="S540" s="0" t="n">
        <f aca="false">-1*I540-(H540*(P540/3600))</f>
        <v>-19.5</v>
      </c>
      <c r="T540" s="0" t="n">
        <f aca="false">-H540*(O540/3600)</f>
        <v>-1.23217352483486</v>
      </c>
      <c r="U540" s="0" t="n">
        <f aca="false">T540-S540</f>
        <v>18.2678264751651</v>
      </c>
      <c r="V540" s="0" t="n">
        <f aca="false">1/(1+EXP(U540))</f>
        <v>1.16515515351816E-008</v>
      </c>
      <c r="W540" s="0" t="n">
        <f aca="true">RAND()</f>
        <v>0.451300553739265</v>
      </c>
      <c r="X540" s="0" t="n">
        <f aca="false">IF(W540&lt;V540,1,0)</f>
        <v>0</v>
      </c>
      <c r="Y540" s="0" t="n">
        <f aca="false">(M540*(1-X540)+N540*X540)*D540+M540*E540</f>
        <v>5528.82985076217</v>
      </c>
      <c r="Z540" s="0" t="n">
        <f aca="false">((1-X540)*O540+X540*P540)*D540+E540*O540</f>
        <v>390.666484544527</v>
      </c>
      <c r="AA540" s="0" t="n">
        <f aca="false">IF(D540*X540&gt;0,AA539,Q540)</f>
        <v>39</v>
      </c>
      <c r="AB540" s="0" t="n">
        <f aca="false">(X540*D540)</f>
        <v>0</v>
      </c>
      <c r="AC540" s="0" t="n">
        <f aca="false">SUM(AB$10:AB539)/K540</f>
        <v>0</v>
      </c>
      <c r="AD540" s="0" t="n">
        <f aca="false">R540*E540+D540*(X540*S540+(1-X540)*T540)</f>
        <v>-1.23217352483486</v>
      </c>
      <c r="AE540" s="0" t="n">
        <f aca="false">Z540</f>
        <v>390.666484544527</v>
      </c>
      <c r="AF540" s="0" t="n">
        <f aca="false">E540*O540</f>
        <v>0</v>
      </c>
      <c r="AG540" s="0" t="n">
        <f aca="false">((1-X540)*O540+X540*P540)*D540</f>
        <v>390.666484544527</v>
      </c>
      <c r="AH540" s="0" t="n">
        <f aca="false">D540*(LN(EXP(S540)+EXP(T540)))</f>
        <v>-1.23217351318331</v>
      </c>
      <c r="AJ540" s="0" t="n">
        <f aca="false">$J$5</f>
        <v>10</v>
      </c>
      <c r="AK540" s="4" t="n">
        <f aca="false">AJ540+MAX(K540,AK$10:AK539)</f>
        <v>5528.82985076217</v>
      </c>
      <c r="AL540" s="5" t="n">
        <f aca="false">AK540-K540</f>
        <v>390.666484544527</v>
      </c>
      <c r="AM540" s="0" t="n">
        <f aca="false">-G540*AL540/3600</f>
        <v>-1.30409682615104</v>
      </c>
      <c r="AN540" s="0" t="n">
        <f aca="false">-H540*AL540/3600</f>
        <v>-1.23217352483486</v>
      </c>
      <c r="AO540" s="0" t="n">
        <f aca="false">AM540*E540+AN540*D540</f>
        <v>-1.23217352483486</v>
      </c>
      <c r="AP540" s="0" t="n">
        <f aca="false">AL540*D540</f>
        <v>390.666484544527</v>
      </c>
      <c r="AR540" s="0" t="n">
        <f aca="false">AN540*D540</f>
        <v>-1.23217352483486</v>
      </c>
      <c r="AS540" s="0" t="n">
        <f aca="false">AH540-AR540</f>
        <v>1.16515515014015E-008</v>
      </c>
    </row>
    <row r="541" customFormat="false" ht="12" hidden="false" customHeight="false" outlineLevel="0" collapsed="false">
      <c r="A541" s="3" t="n">
        <f aca="false">A540+1</f>
        <v>532</v>
      </c>
      <c r="B541" s="3" t="n">
        <f aca="false">IF(A541&lt;$N$4/3,0.1,(IF(A541&gt;2*$N$4/3,0.05,0.12)))</f>
        <v>0.12</v>
      </c>
      <c r="C541" s="4" t="n">
        <f aca="true">RAND()</f>
        <v>0.188322967874158</v>
      </c>
      <c r="D541" s="0" t="n">
        <f aca="false">IF((C541&gt;$M$2),1,0)</f>
        <v>0</v>
      </c>
      <c r="E541" s="0" t="n">
        <f aca="false">1-D541</f>
        <v>1</v>
      </c>
      <c r="F541" s="0" t="n">
        <f aca="true">RAND()</f>
        <v>0.627388096458835</v>
      </c>
      <c r="G541" s="0" t="n">
        <f aca="false">7.75+F541*10</f>
        <v>14.0238809645884</v>
      </c>
      <c r="H541" s="0" t="n">
        <f aca="false">LOGINV(F541,2.64,1.139)</f>
        <v>20.2896455866943</v>
      </c>
      <c r="I541" s="0" t="n">
        <v>19.5</v>
      </c>
      <c r="J541" s="4" t="n">
        <f aca="true">-LN(RAND())/B541</f>
        <v>9.77738090425144</v>
      </c>
      <c r="K541" s="4" t="n">
        <f aca="false">K540+J541</f>
        <v>5147.9407471219</v>
      </c>
      <c r="L541" s="4" t="n">
        <f aca="false">(1/$J$4)*(1+AB540)</f>
        <v>10</v>
      </c>
      <c r="M541" s="4" t="n">
        <f aca="false">L541+MAX(K541,Y$10:Y540)</f>
        <v>5538.82985076217</v>
      </c>
      <c r="N541" s="4" t="n">
        <f aca="false">K541</f>
        <v>5147.9407471219</v>
      </c>
      <c r="O541" s="4" t="n">
        <f aca="false">M541-K541</f>
        <v>390.889103640276</v>
      </c>
      <c r="P541" s="4" t="n">
        <f aca="false">N541-K541</f>
        <v>0</v>
      </c>
      <c r="Q541" s="4" t="n">
        <f aca="false">A541-MATCH(K541,$M$9:M540,1)</f>
        <v>39</v>
      </c>
      <c r="R541" s="0" t="n">
        <f aca="false">-G541*(O541/3600)</f>
        <v>-1.52271729439052</v>
      </c>
      <c r="S541" s="0" t="n">
        <f aca="false">-1*I541-(H541*(P541/3600))</f>
        <v>-19.5</v>
      </c>
      <c r="T541" s="0" t="n">
        <f aca="false">-H541*(O541/3600)</f>
        <v>-2.20305593793383</v>
      </c>
      <c r="U541" s="0" t="n">
        <f aca="false">T541-S541</f>
        <v>17.2969440620662</v>
      </c>
      <c r="V541" s="0" t="n">
        <f aca="false">1/(1+EXP(U541))</f>
        <v>3.07632791747661E-008</v>
      </c>
      <c r="W541" s="0" t="n">
        <f aca="true">RAND()</f>
        <v>0.826718266171945</v>
      </c>
      <c r="X541" s="0" t="n">
        <f aca="false">IF(W541&lt;V541,1,0)</f>
        <v>0</v>
      </c>
      <c r="Y541" s="0" t="n">
        <f aca="false">(M541*(1-X541)+N541*X541)*D541+M541*E541</f>
        <v>5538.82985076217</v>
      </c>
      <c r="Z541" s="0" t="n">
        <f aca="false">((1-X541)*O541+X541*P541)*D541+E541*O541</f>
        <v>390.889103640276</v>
      </c>
      <c r="AA541" s="0" t="n">
        <f aca="false">IF(D541*X541&gt;0,AA540,Q541)</f>
        <v>39</v>
      </c>
      <c r="AB541" s="0" t="n">
        <f aca="false">(X541*D541)</f>
        <v>0</v>
      </c>
      <c r="AC541" s="0" t="n">
        <f aca="false">SUM(AB$10:AB540)/K541</f>
        <v>0</v>
      </c>
      <c r="AD541" s="0" t="n">
        <f aca="false">R541*E541+D541*(X541*S541+(1-X541)*T541)</f>
        <v>-1.52271729439052</v>
      </c>
      <c r="AE541" s="0" t="n">
        <f aca="false">Z541</f>
        <v>390.889103640276</v>
      </c>
      <c r="AF541" s="0" t="n">
        <f aca="false">E541*O541</f>
        <v>390.889103640276</v>
      </c>
      <c r="AG541" s="0" t="n">
        <f aca="false">((1-X541)*O541+X541*P541)*D541</f>
        <v>0</v>
      </c>
      <c r="AH541" s="0" t="n">
        <f aca="false">D541*(LN(EXP(S541)+EXP(T541)))</f>
        <v>-0</v>
      </c>
      <c r="AJ541" s="0" t="n">
        <f aca="false">$J$5</f>
        <v>10</v>
      </c>
      <c r="AK541" s="4" t="n">
        <f aca="false">AJ541+MAX(K541,AK$10:AK540)</f>
        <v>5538.82985076217</v>
      </c>
      <c r="AL541" s="5" t="n">
        <f aca="false">AK541-K541</f>
        <v>390.889103640276</v>
      </c>
      <c r="AM541" s="0" t="n">
        <f aca="false">-G541*AL541/3600</f>
        <v>-1.52271729439052</v>
      </c>
      <c r="AN541" s="0" t="n">
        <f aca="false">-H541*AL541/3600</f>
        <v>-2.20305593793383</v>
      </c>
      <c r="AO541" s="0" t="n">
        <f aca="false">AM541*E541+AN541*D541</f>
        <v>-1.52271729439052</v>
      </c>
      <c r="AP541" s="0" t="n">
        <f aca="false">AL541*D541</f>
        <v>0</v>
      </c>
      <c r="AR541" s="0" t="n">
        <f aca="false">AN541*D541</f>
        <v>-0</v>
      </c>
      <c r="AS541" s="0" t="n">
        <f aca="false">AH541-AR541</f>
        <v>0</v>
      </c>
    </row>
    <row r="542" customFormat="false" ht="12" hidden="false" customHeight="false" outlineLevel="0" collapsed="false">
      <c r="A542" s="3" t="n">
        <f aca="false">A541+1</f>
        <v>533</v>
      </c>
      <c r="B542" s="3" t="n">
        <f aca="false">IF(A542&lt;$N$4/3,0.1,(IF(A542&gt;2*$N$4/3,0.05,0.12)))</f>
        <v>0.12</v>
      </c>
      <c r="C542" s="4" t="n">
        <f aca="true">RAND()</f>
        <v>0.844569462043312</v>
      </c>
      <c r="D542" s="0" t="n">
        <f aca="false">IF((C542&gt;$M$2),1,0)</f>
        <v>0</v>
      </c>
      <c r="E542" s="0" t="n">
        <f aca="false">1-D542</f>
        <v>1</v>
      </c>
      <c r="F542" s="0" t="n">
        <f aca="true">RAND()</f>
        <v>0.946690881025246</v>
      </c>
      <c r="G542" s="0" t="n">
        <f aca="false">7.75+F542*10</f>
        <v>17.2169088102525</v>
      </c>
      <c r="H542" s="0" t="n">
        <f aca="false">LOGINV(F542,2.64,1.139)</f>
        <v>88.046871092506</v>
      </c>
      <c r="I542" s="0" t="n">
        <v>19.5</v>
      </c>
      <c r="J542" s="4" t="n">
        <f aca="true">-LN(RAND())/B542</f>
        <v>9.54116581699405</v>
      </c>
      <c r="K542" s="4" t="n">
        <f aca="false">K541+J542</f>
        <v>5157.48191293889</v>
      </c>
      <c r="L542" s="4" t="n">
        <f aca="false">(1/$J$4)*(1+AB541)</f>
        <v>10</v>
      </c>
      <c r="M542" s="4" t="n">
        <f aca="false">L542+MAX(K542,Y$10:Y541)</f>
        <v>5548.82985076217</v>
      </c>
      <c r="N542" s="4" t="n">
        <f aca="false">K542</f>
        <v>5157.48191293889</v>
      </c>
      <c r="O542" s="4" t="n">
        <f aca="false">M542-K542</f>
        <v>391.347937823281</v>
      </c>
      <c r="P542" s="4" t="n">
        <f aca="false">N542-K542</f>
        <v>0</v>
      </c>
      <c r="Q542" s="4" t="n">
        <f aca="false">A542-MATCH(K542,$M$9:M541,1)</f>
        <v>39</v>
      </c>
      <c r="R542" s="0" t="n">
        <f aca="false">-G542*(O542/3600)</f>
        <v>-1.87161159960661</v>
      </c>
      <c r="S542" s="0" t="n">
        <f aca="false">-1*I542-(H542*(P542/3600))</f>
        <v>-19.5</v>
      </c>
      <c r="T542" s="0" t="n">
        <f aca="false">-H542*(O542/3600)</f>
        <v>-9.57137817606792</v>
      </c>
      <c r="U542" s="0" t="n">
        <f aca="false">T542-S542</f>
        <v>9.92862182393208</v>
      </c>
      <c r="V542" s="0" t="n">
        <f aca="false">1/(1+EXP(U542))</f>
        <v>4.87565709107034E-005</v>
      </c>
      <c r="W542" s="0" t="n">
        <f aca="true">RAND()</f>
        <v>0.635242470895272</v>
      </c>
      <c r="X542" s="0" t="n">
        <f aca="false">IF(W542&lt;V542,1,0)</f>
        <v>0</v>
      </c>
      <c r="Y542" s="0" t="n">
        <f aca="false">(M542*(1-X542)+N542*X542)*D542+M542*E542</f>
        <v>5548.82985076217</v>
      </c>
      <c r="Z542" s="0" t="n">
        <f aca="false">((1-X542)*O542+X542*P542)*D542+E542*O542</f>
        <v>391.347937823281</v>
      </c>
      <c r="AA542" s="0" t="n">
        <f aca="false">IF(D542*X542&gt;0,AA541,Q542)</f>
        <v>39</v>
      </c>
      <c r="AB542" s="0" t="n">
        <f aca="false">(X542*D542)</f>
        <v>0</v>
      </c>
      <c r="AC542" s="0" t="n">
        <f aca="false">SUM(AB$10:AB541)/K542</f>
        <v>0</v>
      </c>
      <c r="AD542" s="0" t="n">
        <f aca="false">R542*E542+D542*(X542*S542+(1-X542)*T542)</f>
        <v>-1.87161159960661</v>
      </c>
      <c r="AE542" s="0" t="n">
        <f aca="false">Z542</f>
        <v>391.347937823281</v>
      </c>
      <c r="AF542" s="0" t="n">
        <f aca="false">E542*O542</f>
        <v>391.347937823281</v>
      </c>
      <c r="AG542" s="0" t="n">
        <f aca="false">((1-X542)*O542+X542*P542)*D542</f>
        <v>0</v>
      </c>
      <c r="AH542" s="0" t="n">
        <f aca="false">D542*(LN(EXP(S542)+EXP(T542)))</f>
        <v>-0</v>
      </c>
      <c r="AJ542" s="0" t="n">
        <f aca="false">$J$5</f>
        <v>10</v>
      </c>
      <c r="AK542" s="4" t="n">
        <f aca="false">AJ542+MAX(K542,AK$10:AK541)</f>
        <v>5548.82985076217</v>
      </c>
      <c r="AL542" s="5" t="n">
        <f aca="false">AK542-K542</f>
        <v>391.347937823281</v>
      </c>
      <c r="AM542" s="0" t="n">
        <f aca="false">-G542*AL542/3600</f>
        <v>-1.87161159960661</v>
      </c>
      <c r="AN542" s="0" t="n">
        <f aca="false">-H542*AL542/3600</f>
        <v>-9.57137817606792</v>
      </c>
      <c r="AO542" s="0" t="n">
        <f aca="false">AM542*E542+AN542*D542</f>
        <v>-1.87161159960661</v>
      </c>
      <c r="AP542" s="0" t="n">
        <f aca="false">AL542*D542</f>
        <v>0</v>
      </c>
      <c r="AR542" s="0" t="n">
        <f aca="false">AN542*D542</f>
        <v>-0</v>
      </c>
      <c r="AS542" s="0" t="n">
        <f aca="false">AH542-AR542</f>
        <v>0</v>
      </c>
    </row>
    <row r="543" customFormat="false" ht="12" hidden="false" customHeight="false" outlineLevel="0" collapsed="false">
      <c r="A543" s="3" t="n">
        <f aca="false">A542+1</f>
        <v>534</v>
      </c>
      <c r="B543" s="3" t="n">
        <f aca="false">IF(A543&lt;$N$4/3,0.1,(IF(A543&gt;2*$N$4/3,0.05,0.12)))</f>
        <v>0.12</v>
      </c>
      <c r="C543" s="4" t="n">
        <f aca="true">RAND()</f>
        <v>0.931917367866789</v>
      </c>
      <c r="D543" s="0" t="n">
        <f aca="false">IF((C543&gt;$M$2),1,0)</f>
        <v>1</v>
      </c>
      <c r="E543" s="0" t="n">
        <f aca="false">1-D543</f>
        <v>0</v>
      </c>
      <c r="F543" s="0" t="n">
        <f aca="true">RAND()</f>
        <v>0.321727358154567</v>
      </c>
      <c r="G543" s="0" t="n">
        <f aca="false">7.75+F543*10</f>
        <v>10.9672735815457</v>
      </c>
      <c r="H543" s="0" t="n">
        <f aca="false">LOGINV(F543,2.64,1.139)</f>
        <v>8.27125758856631</v>
      </c>
      <c r="I543" s="0" t="n">
        <v>19.5</v>
      </c>
      <c r="J543" s="4" t="n">
        <f aca="true">-LN(RAND())/B543</f>
        <v>9.73086607271024</v>
      </c>
      <c r="K543" s="4" t="n">
        <f aca="false">K542+J543</f>
        <v>5167.2127790116</v>
      </c>
      <c r="L543" s="4" t="n">
        <f aca="false">(1/$J$4)*(1+AB542)</f>
        <v>10</v>
      </c>
      <c r="M543" s="4" t="n">
        <f aca="false">L543+MAX(K543,Y$10:Y542)</f>
        <v>5558.82985076217</v>
      </c>
      <c r="N543" s="4" t="n">
        <f aca="false">K543</f>
        <v>5167.2127790116</v>
      </c>
      <c r="O543" s="4" t="n">
        <f aca="false">M543-K543</f>
        <v>391.617071750571</v>
      </c>
      <c r="P543" s="4" t="n">
        <f aca="false">N543-K543</f>
        <v>0</v>
      </c>
      <c r="Q543" s="4" t="n">
        <f aca="false">A543-MATCH(K543,$M$9:M542,1)</f>
        <v>39</v>
      </c>
      <c r="R543" s="0" t="n">
        <f aca="false">-G543*(O543/3600)</f>
        <v>-1.19304765697009</v>
      </c>
      <c r="S543" s="0" t="n">
        <f aca="false">-1*I543-(H543*(P543/3600))</f>
        <v>-19.5</v>
      </c>
      <c r="T543" s="0" t="n">
        <f aca="false">-H543*(O543/3600)</f>
        <v>-0.899768243480286</v>
      </c>
      <c r="U543" s="0" t="n">
        <f aca="false">T543-S543</f>
        <v>18.6002317565197</v>
      </c>
      <c r="V543" s="0" t="n">
        <f aca="false">1/(1+EXP(U543))</f>
        <v>8.35645314459575E-009</v>
      </c>
      <c r="W543" s="0" t="n">
        <f aca="true">RAND()</f>
        <v>0.519017435033639</v>
      </c>
      <c r="X543" s="0" t="n">
        <f aca="false">IF(W543&lt;V543,1,0)</f>
        <v>0</v>
      </c>
      <c r="Y543" s="0" t="n">
        <f aca="false">(M543*(1-X543)+N543*X543)*D543+M543*E543</f>
        <v>5558.82985076217</v>
      </c>
      <c r="Z543" s="0" t="n">
        <f aca="false">((1-X543)*O543+X543*P543)*D543+E543*O543</f>
        <v>391.617071750571</v>
      </c>
      <c r="AA543" s="0" t="n">
        <f aca="false">IF(D543*X543&gt;0,AA542,Q543)</f>
        <v>39</v>
      </c>
      <c r="AB543" s="0" t="n">
        <f aca="false">(X543*D543)</f>
        <v>0</v>
      </c>
      <c r="AC543" s="0" t="n">
        <f aca="false">SUM(AB$10:AB542)/K543</f>
        <v>0</v>
      </c>
      <c r="AD543" s="0" t="n">
        <f aca="false">R543*E543+D543*(X543*S543+(1-X543)*T543)</f>
        <v>-0.899768243480286</v>
      </c>
      <c r="AE543" s="0" t="n">
        <f aca="false">Z543</f>
        <v>391.617071750571</v>
      </c>
      <c r="AF543" s="0" t="n">
        <f aca="false">E543*O543</f>
        <v>0</v>
      </c>
      <c r="AG543" s="0" t="n">
        <f aca="false">((1-X543)*O543+X543*P543)*D543</f>
        <v>391.617071750571</v>
      </c>
      <c r="AH543" s="0" t="n">
        <f aca="false">D543*(LN(EXP(S543)+EXP(T543)))</f>
        <v>-0.899768235123832</v>
      </c>
      <c r="AJ543" s="0" t="n">
        <f aca="false">$J$5</f>
        <v>10</v>
      </c>
      <c r="AK543" s="4" t="n">
        <f aca="false">AJ543+MAX(K543,AK$10:AK542)</f>
        <v>5558.82985076217</v>
      </c>
      <c r="AL543" s="5" t="n">
        <f aca="false">AK543-K543</f>
        <v>391.617071750571</v>
      </c>
      <c r="AM543" s="0" t="n">
        <f aca="false">-G543*AL543/3600</f>
        <v>-1.19304765697009</v>
      </c>
      <c r="AN543" s="0" t="n">
        <f aca="false">-H543*AL543/3600</f>
        <v>-0.899768243480286</v>
      </c>
      <c r="AO543" s="0" t="n">
        <f aca="false">AM543*E543+AN543*D543</f>
        <v>-0.899768243480286</v>
      </c>
      <c r="AP543" s="0" t="n">
        <f aca="false">AL543*D543</f>
        <v>391.617071750571</v>
      </c>
      <c r="AR543" s="0" t="n">
        <f aca="false">AN543*D543</f>
        <v>-0.899768243480286</v>
      </c>
      <c r="AS543" s="0" t="n">
        <f aca="false">AH543-AR543</f>
        <v>8.35645319607892E-009</v>
      </c>
    </row>
    <row r="544" customFormat="false" ht="12" hidden="false" customHeight="false" outlineLevel="0" collapsed="false">
      <c r="A544" s="3" t="n">
        <f aca="false">A543+1</f>
        <v>535</v>
      </c>
      <c r="B544" s="3" t="n">
        <f aca="false">IF(A544&lt;$N$4/3,0.1,(IF(A544&gt;2*$N$4/3,0.05,0.12)))</f>
        <v>0.12</v>
      </c>
      <c r="C544" s="4" t="n">
        <f aca="true">RAND()</f>
        <v>0.888397636413873</v>
      </c>
      <c r="D544" s="0" t="n">
        <f aca="false">IF((C544&gt;$M$2),1,0)</f>
        <v>0</v>
      </c>
      <c r="E544" s="0" t="n">
        <f aca="false">1-D544</f>
        <v>1</v>
      </c>
      <c r="F544" s="0" t="n">
        <f aca="true">RAND()</f>
        <v>0.247053514351932</v>
      </c>
      <c r="G544" s="0" t="n">
        <f aca="false">7.75+F544*10</f>
        <v>10.2205351435193</v>
      </c>
      <c r="H544" s="0" t="n">
        <f aca="false">LOGINV(F544,2.64,1.139)</f>
        <v>6.43120440685794</v>
      </c>
      <c r="I544" s="0" t="n">
        <v>19.5</v>
      </c>
      <c r="J544" s="4" t="n">
        <f aca="true">-LN(RAND())/B544</f>
        <v>1.01647268784087</v>
      </c>
      <c r="K544" s="4" t="n">
        <f aca="false">K543+J544</f>
        <v>5168.22925169944</v>
      </c>
      <c r="L544" s="4" t="n">
        <f aca="false">(1/$J$4)*(1+AB543)</f>
        <v>10</v>
      </c>
      <c r="M544" s="4" t="n">
        <f aca="false">L544+MAX(K544,Y$10:Y543)</f>
        <v>5568.82985076217</v>
      </c>
      <c r="N544" s="4" t="n">
        <f aca="false">K544</f>
        <v>5168.22925169944</v>
      </c>
      <c r="O544" s="4" t="n">
        <f aca="false">M544-K544</f>
        <v>400.60059906273</v>
      </c>
      <c r="P544" s="4" t="n">
        <f aca="false">N544-K544</f>
        <v>0</v>
      </c>
      <c r="Q544" s="4" t="n">
        <f aca="false">A544-MATCH(K544,$M$9:M543,1)</f>
        <v>40</v>
      </c>
      <c r="R544" s="0" t="n">
        <f aca="false">-G544*(O544/3600)</f>
        <v>-1.13732013923209</v>
      </c>
      <c r="S544" s="0" t="n">
        <f aca="false">-1*I544-(H544*(P544/3600))</f>
        <v>-19.5</v>
      </c>
      <c r="T544" s="0" t="n">
        <f aca="false">-H544*(O544/3600)</f>
        <v>-0.715651205022822</v>
      </c>
      <c r="U544" s="0" t="n">
        <f aca="false">T544-S544</f>
        <v>18.7843487949772</v>
      </c>
      <c r="V544" s="0" t="n">
        <f aca="false">1/(1+EXP(U544))</f>
        <v>6.95121896620238E-009</v>
      </c>
      <c r="W544" s="0" t="n">
        <f aca="true">RAND()</f>
        <v>0.476805270292163</v>
      </c>
      <c r="X544" s="0" t="n">
        <f aca="false">IF(W544&lt;V544,1,0)</f>
        <v>0</v>
      </c>
      <c r="Y544" s="0" t="n">
        <f aca="false">(M544*(1-X544)+N544*X544)*D544+M544*E544</f>
        <v>5568.82985076217</v>
      </c>
      <c r="Z544" s="0" t="n">
        <f aca="false">((1-X544)*O544+X544*P544)*D544+E544*O544</f>
        <v>400.60059906273</v>
      </c>
      <c r="AA544" s="0" t="n">
        <f aca="false">IF(D544*X544&gt;0,AA543,Q544)</f>
        <v>40</v>
      </c>
      <c r="AB544" s="0" t="n">
        <f aca="false">(X544*D544)</f>
        <v>0</v>
      </c>
      <c r="AC544" s="0" t="n">
        <f aca="false">SUM(AB$10:AB543)/K544</f>
        <v>0</v>
      </c>
      <c r="AD544" s="0" t="n">
        <f aca="false">R544*E544+D544*(X544*S544+(1-X544)*T544)</f>
        <v>-1.13732013923209</v>
      </c>
      <c r="AE544" s="0" t="n">
        <f aca="false">Z544</f>
        <v>400.60059906273</v>
      </c>
      <c r="AF544" s="0" t="n">
        <f aca="false">E544*O544</f>
        <v>400.60059906273</v>
      </c>
      <c r="AG544" s="0" t="n">
        <f aca="false">((1-X544)*O544+X544*P544)*D544</f>
        <v>0</v>
      </c>
      <c r="AH544" s="0" t="n">
        <f aca="false">D544*(LN(EXP(S544)+EXP(T544)))</f>
        <v>-0</v>
      </c>
      <c r="AJ544" s="0" t="n">
        <f aca="false">$J$5</f>
        <v>10</v>
      </c>
      <c r="AK544" s="4" t="n">
        <f aca="false">AJ544+MAX(K544,AK$10:AK543)</f>
        <v>5568.82985076217</v>
      </c>
      <c r="AL544" s="5" t="n">
        <f aca="false">AK544-K544</f>
        <v>400.60059906273</v>
      </c>
      <c r="AM544" s="0" t="n">
        <f aca="false">-G544*AL544/3600</f>
        <v>-1.13732013923209</v>
      </c>
      <c r="AN544" s="0" t="n">
        <f aca="false">-H544*AL544/3600</f>
        <v>-0.715651205022822</v>
      </c>
      <c r="AO544" s="0" t="n">
        <f aca="false">AM544*E544+AN544*D544</f>
        <v>-1.13732013923209</v>
      </c>
      <c r="AP544" s="0" t="n">
        <f aca="false">AL544*D544</f>
        <v>0</v>
      </c>
      <c r="AR544" s="0" t="n">
        <f aca="false">AN544*D544</f>
        <v>-0</v>
      </c>
      <c r="AS544" s="0" t="n">
        <f aca="false">AH544-AR544</f>
        <v>0</v>
      </c>
    </row>
    <row r="545" customFormat="false" ht="12" hidden="false" customHeight="false" outlineLevel="0" collapsed="false">
      <c r="A545" s="3" t="n">
        <f aca="false">A544+1</f>
        <v>536</v>
      </c>
      <c r="B545" s="3" t="n">
        <f aca="false">IF(A545&lt;$N$4/3,0.1,(IF(A545&gt;2*$N$4/3,0.05,0.12)))</f>
        <v>0.12</v>
      </c>
      <c r="C545" s="4" t="n">
        <f aca="true">RAND()</f>
        <v>0.0154152269203603</v>
      </c>
      <c r="D545" s="0" t="n">
        <f aca="false">IF((C545&gt;$M$2),1,0)</f>
        <v>0</v>
      </c>
      <c r="E545" s="0" t="n">
        <f aca="false">1-D545</f>
        <v>1</v>
      </c>
      <c r="F545" s="0" t="n">
        <f aca="true">RAND()</f>
        <v>0.762619982027838</v>
      </c>
      <c r="G545" s="0" t="n">
        <f aca="false">7.75+F545*10</f>
        <v>15.3761998202784</v>
      </c>
      <c r="H545" s="0" t="n">
        <f aca="false">LOGINV(F545,2.64,1.139)</f>
        <v>31.6300209713579</v>
      </c>
      <c r="I545" s="0" t="n">
        <v>19.5</v>
      </c>
      <c r="J545" s="4" t="n">
        <f aca="true">-LN(RAND())/B545</f>
        <v>3.64779855374034</v>
      </c>
      <c r="K545" s="4" t="n">
        <f aca="false">K544+J545</f>
        <v>5171.87705025318</v>
      </c>
      <c r="L545" s="4" t="n">
        <f aca="false">(1/$J$4)*(1+AB544)</f>
        <v>10</v>
      </c>
      <c r="M545" s="4" t="n">
        <f aca="false">L545+MAX(K545,Y$10:Y544)</f>
        <v>5578.82985076217</v>
      </c>
      <c r="N545" s="4" t="n">
        <f aca="false">K545</f>
        <v>5171.87705025318</v>
      </c>
      <c r="O545" s="4" t="n">
        <f aca="false">M545-K545</f>
        <v>406.95280050899</v>
      </c>
      <c r="P545" s="4" t="n">
        <f aca="false">N545-K545</f>
        <v>0</v>
      </c>
      <c r="Q545" s="4" t="n">
        <f aca="false">A545-MATCH(K545,$M$9:M544,1)</f>
        <v>40</v>
      </c>
      <c r="R545" s="0" t="n">
        <f aca="false">-G545*(O545/3600)</f>
        <v>-1.73816321612448</v>
      </c>
      <c r="S545" s="0" t="n">
        <f aca="false">-1*I545-(H545*(P545/3600))</f>
        <v>-19.5</v>
      </c>
      <c r="T545" s="0" t="n">
        <f aca="false">-H545*(O545/3600)</f>
        <v>-3.57553489290338</v>
      </c>
      <c r="U545" s="0" t="n">
        <f aca="false">T545-S545</f>
        <v>15.9244651070966</v>
      </c>
      <c r="V545" s="0" t="n">
        <f aca="false">1/(1+EXP(U545))</f>
        <v>1.21364766318848E-007</v>
      </c>
      <c r="W545" s="0" t="n">
        <f aca="true">RAND()</f>
        <v>0.00138786831913357</v>
      </c>
      <c r="X545" s="0" t="n">
        <f aca="false">IF(W545&lt;V545,1,0)</f>
        <v>0</v>
      </c>
      <c r="Y545" s="0" t="n">
        <f aca="false">(M545*(1-X545)+N545*X545)*D545+M545*E545</f>
        <v>5578.82985076217</v>
      </c>
      <c r="Z545" s="0" t="n">
        <f aca="false">((1-X545)*O545+X545*P545)*D545+E545*O545</f>
        <v>406.95280050899</v>
      </c>
      <c r="AA545" s="0" t="n">
        <f aca="false">IF(D545*X545&gt;0,AA544,Q545)</f>
        <v>40</v>
      </c>
      <c r="AB545" s="0" t="n">
        <f aca="false">(X545*D545)</f>
        <v>0</v>
      </c>
      <c r="AC545" s="0" t="n">
        <f aca="false">SUM(AB$10:AB544)/K545</f>
        <v>0</v>
      </c>
      <c r="AD545" s="0" t="n">
        <f aca="false">R545*E545+D545*(X545*S545+(1-X545)*T545)</f>
        <v>-1.73816321612448</v>
      </c>
      <c r="AE545" s="0" t="n">
        <f aca="false">Z545</f>
        <v>406.95280050899</v>
      </c>
      <c r="AF545" s="0" t="n">
        <f aca="false">E545*O545</f>
        <v>406.95280050899</v>
      </c>
      <c r="AG545" s="0" t="n">
        <f aca="false">((1-X545)*O545+X545*P545)*D545</f>
        <v>0</v>
      </c>
      <c r="AH545" s="0" t="n">
        <f aca="false">D545*(LN(EXP(S545)+EXP(T545)))</f>
        <v>-0</v>
      </c>
      <c r="AJ545" s="0" t="n">
        <f aca="false">$J$5</f>
        <v>10</v>
      </c>
      <c r="AK545" s="4" t="n">
        <f aca="false">AJ545+MAX(K545,AK$10:AK544)</f>
        <v>5578.82985076217</v>
      </c>
      <c r="AL545" s="5" t="n">
        <f aca="false">AK545-K545</f>
        <v>406.95280050899</v>
      </c>
      <c r="AM545" s="0" t="n">
        <f aca="false">-G545*AL545/3600</f>
        <v>-1.73816321612448</v>
      </c>
      <c r="AN545" s="0" t="n">
        <f aca="false">-H545*AL545/3600</f>
        <v>-3.57553489290338</v>
      </c>
      <c r="AO545" s="0" t="n">
        <f aca="false">AM545*E545+AN545*D545</f>
        <v>-1.73816321612448</v>
      </c>
      <c r="AP545" s="0" t="n">
        <f aca="false">AL545*D545</f>
        <v>0</v>
      </c>
      <c r="AR545" s="0" t="n">
        <f aca="false">AN545*D545</f>
        <v>-0</v>
      </c>
      <c r="AS545" s="0" t="n">
        <f aca="false">AH545-AR545</f>
        <v>0</v>
      </c>
    </row>
    <row r="546" customFormat="false" ht="12" hidden="false" customHeight="false" outlineLevel="0" collapsed="false">
      <c r="A546" s="3" t="n">
        <f aca="false">A545+1</f>
        <v>537</v>
      </c>
      <c r="B546" s="3" t="n">
        <f aca="false">IF(A546&lt;$N$4/3,0.1,(IF(A546&gt;2*$N$4/3,0.05,0.12)))</f>
        <v>0.12</v>
      </c>
      <c r="C546" s="4" t="n">
        <f aca="true">RAND()</f>
        <v>0.298906268433984</v>
      </c>
      <c r="D546" s="0" t="n">
        <f aca="false">IF((C546&gt;$M$2),1,0)</f>
        <v>0</v>
      </c>
      <c r="E546" s="0" t="n">
        <f aca="false">1-D546</f>
        <v>1</v>
      </c>
      <c r="F546" s="0" t="n">
        <f aca="true">RAND()</f>
        <v>0.687566673912347</v>
      </c>
      <c r="G546" s="0" t="n">
        <f aca="false">7.75+F546*10</f>
        <v>14.6256667391235</v>
      </c>
      <c r="H546" s="0" t="n">
        <f aca="false">LOGINV(F546,2.64,1.139)</f>
        <v>24.4573516489529</v>
      </c>
      <c r="I546" s="0" t="n">
        <v>19.5</v>
      </c>
      <c r="J546" s="4" t="n">
        <f aca="true">-LN(RAND())/B546</f>
        <v>12.0678910101882</v>
      </c>
      <c r="K546" s="4" t="n">
        <f aca="false">K545+J546</f>
        <v>5183.94494126337</v>
      </c>
      <c r="L546" s="4" t="n">
        <f aca="false">(1/$J$4)*(1+AB545)</f>
        <v>10</v>
      </c>
      <c r="M546" s="4" t="n">
        <f aca="false">L546+MAX(K546,Y$10:Y545)</f>
        <v>5588.82985076217</v>
      </c>
      <c r="N546" s="4" t="n">
        <f aca="false">K546</f>
        <v>5183.94494126337</v>
      </c>
      <c r="O546" s="4" t="n">
        <f aca="false">M546-K546</f>
        <v>404.884909498802</v>
      </c>
      <c r="P546" s="4" t="n">
        <f aca="false">N546-K546</f>
        <v>0</v>
      </c>
      <c r="Q546" s="4" t="n">
        <f aca="false">A546-MATCH(K546,$M$9:M545,1)</f>
        <v>40</v>
      </c>
      <c r="R546" s="0" t="n">
        <f aca="false">-G546*(O546/3600)</f>
        <v>-1.6449199316749</v>
      </c>
      <c r="S546" s="0" t="n">
        <f aca="false">-1*I546-(H546*(P546/3600))</f>
        <v>-19.5</v>
      </c>
      <c r="T546" s="0" t="n">
        <f aca="false">-H546*(O546/3600)</f>
        <v>-2.7506701691574</v>
      </c>
      <c r="U546" s="0" t="n">
        <f aca="false">T546-S546</f>
        <v>16.7493298308426</v>
      </c>
      <c r="V546" s="0" t="n">
        <f aca="false">1/(1+EXP(U546))</f>
        <v>5.31934864079185E-008</v>
      </c>
      <c r="W546" s="0" t="n">
        <f aca="true">RAND()</f>
        <v>0.605868512122349</v>
      </c>
      <c r="X546" s="0" t="n">
        <f aca="false">IF(W546&lt;V546,1,0)</f>
        <v>0</v>
      </c>
      <c r="Y546" s="0" t="n">
        <f aca="false">(M546*(1-X546)+N546*X546)*D546+M546*E546</f>
        <v>5588.82985076217</v>
      </c>
      <c r="Z546" s="0" t="n">
        <f aca="false">((1-X546)*O546+X546*P546)*D546+E546*O546</f>
        <v>404.884909498802</v>
      </c>
      <c r="AA546" s="0" t="n">
        <f aca="false">IF(D546*X546&gt;0,AA545,Q546)</f>
        <v>40</v>
      </c>
      <c r="AB546" s="0" t="n">
        <f aca="false">(X546*D546)</f>
        <v>0</v>
      </c>
      <c r="AC546" s="0" t="n">
        <f aca="false">SUM(AB$10:AB545)/K546</f>
        <v>0</v>
      </c>
      <c r="AD546" s="0" t="n">
        <f aca="false">R546*E546+D546*(X546*S546+(1-X546)*T546)</f>
        <v>-1.6449199316749</v>
      </c>
      <c r="AE546" s="0" t="n">
        <f aca="false">Z546</f>
        <v>404.884909498802</v>
      </c>
      <c r="AF546" s="0" t="n">
        <f aca="false">E546*O546</f>
        <v>404.884909498802</v>
      </c>
      <c r="AG546" s="0" t="n">
        <f aca="false">((1-X546)*O546+X546*P546)*D546</f>
        <v>0</v>
      </c>
      <c r="AH546" s="0" t="n">
        <f aca="false">D546*(LN(EXP(S546)+EXP(T546)))</f>
        <v>-0</v>
      </c>
      <c r="AJ546" s="0" t="n">
        <f aca="false">$J$5</f>
        <v>10</v>
      </c>
      <c r="AK546" s="4" t="n">
        <f aca="false">AJ546+MAX(K546,AK$10:AK545)</f>
        <v>5588.82985076217</v>
      </c>
      <c r="AL546" s="5" t="n">
        <f aca="false">AK546-K546</f>
        <v>404.884909498802</v>
      </c>
      <c r="AM546" s="0" t="n">
        <f aca="false">-G546*AL546/3600</f>
        <v>-1.6449199316749</v>
      </c>
      <c r="AN546" s="0" t="n">
        <f aca="false">-H546*AL546/3600</f>
        <v>-2.7506701691574</v>
      </c>
      <c r="AO546" s="0" t="n">
        <f aca="false">AM546*E546+AN546*D546</f>
        <v>-1.6449199316749</v>
      </c>
      <c r="AP546" s="0" t="n">
        <f aca="false">AL546*D546</f>
        <v>0</v>
      </c>
      <c r="AR546" s="0" t="n">
        <f aca="false">AN546*D546</f>
        <v>-0</v>
      </c>
      <c r="AS546" s="0" t="n">
        <f aca="false">AH546-AR546</f>
        <v>0</v>
      </c>
    </row>
    <row r="547" customFormat="false" ht="12" hidden="false" customHeight="false" outlineLevel="0" collapsed="false">
      <c r="A547" s="3" t="n">
        <f aca="false">A546+1</f>
        <v>538</v>
      </c>
      <c r="B547" s="3" t="n">
        <f aca="false">IF(A547&lt;$N$4/3,0.1,(IF(A547&gt;2*$N$4/3,0.05,0.12)))</f>
        <v>0.12</v>
      </c>
      <c r="C547" s="4" t="n">
        <f aca="true">RAND()</f>
        <v>0.0249902164671313</v>
      </c>
      <c r="D547" s="0" t="n">
        <f aca="false">IF((C547&gt;$M$2),1,0)</f>
        <v>0</v>
      </c>
      <c r="E547" s="0" t="n">
        <f aca="false">1-D547</f>
        <v>1</v>
      </c>
      <c r="F547" s="0" t="n">
        <f aca="true">RAND()</f>
        <v>0.494402749399201</v>
      </c>
      <c r="G547" s="0" t="n">
        <f aca="false">7.75+F547*10</f>
        <v>12.694027493992</v>
      </c>
      <c r="H547" s="0" t="n">
        <f aca="false">LOGINV(F547,2.64,1.139)</f>
        <v>13.7910391950701</v>
      </c>
      <c r="I547" s="0" t="n">
        <v>19.5</v>
      </c>
      <c r="J547" s="4" t="n">
        <f aca="true">-LN(RAND())/B547</f>
        <v>13.6287474111238</v>
      </c>
      <c r="K547" s="4" t="n">
        <f aca="false">K546+J547</f>
        <v>5197.57368867449</v>
      </c>
      <c r="L547" s="4" t="n">
        <f aca="false">(1/$J$4)*(1+AB546)</f>
        <v>10</v>
      </c>
      <c r="M547" s="4" t="n">
        <f aca="false">L547+MAX(K547,Y$10:Y546)</f>
        <v>5598.82985076217</v>
      </c>
      <c r="N547" s="4" t="n">
        <f aca="false">K547</f>
        <v>5197.57368867449</v>
      </c>
      <c r="O547" s="4" t="n">
        <f aca="false">M547-K547</f>
        <v>401.256162087678</v>
      </c>
      <c r="P547" s="4" t="n">
        <f aca="false">N547-K547</f>
        <v>0</v>
      </c>
      <c r="Q547" s="4" t="n">
        <f aca="false">A547-MATCH(K547,$M$9:M546,1)</f>
        <v>40</v>
      </c>
      <c r="R547" s="0" t="n">
        <f aca="false">-G547*(O547/3600)</f>
        <v>-1.41487687602075</v>
      </c>
      <c r="S547" s="0" t="n">
        <f aca="false">-1*I547-(H547*(P547/3600))</f>
        <v>-19.5</v>
      </c>
      <c r="T547" s="0" t="n">
        <f aca="false">-H547*(O547/3600)</f>
        <v>-1.53714984961516</v>
      </c>
      <c r="U547" s="0" t="n">
        <f aca="false">T547-S547</f>
        <v>17.9628501503848</v>
      </c>
      <c r="V547" s="0" t="n">
        <f aca="false">1/(1+EXP(U547))</f>
        <v>1.58064118460648E-008</v>
      </c>
      <c r="W547" s="0" t="n">
        <f aca="true">RAND()</f>
        <v>0.908197830385868</v>
      </c>
      <c r="X547" s="0" t="n">
        <f aca="false">IF(W547&lt;V547,1,0)</f>
        <v>0</v>
      </c>
      <c r="Y547" s="0" t="n">
        <f aca="false">(M547*(1-X547)+N547*X547)*D547+M547*E547</f>
        <v>5598.82985076217</v>
      </c>
      <c r="Z547" s="0" t="n">
        <f aca="false">((1-X547)*O547+X547*P547)*D547+E547*O547</f>
        <v>401.256162087678</v>
      </c>
      <c r="AA547" s="0" t="n">
        <f aca="false">IF(D547*X547&gt;0,AA546,Q547)</f>
        <v>40</v>
      </c>
      <c r="AB547" s="0" t="n">
        <f aca="false">(X547*D547)</f>
        <v>0</v>
      </c>
      <c r="AC547" s="0" t="n">
        <f aca="false">SUM(AB$10:AB546)/K547</f>
        <v>0</v>
      </c>
      <c r="AD547" s="0" t="n">
        <f aca="false">R547*E547+D547*(X547*S547+(1-X547)*T547)</f>
        <v>-1.41487687602075</v>
      </c>
      <c r="AE547" s="0" t="n">
        <f aca="false">Z547</f>
        <v>401.256162087678</v>
      </c>
      <c r="AF547" s="0" t="n">
        <f aca="false">E547*O547</f>
        <v>401.256162087678</v>
      </c>
      <c r="AG547" s="0" t="n">
        <f aca="false">((1-X547)*O547+X547*P547)*D547</f>
        <v>0</v>
      </c>
      <c r="AH547" s="0" t="n">
        <f aca="false">D547*(LN(EXP(S547)+EXP(T547)))</f>
        <v>-0</v>
      </c>
      <c r="AJ547" s="0" t="n">
        <f aca="false">$J$5</f>
        <v>10</v>
      </c>
      <c r="AK547" s="4" t="n">
        <f aca="false">AJ547+MAX(K547,AK$10:AK546)</f>
        <v>5598.82985076217</v>
      </c>
      <c r="AL547" s="5" t="n">
        <f aca="false">AK547-K547</f>
        <v>401.256162087678</v>
      </c>
      <c r="AM547" s="0" t="n">
        <f aca="false">-G547*AL547/3600</f>
        <v>-1.41487687602075</v>
      </c>
      <c r="AN547" s="0" t="n">
        <f aca="false">-H547*AL547/3600</f>
        <v>-1.53714984961516</v>
      </c>
      <c r="AO547" s="0" t="n">
        <f aca="false">AM547*E547+AN547*D547</f>
        <v>-1.41487687602075</v>
      </c>
      <c r="AP547" s="0" t="n">
        <f aca="false">AL547*D547</f>
        <v>0</v>
      </c>
      <c r="AR547" s="0" t="n">
        <f aca="false">AN547*D547</f>
        <v>-0</v>
      </c>
      <c r="AS547" s="0" t="n">
        <f aca="false">AH547-AR547</f>
        <v>0</v>
      </c>
    </row>
    <row r="548" customFormat="false" ht="12" hidden="false" customHeight="false" outlineLevel="0" collapsed="false">
      <c r="A548" s="3" t="n">
        <f aca="false">A547+1</f>
        <v>539</v>
      </c>
      <c r="B548" s="3" t="n">
        <f aca="false">IF(A548&lt;$N$4/3,0.1,(IF(A548&gt;2*$N$4/3,0.05,0.12)))</f>
        <v>0.12</v>
      </c>
      <c r="C548" s="4" t="n">
        <f aca="true">RAND()</f>
        <v>0.275566571450785</v>
      </c>
      <c r="D548" s="0" t="n">
        <f aca="false">IF((C548&gt;$M$2),1,0)</f>
        <v>0</v>
      </c>
      <c r="E548" s="0" t="n">
        <f aca="false">1-D548</f>
        <v>1</v>
      </c>
      <c r="F548" s="0" t="n">
        <f aca="true">RAND()</f>
        <v>0.00945714366432549</v>
      </c>
      <c r="G548" s="0" t="n">
        <f aca="false">7.75+F548*10</f>
        <v>7.84457143664326</v>
      </c>
      <c r="H548" s="0" t="n">
        <f aca="false">LOGINV(F548,2.64,1.139)</f>
        <v>0.967075219467479</v>
      </c>
      <c r="I548" s="0" t="n">
        <v>19.5</v>
      </c>
      <c r="J548" s="4" t="n">
        <f aca="true">-LN(RAND())/B548</f>
        <v>1.0474371181553</v>
      </c>
      <c r="K548" s="4" t="n">
        <f aca="false">K547+J548</f>
        <v>5198.62112579265</v>
      </c>
      <c r="L548" s="4" t="n">
        <f aca="false">(1/$J$4)*(1+AB547)</f>
        <v>10</v>
      </c>
      <c r="M548" s="4" t="n">
        <f aca="false">L548+MAX(K548,Y$10:Y547)</f>
        <v>5608.82985076217</v>
      </c>
      <c r="N548" s="4" t="n">
        <f aca="false">K548</f>
        <v>5198.62112579265</v>
      </c>
      <c r="O548" s="4" t="n">
        <f aca="false">M548-K548</f>
        <v>410.208724969522</v>
      </c>
      <c r="P548" s="4" t="n">
        <f aca="false">N548-K548</f>
        <v>0</v>
      </c>
      <c r="Q548" s="4" t="n">
        <f aca="false">A548-MATCH(K548,$M$9:M547,1)</f>
        <v>41</v>
      </c>
      <c r="R548" s="0" t="n">
        <f aca="false">-G548*(O548/3600)</f>
        <v>-0.893864346377157</v>
      </c>
      <c r="S548" s="0" t="n">
        <f aca="false">-1*I548-(H548*(P548/3600))</f>
        <v>-19.5</v>
      </c>
      <c r="T548" s="0" t="n">
        <f aca="false">-H548*(O548/3600)</f>
        <v>-0.110195192424271</v>
      </c>
      <c r="U548" s="0" t="n">
        <f aca="false">T548-S548</f>
        <v>19.3898048075757</v>
      </c>
      <c r="V548" s="0" t="n">
        <f aca="false">1/(1+EXP(U548))</f>
        <v>3.79415234757637E-009</v>
      </c>
      <c r="W548" s="0" t="n">
        <f aca="true">RAND()</f>
        <v>0.655471237664469</v>
      </c>
      <c r="X548" s="0" t="n">
        <f aca="false">IF(W548&lt;V548,1,0)</f>
        <v>0</v>
      </c>
      <c r="Y548" s="0" t="n">
        <f aca="false">(M548*(1-X548)+N548*X548)*D548+M548*E548</f>
        <v>5608.82985076217</v>
      </c>
      <c r="Z548" s="0" t="n">
        <f aca="false">((1-X548)*O548+X548*P548)*D548+E548*O548</f>
        <v>410.208724969522</v>
      </c>
      <c r="AA548" s="0" t="n">
        <f aca="false">IF(D548*X548&gt;0,AA547,Q548)</f>
        <v>41</v>
      </c>
      <c r="AB548" s="0" t="n">
        <f aca="false">(X548*D548)</f>
        <v>0</v>
      </c>
      <c r="AC548" s="0" t="n">
        <f aca="false">SUM(AB$10:AB547)/K548</f>
        <v>0</v>
      </c>
      <c r="AD548" s="0" t="n">
        <f aca="false">R548*E548+D548*(X548*S548+(1-X548)*T548)</f>
        <v>-0.893864346377157</v>
      </c>
      <c r="AE548" s="0" t="n">
        <f aca="false">Z548</f>
        <v>410.208724969522</v>
      </c>
      <c r="AF548" s="0" t="n">
        <f aca="false">E548*O548</f>
        <v>410.208724969522</v>
      </c>
      <c r="AG548" s="0" t="n">
        <f aca="false">((1-X548)*O548+X548*P548)*D548</f>
        <v>0</v>
      </c>
      <c r="AH548" s="0" t="n">
        <f aca="false">D548*(LN(EXP(S548)+EXP(T548)))</f>
        <v>-0</v>
      </c>
      <c r="AJ548" s="0" t="n">
        <f aca="false">$J$5</f>
        <v>10</v>
      </c>
      <c r="AK548" s="4" t="n">
        <f aca="false">AJ548+MAX(K548,AK$10:AK547)</f>
        <v>5608.82985076217</v>
      </c>
      <c r="AL548" s="5" t="n">
        <f aca="false">AK548-K548</f>
        <v>410.208724969522</v>
      </c>
      <c r="AM548" s="0" t="n">
        <f aca="false">-G548*AL548/3600</f>
        <v>-0.893864346377157</v>
      </c>
      <c r="AN548" s="0" t="n">
        <f aca="false">-H548*AL548/3600</f>
        <v>-0.110195192424271</v>
      </c>
      <c r="AO548" s="0" t="n">
        <f aca="false">AM548*E548+AN548*D548</f>
        <v>-0.893864346377157</v>
      </c>
      <c r="AP548" s="0" t="n">
        <f aca="false">AL548*D548</f>
        <v>0</v>
      </c>
      <c r="AR548" s="0" t="n">
        <f aca="false">AN548*D548</f>
        <v>-0</v>
      </c>
      <c r="AS548" s="0" t="n">
        <f aca="false">AH548-AR548</f>
        <v>0</v>
      </c>
    </row>
    <row r="549" customFormat="false" ht="12" hidden="false" customHeight="false" outlineLevel="0" collapsed="false">
      <c r="A549" s="3" t="n">
        <f aca="false">A548+1</f>
        <v>540</v>
      </c>
      <c r="B549" s="3" t="n">
        <f aca="false">IF(A549&lt;$N$4/3,0.1,(IF(A549&gt;2*$N$4/3,0.05,0.12)))</f>
        <v>0.12</v>
      </c>
      <c r="C549" s="4" t="n">
        <f aca="true">RAND()</f>
        <v>0.819828729922195</v>
      </c>
      <c r="D549" s="0" t="n">
        <f aca="false">IF((C549&gt;$M$2),1,0)</f>
        <v>0</v>
      </c>
      <c r="E549" s="0" t="n">
        <f aca="false">1-D549</f>
        <v>1</v>
      </c>
      <c r="F549" s="0" t="n">
        <f aca="true">RAND()</f>
        <v>0.445892831023886</v>
      </c>
      <c r="G549" s="0" t="n">
        <f aca="false">7.75+F549*10</f>
        <v>12.2089283102389</v>
      </c>
      <c r="H549" s="0" t="n">
        <f aca="false">LOGINV(F549,2.64,1.139)</f>
        <v>12.0016564833723</v>
      </c>
      <c r="I549" s="0" t="n">
        <v>19.5</v>
      </c>
      <c r="J549" s="4" t="n">
        <f aca="true">-LN(RAND())/B549</f>
        <v>2.73979719443407</v>
      </c>
      <c r="K549" s="4" t="n">
        <f aca="false">K548+J549</f>
        <v>5201.36092298708</v>
      </c>
      <c r="L549" s="4" t="n">
        <f aca="false">(1/$J$4)*(1+AB548)</f>
        <v>10</v>
      </c>
      <c r="M549" s="4" t="n">
        <f aca="false">L549+MAX(K549,Y$10:Y548)</f>
        <v>5618.82985076217</v>
      </c>
      <c r="N549" s="4" t="n">
        <f aca="false">K549</f>
        <v>5201.36092298708</v>
      </c>
      <c r="O549" s="4" t="n">
        <f aca="false">M549-K549</f>
        <v>417.468927775089</v>
      </c>
      <c r="P549" s="4" t="n">
        <f aca="false">N549-K549</f>
        <v>0</v>
      </c>
      <c r="Q549" s="4" t="n">
        <f aca="false">A549-MATCH(K549,$M$9:M548,1)</f>
        <v>41</v>
      </c>
      <c r="R549" s="0" t="n">
        <f aca="false">-G549*(O549/3600)</f>
        <v>-1.41579116971065</v>
      </c>
      <c r="S549" s="0" t="n">
        <f aca="false">-1*I549-(H549*(P549/3600))</f>
        <v>-19.5</v>
      </c>
      <c r="T549" s="0" t="n">
        <f aca="false">-H549*(O549/3600)</f>
        <v>-1.39175518434399</v>
      </c>
      <c r="U549" s="0" t="n">
        <f aca="false">T549-S549</f>
        <v>18.108244815656</v>
      </c>
      <c r="V549" s="0" t="n">
        <f aca="false">1/(1+EXP(U549))</f>
        <v>1.36675034966374E-008</v>
      </c>
      <c r="W549" s="0" t="n">
        <f aca="true">RAND()</f>
        <v>0.738675751183351</v>
      </c>
      <c r="X549" s="0" t="n">
        <f aca="false">IF(W549&lt;V549,1,0)</f>
        <v>0</v>
      </c>
      <c r="Y549" s="0" t="n">
        <f aca="false">(M549*(1-X549)+N549*X549)*D549+M549*E549</f>
        <v>5618.82985076217</v>
      </c>
      <c r="Z549" s="0" t="n">
        <f aca="false">((1-X549)*O549+X549*P549)*D549+E549*O549</f>
        <v>417.468927775089</v>
      </c>
      <c r="AA549" s="0" t="n">
        <f aca="false">IF(D549*X549&gt;0,AA548,Q549)</f>
        <v>41</v>
      </c>
      <c r="AB549" s="0" t="n">
        <f aca="false">(X549*D549)</f>
        <v>0</v>
      </c>
      <c r="AC549" s="0" t="n">
        <f aca="false">SUM(AB$10:AB548)/K549</f>
        <v>0</v>
      </c>
      <c r="AD549" s="0" t="n">
        <f aca="false">R549*E549+D549*(X549*S549+(1-X549)*T549)</f>
        <v>-1.41579116971065</v>
      </c>
      <c r="AE549" s="0" t="n">
        <f aca="false">Z549</f>
        <v>417.468927775089</v>
      </c>
      <c r="AF549" s="0" t="n">
        <f aca="false">E549*O549</f>
        <v>417.468927775089</v>
      </c>
      <c r="AG549" s="0" t="n">
        <f aca="false">((1-X549)*O549+X549*P549)*D549</f>
        <v>0</v>
      </c>
      <c r="AH549" s="0" t="n">
        <f aca="false">D549*(LN(EXP(S549)+EXP(T549)))</f>
        <v>-0</v>
      </c>
      <c r="AJ549" s="0" t="n">
        <f aca="false">$J$5</f>
        <v>10</v>
      </c>
      <c r="AK549" s="4" t="n">
        <f aca="false">AJ549+MAX(K549,AK$10:AK548)</f>
        <v>5618.82985076217</v>
      </c>
      <c r="AL549" s="5" t="n">
        <f aca="false">AK549-K549</f>
        <v>417.468927775089</v>
      </c>
      <c r="AM549" s="0" t="n">
        <f aca="false">-G549*AL549/3600</f>
        <v>-1.41579116971065</v>
      </c>
      <c r="AN549" s="0" t="n">
        <f aca="false">-H549*AL549/3600</f>
        <v>-1.39175518434399</v>
      </c>
      <c r="AO549" s="0" t="n">
        <f aca="false">AM549*E549+AN549*D549</f>
        <v>-1.41579116971065</v>
      </c>
      <c r="AP549" s="0" t="n">
        <f aca="false">AL549*D549</f>
        <v>0</v>
      </c>
      <c r="AR549" s="0" t="n">
        <f aca="false">AN549*D549</f>
        <v>-0</v>
      </c>
      <c r="AS549" s="0" t="n">
        <f aca="false">AH549-AR549</f>
        <v>0</v>
      </c>
    </row>
    <row r="550" customFormat="false" ht="12" hidden="false" customHeight="false" outlineLevel="0" collapsed="false">
      <c r="A550" s="3" t="n">
        <f aca="false">A549+1</f>
        <v>541</v>
      </c>
      <c r="B550" s="3" t="n">
        <f aca="false">IF(A550&lt;$N$4/3,0.1,(IF(A550&gt;2*$N$4/3,0.05,0.12)))</f>
        <v>0.12</v>
      </c>
      <c r="C550" s="4" t="n">
        <f aca="true">RAND()</f>
        <v>0.739753361877465</v>
      </c>
      <c r="D550" s="0" t="n">
        <f aca="false">IF((C550&gt;$M$2),1,0)</f>
        <v>0</v>
      </c>
      <c r="E550" s="0" t="n">
        <f aca="false">1-D550</f>
        <v>1</v>
      </c>
      <c r="F550" s="0" t="n">
        <f aca="true">RAND()</f>
        <v>0.283616432775251</v>
      </c>
      <c r="G550" s="0" t="n">
        <f aca="false">7.75+F550*10</f>
        <v>10.5861643277525</v>
      </c>
      <c r="H550" s="0" t="n">
        <f aca="false">LOGINV(F550,2.64,1.139)</f>
        <v>7.30341597301885</v>
      </c>
      <c r="I550" s="0" t="n">
        <v>19.5</v>
      </c>
      <c r="J550" s="4" t="n">
        <f aca="true">-LN(RAND())/B550</f>
        <v>1.88916668990337</v>
      </c>
      <c r="K550" s="4" t="n">
        <f aca="false">K549+J550</f>
        <v>5203.25008967699</v>
      </c>
      <c r="L550" s="4" t="n">
        <f aca="false">(1/$J$4)*(1+AB549)</f>
        <v>10</v>
      </c>
      <c r="M550" s="4" t="n">
        <f aca="false">L550+MAX(K550,Y$10:Y549)</f>
        <v>5628.82985076217</v>
      </c>
      <c r="N550" s="4" t="n">
        <f aca="false">K550</f>
        <v>5203.25008967699</v>
      </c>
      <c r="O550" s="4" t="n">
        <f aca="false">M550-K550</f>
        <v>425.579761085185</v>
      </c>
      <c r="P550" s="4" t="n">
        <f aca="false">N550-K550</f>
        <v>0</v>
      </c>
      <c r="Q550" s="4" t="n">
        <f aca="false">A550-MATCH(K550,$M$9:M549,1)</f>
        <v>42</v>
      </c>
      <c r="R550" s="0" t="n">
        <f aca="false">-G550*(O550/3600)</f>
        <v>-1.25146035705928</v>
      </c>
      <c r="S550" s="0" t="n">
        <f aca="false">-1*I550-(H550*(P550/3600))</f>
        <v>-19.5</v>
      </c>
      <c r="T550" s="0" t="n">
        <f aca="false">-H550*(O550/3600)</f>
        <v>-0.863385006917525</v>
      </c>
      <c r="U550" s="0" t="n">
        <f aca="false">T550-S550</f>
        <v>18.6366149930825</v>
      </c>
      <c r="V550" s="0" t="n">
        <f aca="false">1/(1+EXP(U550))</f>
        <v>8.05788274919238E-009</v>
      </c>
      <c r="W550" s="0" t="n">
        <f aca="true">RAND()</f>
        <v>0.482582476446213</v>
      </c>
      <c r="X550" s="0" t="n">
        <f aca="false">IF(W550&lt;V550,1,0)</f>
        <v>0</v>
      </c>
      <c r="Y550" s="0" t="n">
        <f aca="false">(M550*(1-X550)+N550*X550)*D550+M550*E550</f>
        <v>5628.82985076217</v>
      </c>
      <c r="Z550" s="0" t="n">
        <f aca="false">((1-X550)*O550+X550*P550)*D550+E550*O550</f>
        <v>425.579761085185</v>
      </c>
      <c r="AA550" s="0" t="n">
        <f aca="false">IF(D550*X550&gt;0,AA549,Q550)</f>
        <v>42</v>
      </c>
      <c r="AB550" s="0" t="n">
        <f aca="false">(X550*D550)</f>
        <v>0</v>
      </c>
      <c r="AC550" s="0" t="n">
        <f aca="false">SUM(AB$10:AB549)/K550</f>
        <v>0</v>
      </c>
      <c r="AD550" s="0" t="n">
        <f aca="false">R550*E550+D550*(X550*S550+(1-X550)*T550)</f>
        <v>-1.25146035705928</v>
      </c>
      <c r="AE550" s="0" t="n">
        <f aca="false">Z550</f>
        <v>425.579761085185</v>
      </c>
      <c r="AF550" s="0" t="n">
        <f aca="false">E550*O550</f>
        <v>425.579761085185</v>
      </c>
      <c r="AG550" s="0" t="n">
        <f aca="false">((1-X550)*O550+X550*P550)*D550</f>
        <v>0</v>
      </c>
      <c r="AH550" s="0" t="n">
        <f aca="false">D550*(LN(EXP(S550)+EXP(T550)))</f>
        <v>-0</v>
      </c>
      <c r="AJ550" s="0" t="n">
        <f aca="false">$J$5</f>
        <v>10</v>
      </c>
      <c r="AK550" s="4" t="n">
        <f aca="false">AJ550+MAX(K550,AK$10:AK549)</f>
        <v>5628.82985076217</v>
      </c>
      <c r="AL550" s="5" t="n">
        <f aca="false">AK550-K550</f>
        <v>425.579761085185</v>
      </c>
      <c r="AM550" s="0" t="n">
        <f aca="false">-G550*AL550/3600</f>
        <v>-1.25146035705928</v>
      </c>
      <c r="AN550" s="0" t="n">
        <f aca="false">-H550*AL550/3600</f>
        <v>-0.863385006917525</v>
      </c>
      <c r="AO550" s="0" t="n">
        <f aca="false">AM550*E550+AN550*D550</f>
        <v>-1.25146035705928</v>
      </c>
      <c r="AP550" s="0" t="n">
        <f aca="false">AL550*D550</f>
        <v>0</v>
      </c>
      <c r="AR550" s="0" t="n">
        <f aca="false">AN550*D550</f>
        <v>-0</v>
      </c>
      <c r="AS550" s="0" t="n">
        <f aca="false">AH550-AR550</f>
        <v>0</v>
      </c>
    </row>
    <row r="551" customFormat="false" ht="12" hidden="false" customHeight="false" outlineLevel="0" collapsed="false">
      <c r="A551" s="3" t="n">
        <f aca="false">A550+1</f>
        <v>542</v>
      </c>
      <c r="B551" s="3" t="n">
        <f aca="false">IF(A551&lt;$N$4/3,0.1,(IF(A551&gt;2*$N$4/3,0.05,0.12)))</f>
        <v>0.12</v>
      </c>
      <c r="C551" s="4" t="n">
        <f aca="true">RAND()</f>
        <v>0.639144180702619</v>
      </c>
      <c r="D551" s="0" t="n">
        <f aca="false">IF((C551&gt;$M$2),1,0)</f>
        <v>0</v>
      </c>
      <c r="E551" s="0" t="n">
        <f aca="false">1-D551</f>
        <v>1</v>
      </c>
      <c r="F551" s="0" t="n">
        <f aca="true">RAND()</f>
        <v>0.723597644672192</v>
      </c>
      <c r="G551" s="0" t="n">
        <f aca="false">7.75+F551*10</f>
        <v>14.9859764467219</v>
      </c>
      <c r="H551" s="0" t="n">
        <f aca="false">LOGINV(F551,2.64,1.139)</f>
        <v>27.5517977207206</v>
      </c>
      <c r="I551" s="0" t="n">
        <v>19.5</v>
      </c>
      <c r="J551" s="4" t="n">
        <f aca="true">-LN(RAND())/B551</f>
        <v>2.29101408859624</v>
      </c>
      <c r="K551" s="4" t="n">
        <f aca="false">K550+J551</f>
        <v>5205.54110376558</v>
      </c>
      <c r="L551" s="4" t="n">
        <f aca="false">(1/$J$4)*(1+AB550)</f>
        <v>10</v>
      </c>
      <c r="M551" s="4" t="n">
        <f aca="false">L551+MAX(K551,Y$10:Y550)</f>
        <v>5638.82985076217</v>
      </c>
      <c r="N551" s="4" t="n">
        <f aca="false">K551</f>
        <v>5205.54110376558</v>
      </c>
      <c r="O551" s="4" t="n">
        <f aca="false">M551-K551</f>
        <v>433.288746996589</v>
      </c>
      <c r="P551" s="4" t="n">
        <f aca="false">N551-K551</f>
        <v>0</v>
      </c>
      <c r="Q551" s="4" t="n">
        <f aca="false">A551-MATCH(K551,$M$9:M550,1)</f>
        <v>43</v>
      </c>
      <c r="R551" s="0" t="n">
        <f aca="false">-G551*(O551/3600)</f>
        <v>-1.80368193253348</v>
      </c>
      <c r="S551" s="0" t="n">
        <f aca="false">-1*I551-(H551*(P551/3600))</f>
        <v>-19.5</v>
      </c>
      <c r="T551" s="0" t="n">
        <f aca="false">-H551*(O551/3600)</f>
        <v>-3.3160788644207</v>
      </c>
      <c r="U551" s="0" t="n">
        <f aca="false">T551-S551</f>
        <v>16.1839211355793</v>
      </c>
      <c r="V551" s="0" t="n">
        <f aca="false">1/(1+EXP(U551))</f>
        <v>9.36294160115576E-008</v>
      </c>
      <c r="W551" s="0" t="n">
        <f aca="true">RAND()</f>
        <v>0.487046329697525</v>
      </c>
      <c r="X551" s="0" t="n">
        <f aca="false">IF(W551&lt;V551,1,0)</f>
        <v>0</v>
      </c>
      <c r="Y551" s="0" t="n">
        <f aca="false">(M551*(1-X551)+N551*X551)*D551+M551*E551</f>
        <v>5638.82985076217</v>
      </c>
      <c r="Z551" s="0" t="n">
        <f aca="false">((1-X551)*O551+X551*P551)*D551+E551*O551</f>
        <v>433.288746996589</v>
      </c>
      <c r="AA551" s="0" t="n">
        <f aca="false">IF(D551*X551&gt;0,AA550,Q551)</f>
        <v>43</v>
      </c>
      <c r="AB551" s="0" t="n">
        <f aca="false">(X551*D551)</f>
        <v>0</v>
      </c>
      <c r="AC551" s="0" t="n">
        <f aca="false">SUM(AB$10:AB550)/K551</f>
        <v>0</v>
      </c>
      <c r="AD551" s="0" t="n">
        <f aca="false">R551*E551+D551*(X551*S551+(1-X551)*T551)</f>
        <v>-1.80368193253348</v>
      </c>
      <c r="AE551" s="0" t="n">
        <f aca="false">Z551</f>
        <v>433.288746996589</v>
      </c>
      <c r="AF551" s="0" t="n">
        <f aca="false">E551*O551</f>
        <v>433.288746996589</v>
      </c>
      <c r="AG551" s="0" t="n">
        <f aca="false">((1-X551)*O551+X551*P551)*D551</f>
        <v>0</v>
      </c>
      <c r="AH551" s="0" t="n">
        <f aca="false">D551*(LN(EXP(S551)+EXP(T551)))</f>
        <v>-0</v>
      </c>
      <c r="AJ551" s="0" t="n">
        <f aca="false">$J$5</f>
        <v>10</v>
      </c>
      <c r="AK551" s="4" t="n">
        <f aca="false">AJ551+MAX(K551,AK$10:AK550)</f>
        <v>5638.82985076217</v>
      </c>
      <c r="AL551" s="5" t="n">
        <f aca="false">AK551-K551</f>
        <v>433.288746996589</v>
      </c>
      <c r="AM551" s="0" t="n">
        <f aca="false">-G551*AL551/3600</f>
        <v>-1.80368193253348</v>
      </c>
      <c r="AN551" s="0" t="n">
        <f aca="false">-H551*AL551/3600</f>
        <v>-3.3160788644207</v>
      </c>
      <c r="AO551" s="0" t="n">
        <f aca="false">AM551*E551+AN551*D551</f>
        <v>-1.80368193253348</v>
      </c>
      <c r="AP551" s="0" t="n">
        <f aca="false">AL551*D551</f>
        <v>0</v>
      </c>
      <c r="AR551" s="0" t="n">
        <f aca="false">AN551*D551</f>
        <v>-0</v>
      </c>
      <c r="AS551" s="0" t="n">
        <f aca="false">AH551-AR551</f>
        <v>0</v>
      </c>
    </row>
    <row r="552" customFormat="false" ht="12" hidden="false" customHeight="false" outlineLevel="0" collapsed="false">
      <c r="A552" s="3" t="n">
        <f aca="false">A551+1</f>
        <v>543</v>
      </c>
      <c r="B552" s="3" t="n">
        <f aca="false">IF(A552&lt;$N$4/3,0.1,(IF(A552&gt;2*$N$4/3,0.05,0.12)))</f>
        <v>0.12</v>
      </c>
      <c r="C552" s="4" t="n">
        <f aca="true">RAND()</f>
        <v>0.304079928360277</v>
      </c>
      <c r="D552" s="0" t="n">
        <f aca="false">IF((C552&gt;$M$2),1,0)</f>
        <v>0</v>
      </c>
      <c r="E552" s="0" t="n">
        <f aca="false">1-D552</f>
        <v>1</v>
      </c>
      <c r="F552" s="0" t="n">
        <f aca="true">RAND()</f>
        <v>0.0610522411416556</v>
      </c>
      <c r="G552" s="0" t="n">
        <f aca="false">7.75+F552*10</f>
        <v>8.36052241141656</v>
      </c>
      <c r="H552" s="0" t="n">
        <f aca="false">LOGINV(F552,2.64,1.139)</f>
        <v>2.40874435351368</v>
      </c>
      <c r="I552" s="0" t="n">
        <v>19.5</v>
      </c>
      <c r="J552" s="4" t="n">
        <f aca="true">-LN(RAND())/B552</f>
        <v>0.590017797779677</v>
      </c>
      <c r="K552" s="4" t="n">
        <f aca="false">K551+J552</f>
        <v>5206.13112156336</v>
      </c>
      <c r="L552" s="4" t="n">
        <f aca="false">(1/$J$4)*(1+AB551)</f>
        <v>10</v>
      </c>
      <c r="M552" s="4" t="n">
        <f aca="false">L552+MAX(K552,Y$10:Y551)</f>
        <v>5648.82985076217</v>
      </c>
      <c r="N552" s="4" t="n">
        <f aca="false">K552</f>
        <v>5206.13112156336</v>
      </c>
      <c r="O552" s="4" t="n">
        <f aca="false">M552-K552</f>
        <v>442.698729198809</v>
      </c>
      <c r="P552" s="4" t="n">
        <f aca="false">N552-K552</f>
        <v>0</v>
      </c>
      <c r="Q552" s="4" t="n">
        <f aca="false">A552-MATCH(K552,$M$9:M551,1)</f>
        <v>44</v>
      </c>
      <c r="R552" s="0" t="n">
        <f aca="false">-G552*(O552/3600)</f>
        <v>-1.02810906860341</v>
      </c>
      <c r="S552" s="0" t="n">
        <f aca="false">-1*I552-(H552*(P552/3600))</f>
        <v>-19.5</v>
      </c>
      <c r="T552" s="0" t="n">
        <f aca="false">-H552*(O552/3600)</f>
        <v>-0.296207795629254</v>
      </c>
      <c r="U552" s="0" t="n">
        <f aca="false">T552-S552</f>
        <v>19.2037922043707</v>
      </c>
      <c r="V552" s="0" t="n">
        <f aca="false">1/(1+EXP(U552))</f>
        <v>4.5698191371448E-009</v>
      </c>
      <c r="W552" s="0" t="n">
        <f aca="true">RAND()</f>
        <v>0.283185666033652</v>
      </c>
      <c r="X552" s="0" t="n">
        <f aca="false">IF(W552&lt;V552,1,0)</f>
        <v>0</v>
      </c>
      <c r="Y552" s="0" t="n">
        <f aca="false">(M552*(1-X552)+N552*X552)*D552+M552*E552</f>
        <v>5648.82985076217</v>
      </c>
      <c r="Z552" s="0" t="n">
        <f aca="false">((1-X552)*O552+X552*P552)*D552+E552*O552</f>
        <v>442.698729198809</v>
      </c>
      <c r="AA552" s="0" t="n">
        <f aca="false">IF(D552*X552&gt;0,AA551,Q552)</f>
        <v>44</v>
      </c>
      <c r="AB552" s="0" t="n">
        <f aca="false">(X552*D552)</f>
        <v>0</v>
      </c>
      <c r="AC552" s="0" t="n">
        <f aca="false">SUM(AB$10:AB551)/K552</f>
        <v>0</v>
      </c>
      <c r="AD552" s="0" t="n">
        <f aca="false">R552*E552+D552*(X552*S552+(1-X552)*T552)</f>
        <v>-1.02810906860341</v>
      </c>
      <c r="AE552" s="0" t="n">
        <f aca="false">Z552</f>
        <v>442.698729198809</v>
      </c>
      <c r="AF552" s="0" t="n">
        <f aca="false">E552*O552</f>
        <v>442.698729198809</v>
      </c>
      <c r="AG552" s="0" t="n">
        <f aca="false">((1-X552)*O552+X552*P552)*D552</f>
        <v>0</v>
      </c>
      <c r="AH552" s="0" t="n">
        <f aca="false">D552*(LN(EXP(S552)+EXP(T552)))</f>
        <v>-0</v>
      </c>
      <c r="AJ552" s="0" t="n">
        <f aca="false">$J$5</f>
        <v>10</v>
      </c>
      <c r="AK552" s="4" t="n">
        <f aca="false">AJ552+MAX(K552,AK$10:AK551)</f>
        <v>5648.82985076217</v>
      </c>
      <c r="AL552" s="5" t="n">
        <f aca="false">AK552-K552</f>
        <v>442.698729198809</v>
      </c>
      <c r="AM552" s="0" t="n">
        <f aca="false">-G552*AL552/3600</f>
        <v>-1.02810906860341</v>
      </c>
      <c r="AN552" s="0" t="n">
        <f aca="false">-H552*AL552/3600</f>
        <v>-0.296207795629254</v>
      </c>
      <c r="AO552" s="0" t="n">
        <f aca="false">AM552*E552+AN552*D552</f>
        <v>-1.02810906860341</v>
      </c>
      <c r="AP552" s="0" t="n">
        <f aca="false">AL552*D552</f>
        <v>0</v>
      </c>
      <c r="AR552" s="0" t="n">
        <f aca="false">AN552*D552</f>
        <v>-0</v>
      </c>
      <c r="AS552" s="0" t="n">
        <f aca="false">AH552-AR552</f>
        <v>0</v>
      </c>
    </row>
    <row r="553" customFormat="false" ht="12" hidden="false" customHeight="false" outlineLevel="0" collapsed="false">
      <c r="A553" s="3" t="n">
        <f aca="false">A552+1</f>
        <v>544</v>
      </c>
      <c r="B553" s="3" t="n">
        <f aca="false">IF(A553&lt;$N$4/3,0.1,(IF(A553&gt;2*$N$4/3,0.05,0.12)))</f>
        <v>0.12</v>
      </c>
      <c r="C553" s="4" t="n">
        <f aca="true">RAND()</f>
        <v>0.252774940743023</v>
      </c>
      <c r="D553" s="0" t="n">
        <f aca="false">IF((C553&gt;$M$2),1,0)</f>
        <v>0</v>
      </c>
      <c r="E553" s="0" t="n">
        <f aca="false">1-D553</f>
        <v>1</v>
      </c>
      <c r="F553" s="0" t="n">
        <f aca="true">RAND()</f>
        <v>0.686228928743206</v>
      </c>
      <c r="G553" s="0" t="n">
        <f aca="false">7.75+F553*10</f>
        <v>14.6122892874321</v>
      </c>
      <c r="H553" s="0" t="n">
        <f aca="false">LOGINV(F553,2.64,1.139)</f>
        <v>24.3524022212309</v>
      </c>
      <c r="I553" s="0" t="n">
        <v>19.5</v>
      </c>
      <c r="J553" s="4" t="n">
        <f aca="true">-LN(RAND())/B553</f>
        <v>9.88902099363711</v>
      </c>
      <c r="K553" s="4" t="n">
        <f aca="false">K552+J553</f>
        <v>5216.020142557</v>
      </c>
      <c r="L553" s="4" t="n">
        <f aca="false">(1/$J$4)*(1+AB552)</f>
        <v>10</v>
      </c>
      <c r="M553" s="4" t="n">
        <f aca="false">L553+MAX(K553,Y$10:Y552)</f>
        <v>5658.82985076217</v>
      </c>
      <c r="N553" s="4" t="n">
        <f aca="false">K553</f>
        <v>5216.020142557</v>
      </c>
      <c r="O553" s="4" t="n">
        <f aca="false">M553-K553</f>
        <v>442.809708205172</v>
      </c>
      <c r="P553" s="4" t="n">
        <f aca="false">N553-K553</f>
        <v>0</v>
      </c>
      <c r="Q553" s="4" t="n">
        <f aca="false">A553-MATCH(K553,$M$9:M552,1)</f>
        <v>44</v>
      </c>
      <c r="R553" s="0" t="n">
        <f aca="false">-G553*(O553/3600)</f>
        <v>-1.79735098766037</v>
      </c>
      <c r="S553" s="0" t="n">
        <f aca="false">-1*I553-(H553*(P553/3600))</f>
        <v>-19.5</v>
      </c>
      <c r="T553" s="0" t="n">
        <f aca="false">-H553*(O553/3600)</f>
        <v>-2.99541114491062</v>
      </c>
      <c r="U553" s="0" t="n">
        <f aca="false">T553-S553</f>
        <v>16.5045888550894</v>
      </c>
      <c r="V553" s="0" t="n">
        <f aca="false">1/(1+EXP(U553))</f>
        <v>6.79435296549256E-008</v>
      </c>
      <c r="W553" s="0" t="n">
        <f aca="true">RAND()</f>
        <v>0.748369797046684</v>
      </c>
      <c r="X553" s="0" t="n">
        <f aca="false">IF(W553&lt;V553,1,0)</f>
        <v>0</v>
      </c>
      <c r="Y553" s="0" t="n">
        <f aca="false">(M553*(1-X553)+N553*X553)*D553+M553*E553</f>
        <v>5658.82985076217</v>
      </c>
      <c r="Z553" s="0" t="n">
        <f aca="false">((1-X553)*O553+X553*P553)*D553+E553*O553</f>
        <v>442.809708205172</v>
      </c>
      <c r="AA553" s="0" t="n">
        <f aca="false">IF(D553*X553&gt;0,AA552,Q553)</f>
        <v>44</v>
      </c>
      <c r="AB553" s="0" t="n">
        <f aca="false">(X553*D553)</f>
        <v>0</v>
      </c>
      <c r="AC553" s="0" t="n">
        <f aca="false">SUM(AB$10:AB552)/K553</f>
        <v>0</v>
      </c>
      <c r="AD553" s="0" t="n">
        <f aca="false">R553*E553+D553*(X553*S553+(1-X553)*T553)</f>
        <v>-1.79735098766037</v>
      </c>
      <c r="AE553" s="0" t="n">
        <f aca="false">Z553</f>
        <v>442.809708205172</v>
      </c>
      <c r="AF553" s="0" t="n">
        <f aca="false">E553*O553</f>
        <v>442.809708205172</v>
      </c>
      <c r="AG553" s="0" t="n">
        <f aca="false">((1-X553)*O553+X553*P553)*D553</f>
        <v>0</v>
      </c>
      <c r="AH553" s="0" t="n">
        <f aca="false">D553*(LN(EXP(S553)+EXP(T553)))</f>
        <v>-0</v>
      </c>
      <c r="AJ553" s="0" t="n">
        <f aca="false">$J$5</f>
        <v>10</v>
      </c>
      <c r="AK553" s="4" t="n">
        <f aca="false">AJ553+MAX(K553,AK$10:AK552)</f>
        <v>5658.82985076217</v>
      </c>
      <c r="AL553" s="5" t="n">
        <f aca="false">AK553-K553</f>
        <v>442.809708205172</v>
      </c>
      <c r="AM553" s="0" t="n">
        <f aca="false">-G553*AL553/3600</f>
        <v>-1.79735098766038</v>
      </c>
      <c r="AN553" s="0" t="n">
        <f aca="false">-H553*AL553/3600</f>
        <v>-2.99541114491062</v>
      </c>
      <c r="AO553" s="0" t="n">
        <f aca="false">AM553*E553+AN553*D553</f>
        <v>-1.79735098766038</v>
      </c>
      <c r="AP553" s="0" t="n">
        <f aca="false">AL553*D553</f>
        <v>0</v>
      </c>
      <c r="AR553" s="0" t="n">
        <f aca="false">AN553*D553</f>
        <v>-0</v>
      </c>
      <c r="AS553" s="0" t="n">
        <f aca="false">AH553-AR553</f>
        <v>0</v>
      </c>
    </row>
    <row r="554" customFormat="false" ht="12" hidden="false" customHeight="false" outlineLevel="0" collapsed="false">
      <c r="A554" s="3" t="n">
        <f aca="false">A553+1</f>
        <v>545</v>
      </c>
      <c r="B554" s="3" t="n">
        <f aca="false">IF(A554&lt;$N$4/3,0.1,(IF(A554&gt;2*$N$4/3,0.05,0.12)))</f>
        <v>0.12</v>
      </c>
      <c r="C554" s="4" t="n">
        <f aca="true">RAND()</f>
        <v>0.47733581726801</v>
      </c>
      <c r="D554" s="0" t="n">
        <f aca="false">IF((C554&gt;$M$2),1,0)</f>
        <v>0</v>
      </c>
      <c r="E554" s="0" t="n">
        <f aca="false">1-D554</f>
        <v>1</v>
      </c>
      <c r="F554" s="0" t="n">
        <f aca="true">RAND()</f>
        <v>0.385559399242202</v>
      </c>
      <c r="G554" s="0" t="n">
        <f aca="false">7.75+F554*10</f>
        <v>11.605593992422</v>
      </c>
      <c r="H554" s="0" t="n">
        <f aca="false">LOGINV(F554,2.64,1.139)</f>
        <v>10.0608483764621</v>
      </c>
      <c r="I554" s="0" t="n">
        <v>19.5</v>
      </c>
      <c r="J554" s="4" t="n">
        <f aca="true">-LN(RAND())/B554</f>
        <v>0.635452209550048</v>
      </c>
      <c r="K554" s="4" t="n">
        <f aca="false">K553+J554</f>
        <v>5216.65559476655</v>
      </c>
      <c r="L554" s="4" t="n">
        <f aca="false">(1/$J$4)*(1+AB553)</f>
        <v>10</v>
      </c>
      <c r="M554" s="4" t="n">
        <f aca="false">L554+MAX(K554,Y$10:Y553)</f>
        <v>5668.82985076217</v>
      </c>
      <c r="N554" s="4" t="n">
        <f aca="false">K554</f>
        <v>5216.65559476655</v>
      </c>
      <c r="O554" s="4" t="n">
        <f aca="false">M554-K554</f>
        <v>452.174255995622</v>
      </c>
      <c r="P554" s="4" t="n">
        <f aca="false">N554-K554</f>
        <v>0</v>
      </c>
      <c r="Q554" s="4" t="n">
        <f aca="false">A554-MATCH(K554,$M$9:M553,1)</f>
        <v>45</v>
      </c>
      <c r="R554" s="0" t="n">
        <f aca="false">-G554*(O554/3600)</f>
        <v>-1.4577085635863</v>
      </c>
      <c r="S554" s="0" t="n">
        <f aca="false">-1*I554-(H554*(P554/3600))</f>
        <v>-19.5</v>
      </c>
      <c r="T554" s="0" t="n">
        <f aca="false">-H554*(O554/3600)</f>
        <v>-1.26368239703098</v>
      </c>
      <c r="U554" s="0" t="n">
        <f aca="false">T554-S554</f>
        <v>18.236317602969</v>
      </c>
      <c r="V554" s="0" t="n">
        <f aca="false">1/(1+EXP(U554))</f>
        <v>1.20245238911071E-008</v>
      </c>
      <c r="W554" s="0" t="n">
        <f aca="true">RAND()</f>
        <v>0.0717194578059384</v>
      </c>
      <c r="X554" s="0" t="n">
        <f aca="false">IF(W554&lt;V554,1,0)</f>
        <v>0</v>
      </c>
      <c r="Y554" s="0" t="n">
        <f aca="false">(M554*(1-X554)+N554*X554)*D554+M554*E554</f>
        <v>5668.82985076217</v>
      </c>
      <c r="Z554" s="0" t="n">
        <f aca="false">((1-X554)*O554+X554*P554)*D554+E554*O554</f>
        <v>452.174255995622</v>
      </c>
      <c r="AA554" s="0" t="n">
        <f aca="false">IF(D554*X554&gt;0,AA553,Q554)</f>
        <v>45</v>
      </c>
      <c r="AB554" s="0" t="n">
        <f aca="false">(X554*D554)</f>
        <v>0</v>
      </c>
      <c r="AC554" s="0" t="n">
        <f aca="false">SUM(AB$10:AB553)/K554</f>
        <v>0</v>
      </c>
      <c r="AD554" s="0" t="n">
        <f aca="false">R554*E554+D554*(X554*S554+(1-X554)*T554)</f>
        <v>-1.4577085635863</v>
      </c>
      <c r="AE554" s="0" t="n">
        <f aca="false">Z554</f>
        <v>452.174255995622</v>
      </c>
      <c r="AF554" s="0" t="n">
        <f aca="false">E554*O554</f>
        <v>452.174255995622</v>
      </c>
      <c r="AG554" s="0" t="n">
        <f aca="false">((1-X554)*O554+X554*P554)*D554</f>
        <v>0</v>
      </c>
      <c r="AH554" s="0" t="n">
        <f aca="false">D554*(LN(EXP(S554)+EXP(T554)))</f>
        <v>-0</v>
      </c>
      <c r="AJ554" s="0" t="n">
        <f aca="false">$J$5</f>
        <v>10</v>
      </c>
      <c r="AK554" s="4" t="n">
        <f aca="false">AJ554+MAX(K554,AK$10:AK553)</f>
        <v>5668.82985076217</v>
      </c>
      <c r="AL554" s="5" t="n">
        <f aca="false">AK554-K554</f>
        <v>452.174255995622</v>
      </c>
      <c r="AM554" s="0" t="n">
        <f aca="false">-G554*AL554/3600</f>
        <v>-1.4577085635863</v>
      </c>
      <c r="AN554" s="0" t="n">
        <f aca="false">-H554*AL554/3600</f>
        <v>-1.26368239703098</v>
      </c>
      <c r="AO554" s="0" t="n">
        <f aca="false">AM554*E554+AN554*D554</f>
        <v>-1.4577085635863</v>
      </c>
      <c r="AP554" s="0" t="n">
        <f aca="false">AL554*D554</f>
        <v>0</v>
      </c>
      <c r="AR554" s="0" t="n">
        <f aca="false">AN554*D554</f>
        <v>-0</v>
      </c>
      <c r="AS554" s="0" t="n">
        <f aca="false">AH554-AR554</f>
        <v>0</v>
      </c>
    </row>
    <row r="555" customFormat="false" ht="12" hidden="false" customHeight="false" outlineLevel="0" collapsed="false">
      <c r="A555" s="3" t="n">
        <f aca="false">A554+1</f>
        <v>546</v>
      </c>
      <c r="B555" s="3" t="n">
        <f aca="false">IF(A555&lt;$N$4/3,0.1,(IF(A555&gt;2*$N$4/3,0.05,0.12)))</f>
        <v>0.12</v>
      </c>
      <c r="C555" s="4" t="n">
        <f aca="true">RAND()</f>
        <v>0.426936744543013</v>
      </c>
      <c r="D555" s="0" t="n">
        <f aca="false">IF((C555&gt;$M$2),1,0)</f>
        <v>0</v>
      </c>
      <c r="E555" s="0" t="n">
        <f aca="false">1-D555</f>
        <v>1</v>
      </c>
      <c r="F555" s="0" t="n">
        <f aca="true">RAND()</f>
        <v>0.0997091478231277</v>
      </c>
      <c r="G555" s="0" t="n">
        <f aca="false">7.75+F555*10</f>
        <v>8.74709147823128</v>
      </c>
      <c r="H555" s="0" t="n">
        <f aca="false">LOGINV(F555,2.64,1.139)</f>
        <v>3.24924642971192</v>
      </c>
      <c r="I555" s="0" t="n">
        <v>19.5</v>
      </c>
      <c r="J555" s="4" t="n">
        <f aca="true">-LN(RAND())/B555</f>
        <v>4.31072411270469</v>
      </c>
      <c r="K555" s="4" t="n">
        <f aca="false">K554+J555</f>
        <v>5220.96631887925</v>
      </c>
      <c r="L555" s="4" t="n">
        <f aca="false">(1/$J$4)*(1+AB554)</f>
        <v>10</v>
      </c>
      <c r="M555" s="4" t="n">
        <f aca="false">L555+MAX(K555,Y$10:Y554)</f>
        <v>5678.82985076217</v>
      </c>
      <c r="N555" s="4" t="n">
        <f aca="false">K555</f>
        <v>5220.96631887925</v>
      </c>
      <c r="O555" s="4" t="n">
        <f aca="false">M555-K555</f>
        <v>457.863531882917</v>
      </c>
      <c r="P555" s="4" t="n">
        <f aca="false">N555-K555</f>
        <v>0</v>
      </c>
      <c r="Q555" s="4" t="n">
        <f aca="false">A555-MATCH(K555,$M$9:M554,1)</f>
        <v>45</v>
      </c>
      <c r="R555" s="0" t="n">
        <f aca="false">-G555*(O555/3600)</f>
        <v>-1.11249283275721</v>
      </c>
      <c r="S555" s="0" t="n">
        <f aca="false">-1*I555-(H555*(P555/3600))</f>
        <v>-19.5</v>
      </c>
      <c r="T555" s="0" t="n">
        <f aca="false">-H555*(O555/3600)</f>
        <v>-0.413253179518295</v>
      </c>
      <c r="U555" s="0" t="n">
        <f aca="false">T555-S555</f>
        <v>19.0867468204817</v>
      </c>
      <c r="V555" s="0" t="n">
        <f aca="false">1/(1+EXP(U555))</f>
        <v>5.13725562266982E-009</v>
      </c>
      <c r="W555" s="0" t="n">
        <f aca="true">RAND()</f>
        <v>0.130728720364762</v>
      </c>
      <c r="X555" s="0" t="n">
        <f aca="false">IF(W555&lt;V555,1,0)</f>
        <v>0</v>
      </c>
      <c r="Y555" s="0" t="n">
        <f aca="false">(M555*(1-X555)+N555*X555)*D555+M555*E555</f>
        <v>5678.82985076217</v>
      </c>
      <c r="Z555" s="0" t="n">
        <f aca="false">((1-X555)*O555+X555*P555)*D555+E555*O555</f>
        <v>457.863531882917</v>
      </c>
      <c r="AA555" s="0" t="n">
        <f aca="false">IF(D555*X555&gt;0,AA554,Q555)</f>
        <v>45</v>
      </c>
      <c r="AB555" s="0" t="n">
        <f aca="false">(X555*D555)</f>
        <v>0</v>
      </c>
      <c r="AC555" s="0" t="n">
        <f aca="false">SUM(AB$10:AB554)/K555</f>
        <v>0</v>
      </c>
      <c r="AD555" s="0" t="n">
        <f aca="false">R555*E555+D555*(X555*S555+(1-X555)*T555)</f>
        <v>-1.11249283275721</v>
      </c>
      <c r="AE555" s="0" t="n">
        <f aca="false">Z555</f>
        <v>457.863531882917</v>
      </c>
      <c r="AF555" s="0" t="n">
        <f aca="false">E555*O555</f>
        <v>457.863531882917</v>
      </c>
      <c r="AG555" s="0" t="n">
        <f aca="false">((1-X555)*O555+X555*P555)*D555</f>
        <v>0</v>
      </c>
      <c r="AH555" s="0" t="n">
        <f aca="false">D555*(LN(EXP(S555)+EXP(T555)))</f>
        <v>-0</v>
      </c>
      <c r="AJ555" s="0" t="n">
        <f aca="false">$J$5</f>
        <v>10</v>
      </c>
      <c r="AK555" s="4" t="n">
        <f aca="false">AJ555+MAX(K555,AK$10:AK554)</f>
        <v>5678.82985076217</v>
      </c>
      <c r="AL555" s="5" t="n">
        <f aca="false">AK555-K555</f>
        <v>457.863531882917</v>
      </c>
      <c r="AM555" s="0" t="n">
        <f aca="false">-G555*AL555/3600</f>
        <v>-1.11249283275721</v>
      </c>
      <c r="AN555" s="0" t="n">
        <f aca="false">-H555*AL555/3600</f>
        <v>-0.413253179518295</v>
      </c>
      <c r="AO555" s="0" t="n">
        <f aca="false">AM555*E555+AN555*D555</f>
        <v>-1.11249283275721</v>
      </c>
      <c r="AP555" s="0" t="n">
        <f aca="false">AL555*D555</f>
        <v>0</v>
      </c>
      <c r="AR555" s="0" t="n">
        <f aca="false">AN555*D555</f>
        <v>-0</v>
      </c>
      <c r="AS555" s="0" t="n">
        <f aca="false">AH555-AR555</f>
        <v>0</v>
      </c>
    </row>
    <row r="556" customFormat="false" ht="12" hidden="false" customHeight="false" outlineLevel="0" collapsed="false">
      <c r="A556" s="3" t="n">
        <f aca="false">A555+1</f>
        <v>547</v>
      </c>
      <c r="B556" s="3" t="n">
        <f aca="false">IF(A556&lt;$N$4/3,0.1,(IF(A556&gt;2*$N$4/3,0.05,0.12)))</f>
        <v>0.12</v>
      </c>
      <c r="C556" s="4" t="n">
        <f aca="true">RAND()</f>
        <v>0.253342468001631</v>
      </c>
      <c r="D556" s="0" t="n">
        <f aca="false">IF((C556&gt;$M$2),1,0)</f>
        <v>0</v>
      </c>
      <c r="E556" s="0" t="n">
        <f aca="false">1-D556</f>
        <v>1</v>
      </c>
      <c r="F556" s="0" t="n">
        <f aca="true">RAND()</f>
        <v>0.982476241128675</v>
      </c>
      <c r="G556" s="0" t="n">
        <f aca="false">7.75+F556*10</f>
        <v>17.5747624112868</v>
      </c>
      <c r="H556" s="0" t="n">
        <f aca="false">LOGINV(F556,2.64,1.139)</f>
        <v>154.592775134989</v>
      </c>
      <c r="I556" s="0" t="n">
        <v>19.5</v>
      </c>
      <c r="J556" s="4" t="n">
        <f aca="true">-LN(RAND())/B556</f>
        <v>4.60803360050845</v>
      </c>
      <c r="K556" s="4" t="n">
        <f aca="false">K555+J556</f>
        <v>5225.57435247976</v>
      </c>
      <c r="L556" s="4" t="n">
        <f aca="false">(1/$J$4)*(1+AB555)</f>
        <v>10</v>
      </c>
      <c r="M556" s="4" t="n">
        <f aca="false">L556+MAX(K556,Y$10:Y555)</f>
        <v>5688.82985076217</v>
      </c>
      <c r="N556" s="4" t="n">
        <f aca="false">K556</f>
        <v>5225.57435247976</v>
      </c>
      <c r="O556" s="4" t="n">
        <f aca="false">M556-K556</f>
        <v>463.255498282409</v>
      </c>
      <c r="P556" s="4" t="n">
        <f aca="false">N556-K556</f>
        <v>0</v>
      </c>
      <c r="Q556" s="4" t="n">
        <f aca="false">A556-MATCH(K556,$M$9:M555,1)</f>
        <v>46</v>
      </c>
      <c r="R556" s="0" t="n">
        <f aca="false">-G556*(O556/3600)</f>
        <v>-2.26155703278766</v>
      </c>
      <c r="S556" s="0" t="n">
        <f aca="false">-1*I556-(H556*(P556/3600))</f>
        <v>-19.5</v>
      </c>
      <c r="T556" s="0" t="n">
        <f aca="false">-H556*(O556/3600)</f>
        <v>-19.8933202988943</v>
      </c>
      <c r="U556" s="0" t="n">
        <f aca="false">T556-S556</f>
        <v>-0.393320298894338</v>
      </c>
      <c r="V556" s="0" t="n">
        <f aca="false">1/(1+EXP(U556))</f>
        <v>0.597081737483876</v>
      </c>
      <c r="W556" s="0" t="n">
        <f aca="true">RAND()</f>
        <v>0.204827982002509</v>
      </c>
      <c r="X556" s="0" t="n">
        <f aca="false">IF(W556&lt;V556,1,0)</f>
        <v>1</v>
      </c>
      <c r="Y556" s="0" t="n">
        <f aca="false">(M556*(1-X556)+N556*X556)*D556+M556*E556</f>
        <v>5688.82985076217</v>
      </c>
      <c r="Z556" s="0" t="n">
        <f aca="false">((1-X556)*O556+X556*P556)*D556+E556*O556</f>
        <v>463.255498282409</v>
      </c>
      <c r="AA556" s="0" t="n">
        <f aca="false">IF(D556*X556&gt;0,AA555,Q556)</f>
        <v>46</v>
      </c>
      <c r="AB556" s="0" t="n">
        <f aca="false">(X556*D556)</f>
        <v>0</v>
      </c>
      <c r="AC556" s="0" t="n">
        <f aca="false">SUM(AB$10:AB555)/K556</f>
        <v>0</v>
      </c>
      <c r="AD556" s="0" t="n">
        <f aca="false">R556*E556+D556*(X556*S556+(1-X556)*T556)</f>
        <v>-2.26155703278766</v>
      </c>
      <c r="AE556" s="0" t="n">
        <f aca="false">Z556</f>
        <v>463.255498282409</v>
      </c>
      <c r="AF556" s="0" t="n">
        <f aca="false">E556*O556</f>
        <v>463.255498282409</v>
      </c>
      <c r="AG556" s="0" t="n">
        <f aca="false">((1-X556)*O556+X556*P556)*D556</f>
        <v>0</v>
      </c>
      <c r="AH556" s="0" t="n">
        <f aca="false">D556*(LN(EXP(S556)+EXP(T556)))</f>
        <v>-0</v>
      </c>
      <c r="AJ556" s="0" t="n">
        <f aca="false">$J$5</f>
        <v>10</v>
      </c>
      <c r="AK556" s="4" t="n">
        <f aca="false">AJ556+MAX(K556,AK$10:AK555)</f>
        <v>5688.82985076217</v>
      </c>
      <c r="AL556" s="5" t="n">
        <f aca="false">AK556-K556</f>
        <v>463.255498282409</v>
      </c>
      <c r="AM556" s="0" t="n">
        <f aca="false">-G556*AL556/3600</f>
        <v>-2.26155703278766</v>
      </c>
      <c r="AN556" s="0" t="n">
        <f aca="false">-H556*AL556/3600</f>
        <v>-19.8933202988943</v>
      </c>
      <c r="AO556" s="0" t="n">
        <f aca="false">AM556*E556+AN556*D556</f>
        <v>-2.26155703278766</v>
      </c>
      <c r="AP556" s="0" t="n">
        <f aca="false">AL556*D556</f>
        <v>0</v>
      </c>
      <c r="AR556" s="0" t="n">
        <f aca="false">AN556*D556</f>
        <v>-0</v>
      </c>
      <c r="AS556" s="0" t="n">
        <f aca="false">AH556-AR556</f>
        <v>0</v>
      </c>
    </row>
    <row r="557" customFormat="false" ht="12" hidden="false" customHeight="false" outlineLevel="0" collapsed="false">
      <c r="A557" s="3" t="n">
        <f aca="false">A556+1</f>
        <v>548</v>
      </c>
      <c r="B557" s="3" t="n">
        <f aca="false">IF(A557&lt;$N$4/3,0.1,(IF(A557&gt;2*$N$4/3,0.05,0.12)))</f>
        <v>0.12</v>
      </c>
      <c r="C557" s="4" t="n">
        <f aca="true">RAND()</f>
        <v>0.607974100708109</v>
      </c>
      <c r="D557" s="0" t="n">
        <f aca="false">IF((C557&gt;$M$2),1,0)</f>
        <v>0</v>
      </c>
      <c r="E557" s="0" t="n">
        <f aca="false">1-D557</f>
        <v>1</v>
      </c>
      <c r="F557" s="0" t="n">
        <f aca="true">RAND()</f>
        <v>0.673660317602772</v>
      </c>
      <c r="G557" s="0" t="n">
        <f aca="false">7.75+F557*10</f>
        <v>14.4866031760277</v>
      </c>
      <c r="H557" s="0" t="n">
        <f aca="false">LOGINV(F557,2.64,1.139)</f>
        <v>23.3967959735413</v>
      </c>
      <c r="I557" s="0" t="n">
        <v>19.5</v>
      </c>
      <c r="J557" s="4" t="n">
        <f aca="true">-LN(RAND())/B557</f>
        <v>13.6888472186496</v>
      </c>
      <c r="K557" s="4" t="n">
        <f aca="false">K556+J557</f>
        <v>5239.26319969841</v>
      </c>
      <c r="L557" s="4" t="n">
        <f aca="false">(1/$J$4)*(1+AB556)</f>
        <v>10</v>
      </c>
      <c r="M557" s="4" t="n">
        <f aca="false">L557+MAX(K557,Y$10:Y556)</f>
        <v>5698.82985076217</v>
      </c>
      <c r="N557" s="4" t="n">
        <f aca="false">K557</f>
        <v>5239.26319969841</v>
      </c>
      <c r="O557" s="4" t="n">
        <f aca="false">M557-K557</f>
        <v>459.566651063759</v>
      </c>
      <c r="P557" s="4" t="n">
        <f aca="false">N557-K557</f>
        <v>0</v>
      </c>
      <c r="Q557" s="4" t="n">
        <f aca="false">A557-MATCH(K557,$M$9:M556,1)</f>
        <v>45</v>
      </c>
      <c r="R557" s="0" t="n">
        <f aca="false">-G557*(O557/3600)</f>
        <v>-1.84932214080463</v>
      </c>
      <c r="S557" s="0" t="n">
        <f aca="false">-1*I557-(H557*(P557/3600))</f>
        <v>-19.5</v>
      </c>
      <c r="T557" s="0" t="n">
        <f aca="false">-H557*(O557/3600)</f>
        <v>-2.98677421421733</v>
      </c>
      <c r="U557" s="0" t="n">
        <f aca="false">T557-S557</f>
        <v>16.5132257857827</v>
      </c>
      <c r="V557" s="0" t="n">
        <f aca="false">1/(1+EXP(U557))</f>
        <v>6.73592330346791E-008</v>
      </c>
      <c r="W557" s="0" t="n">
        <f aca="true">RAND()</f>
        <v>0.115169796539399</v>
      </c>
      <c r="X557" s="0" t="n">
        <f aca="false">IF(W557&lt;V557,1,0)</f>
        <v>0</v>
      </c>
      <c r="Y557" s="0" t="n">
        <f aca="false">(M557*(1-X557)+N557*X557)*D557+M557*E557</f>
        <v>5698.82985076217</v>
      </c>
      <c r="Z557" s="0" t="n">
        <f aca="false">((1-X557)*O557+X557*P557)*D557+E557*O557</f>
        <v>459.566651063759</v>
      </c>
      <c r="AA557" s="0" t="n">
        <f aca="false">IF(D557*X557&gt;0,AA556,Q557)</f>
        <v>45</v>
      </c>
      <c r="AB557" s="0" t="n">
        <f aca="false">(X557*D557)</f>
        <v>0</v>
      </c>
      <c r="AC557" s="0" t="n">
        <f aca="false">SUM(AB$10:AB556)/K557</f>
        <v>0</v>
      </c>
      <c r="AD557" s="0" t="n">
        <f aca="false">R557*E557+D557*(X557*S557+(1-X557)*T557)</f>
        <v>-1.84932214080463</v>
      </c>
      <c r="AE557" s="0" t="n">
        <f aca="false">Z557</f>
        <v>459.566651063759</v>
      </c>
      <c r="AF557" s="0" t="n">
        <f aca="false">E557*O557</f>
        <v>459.566651063759</v>
      </c>
      <c r="AG557" s="0" t="n">
        <f aca="false">((1-X557)*O557+X557*P557)*D557</f>
        <v>0</v>
      </c>
      <c r="AH557" s="0" t="n">
        <f aca="false">D557*(LN(EXP(S557)+EXP(T557)))</f>
        <v>-0</v>
      </c>
      <c r="AJ557" s="0" t="n">
        <f aca="false">$J$5</f>
        <v>10</v>
      </c>
      <c r="AK557" s="4" t="n">
        <f aca="false">AJ557+MAX(K557,AK$10:AK556)</f>
        <v>5698.82985076217</v>
      </c>
      <c r="AL557" s="5" t="n">
        <f aca="false">AK557-K557</f>
        <v>459.566651063759</v>
      </c>
      <c r="AM557" s="0" t="n">
        <f aca="false">-G557*AL557/3600</f>
        <v>-1.84932214080463</v>
      </c>
      <c r="AN557" s="0" t="n">
        <f aca="false">-H557*AL557/3600</f>
        <v>-2.98677421421733</v>
      </c>
      <c r="AO557" s="0" t="n">
        <f aca="false">AM557*E557+AN557*D557</f>
        <v>-1.84932214080463</v>
      </c>
      <c r="AP557" s="0" t="n">
        <f aca="false">AL557*D557</f>
        <v>0</v>
      </c>
      <c r="AR557" s="0" t="n">
        <f aca="false">AN557*D557</f>
        <v>-0</v>
      </c>
      <c r="AS557" s="0" t="n">
        <f aca="false">AH557-AR557</f>
        <v>0</v>
      </c>
    </row>
    <row r="558" customFormat="false" ht="12" hidden="false" customHeight="false" outlineLevel="0" collapsed="false">
      <c r="A558" s="3" t="n">
        <f aca="false">A557+1</f>
        <v>549</v>
      </c>
      <c r="B558" s="3" t="n">
        <f aca="false">IF(A558&lt;$N$4/3,0.1,(IF(A558&gt;2*$N$4/3,0.05,0.12)))</f>
        <v>0.12</v>
      </c>
      <c r="C558" s="4" t="n">
        <f aca="true">RAND()</f>
        <v>0.583620771822575</v>
      </c>
      <c r="D558" s="0" t="n">
        <f aca="false">IF((C558&gt;$M$2),1,0)</f>
        <v>0</v>
      </c>
      <c r="E558" s="0" t="n">
        <f aca="false">1-D558</f>
        <v>1</v>
      </c>
      <c r="F558" s="0" t="n">
        <f aca="true">RAND()</f>
        <v>0.288900161040327</v>
      </c>
      <c r="G558" s="0" t="n">
        <f aca="false">7.75+F558*10</f>
        <v>10.6390016104033</v>
      </c>
      <c r="H558" s="0" t="n">
        <f aca="false">LOGINV(F558,2.64,1.139)</f>
        <v>7.43376069305339</v>
      </c>
      <c r="I558" s="0" t="n">
        <v>19.5</v>
      </c>
      <c r="J558" s="4" t="n">
        <f aca="true">-LN(RAND())/B558</f>
        <v>0.248498965915561</v>
      </c>
      <c r="K558" s="4" t="n">
        <f aca="false">K557+J558</f>
        <v>5239.51169866433</v>
      </c>
      <c r="L558" s="4" t="n">
        <f aca="false">(1/$J$4)*(1+AB557)</f>
        <v>10</v>
      </c>
      <c r="M558" s="4" t="n">
        <f aca="false">L558+MAX(K558,Y$10:Y557)</f>
        <v>5708.82985076217</v>
      </c>
      <c r="N558" s="4" t="n">
        <f aca="false">K558</f>
        <v>5239.51169866433</v>
      </c>
      <c r="O558" s="4" t="n">
        <f aca="false">M558-K558</f>
        <v>469.318152097844</v>
      </c>
      <c r="P558" s="4" t="n">
        <f aca="false">N558-K558</f>
        <v>0</v>
      </c>
      <c r="Q558" s="4" t="n">
        <f aca="false">A558-MATCH(K558,$M$9:M557,1)</f>
        <v>46</v>
      </c>
      <c r="R558" s="0" t="n">
        <f aca="false">-G558*(O558/3600)</f>
        <v>-1.38696571554457</v>
      </c>
      <c r="S558" s="0" t="n">
        <f aca="false">-1*I558-(H558*(P558/3600))</f>
        <v>-19.5</v>
      </c>
      <c r="T558" s="0" t="n">
        <f aca="false">-H558*(O558/3600)</f>
        <v>-0.969110786555947</v>
      </c>
      <c r="U558" s="0" t="n">
        <f aca="false">T558-S558</f>
        <v>18.5308892134441</v>
      </c>
      <c r="V558" s="0" t="n">
        <f aca="false">1/(1+EXP(U558))</f>
        <v>8.95647392652777E-009</v>
      </c>
      <c r="W558" s="0" t="n">
        <f aca="true">RAND()</f>
        <v>0.768004386479156</v>
      </c>
      <c r="X558" s="0" t="n">
        <f aca="false">IF(W558&lt;V558,1,0)</f>
        <v>0</v>
      </c>
      <c r="Y558" s="0" t="n">
        <f aca="false">(M558*(1-X558)+N558*X558)*D558+M558*E558</f>
        <v>5708.82985076217</v>
      </c>
      <c r="Z558" s="0" t="n">
        <f aca="false">((1-X558)*O558+X558*P558)*D558+E558*O558</f>
        <v>469.318152097844</v>
      </c>
      <c r="AA558" s="0" t="n">
        <f aca="false">IF(D558*X558&gt;0,AA557,Q558)</f>
        <v>46</v>
      </c>
      <c r="AB558" s="0" t="n">
        <f aca="false">(X558*D558)</f>
        <v>0</v>
      </c>
      <c r="AC558" s="0" t="n">
        <f aca="false">SUM(AB$10:AB557)/K558</f>
        <v>0</v>
      </c>
      <c r="AD558" s="0" t="n">
        <f aca="false">R558*E558+D558*(X558*S558+(1-X558)*T558)</f>
        <v>-1.38696571554457</v>
      </c>
      <c r="AE558" s="0" t="n">
        <f aca="false">Z558</f>
        <v>469.318152097844</v>
      </c>
      <c r="AF558" s="0" t="n">
        <f aca="false">E558*O558</f>
        <v>469.318152097844</v>
      </c>
      <c r="AG558" s="0" t="n">
        <f aca="false">((1-X558)*O558+X558*P558)*D558</f>
        <v>0</v>
      </c>
      <c r="AH558" s="0" t="n">
        <f aca="false">D558*(LN(EXP(S558)+EXP(T558)))</f>
        <v>-0</v>
      </c>
      <c r="AJ558" s="0" t="n">
        <f aca="false">$J$5</f>
        <v>10</v>
      </c>
      <c r="AK558" s="4" t="n">
        <f aca="false">AJ558+MAX(K558,AK$10:AK557)</f>
        <v>5708.82985076217</v>
      </c>
      <c r="AL558" s="5" t="n">
        <f aca="false">AK558-K558</f>
        <v>469.318152097844</v>
      </c>
      <c r="AM558" s="0" t="n">
        <f aca="false">-G558*AL558/3600</f>
        <v>-1.38696571554457</v>
      </c>
      <c r="AN558" s="0" t="n">
        <f aca="false">-H558*AL558/3600</f>
        <v>-0.969110786555947</v>
      </c>
      <c r="AO558" s="0" t="n">
        <f aca="false">AM558*E558+AN558*D558</f>
        <v>-1.38696571554457</v>
      </c>
      <c r="AP558" s="0" t="n">
        <f aca="false">AL558*D558</f>
        <v>0</v>
      </c>
      <c r="AR558" s="0" t="n">
        <f aca="false">AN558*D558</f>
        <v>-0</v>
      </c>
      <c r="AS558" s="0" t="n">
        <f aca="false">AH558-AR558</f>
        <v>0</v>
      </c>
    </row>
    <row r="559" customFormat="false" ht="12" hidden="false" customHeight="false" outlineLevel="0" collapsed="false">
      <c r="A559" s="3" t="n">
        <f aca="false">A558+1</f>
        <v>550</v>
      </c>
      <c r="B559" s="3" t="n">
        <f aca="false">IF(A559&lt;$N$4/3,0.1,(IF(A559&gt;2*$N$4/3,0.05,0.12)))</f>
        <v>0.12</v>
      </c>
      <c r="C559" s="4" t="n">
        <f aca="true">RAND()</f>
        <v>0.172749971667862</v>
      </c>
      <c r="D559" s="0" t="n">
        <f aca="false">IF((C559&gt;$M$2),1,0)</f>
        <v>0</v>
      </c>
      <c r="E559" s="0" t="n">
        <f aca="false">1-D559</f>
        <v>1</v>
      </c>
      <c r="F559" s="0" t="n">
        <f aca="true">RAND()</f>
        <v>0.24850482286233</v>
      </c>
      <c r="G559" s="0" t="n">
        <f aca="false">7.75+F559*10</f>
        <v>10.2350482286233</v>
      </c>
      <c r="H559" s="0" t="n">
        <f aca="false">LOGINV(F559,2.64,1.139)</f>
        <v>6.46490618142407</v>
      </c>
      <c r="I559" s="0" t="n">
        <v>19.5</v>
      </c>
      <c r="J559" s="4" t="n">
        <f aca="true">-LN(RAND())/B559</f>
        <v>4.52714060341155</v>
      </c>
      <c r="K559" s="4" t="n">
        <f aca="false">K558+J559</f>
        <v>5244.03883926774</v>
      </c>
      <c r="L559" s="4" t="n">
        <f aca="false">(1/$J$4)*(1+AB558)</f>
        <v>10</v>
      </c>
      <c r="M559" s="4" t="n">
        <f aca="false">L559+MAX(K559,Y$10:Y558)</f>
        <v>5718.82985076217</v>
      </c>
      <c r="N559" s="4" t="n">
        <f aca="false">K559</f>
        <v>5244.03883926774</v>
      </c>
      <c r="O559" s="4" t="n">
        <f aca="false">M559-K559</f>
        <v>474.791011494433</v>
      </c>
      <c r="P559" s="4" t="n">
        <f aca="false">N559-K559</f>
        <v>0</v>
      </c>
      <c r="Q559" s="4" t="n">
        <f aca="false">A559-MATCH(K559,$M$9:M558,1)</f>
        <v>47</v>
      </c>
      <c r="R559" s="0" t="n">
        <f aca="false">-G559*(O559/3600)</f>
        <v>-1.34986358365621</v>
      </c>
      <c r="S559" s="0" t="n">
        <f aca="false">-1*I559-(H559*(P559/3600))</f>
        <v>-19.5</v>
      </c>
      <c r="T559" s="0" t="n">
        <f aca="false">-H559*(O559/3600)</f>
        <v>-0.852633151415262</v>
      </c>
      <c r="U559" s="0" t="n">
        <f aca="false">T559-S559</f>
        <v>18.6473668485847</v>
      </c>
      <c r="V559" s="0" t="n">
        <f aca="false">1/(1+EXP(U559))</f>
        <v>7.97170964941782E-009</v>
      </c>
      <c r="W559" s="0" t="n">
        <f aca="true">RAND()</f>
        <v>0.415017144013716</v>
      </c>
      <c r="X559" s="0" t="n">
        <f aca="false">IF(W559&lt;V559,1,0)</f>
        <v>0</v>
      </c>
      <c r="Y559" s="0" t="n">
        <f aca="false">(M559*(1-X559)+N559*X559)*D559+M559*E559</f>
        <v>5718.82985076217</v>
      </c>
      <c r="Z559" s="0" t="n">
        <f aca="false">((1-X559)*O559+X559*P559)*D559+E559*O559</f>
        <v>474.791011494433</v>
      </c>
      <c r="AA559" s="0" t="n">
        <f aca="false">IF(D559*X559&gt;0,AA558,Q559)</f>
        <v>47</v>
      </c>
      <c r="AB559" s="0" t="n">
        <f aca="false">(X559*D559)</f>
        <v>0</v>
      </c>
      <c r="AC559" s="0" t="n">
        <f aca="false">SUM(AB$10:AB558)/K559</f>
        <v>0</v>
      </c>
      <c r="AD559" s="0" t="n">
        <f aca="false">R559*E559+D559*(X559*S559+(1-X559)*T559)</f>
        <v>-1.34986358365621</v>
      </c>
      <c r="AE559" s="0" t="n">
        <f aca="false">Z559</f>
        <v>474.791011494433</v>
      </c>
      <c r="AF559" s="0" t="n">
        <f aca="false">E559*O559</f>
        <v>474.791011494433</v>
      </c>
      <c r="AG559" s="0" t="n">
        <f aca="false">((1-X559)*O559+X559*P559)*D559</f>
        <v>0</v>
      </c>
      <c r="AH559" s="0" t="n">
        <f aca="false">D559*(LN(EXP(S559)+EXP(T559)))</f>
        <v>-0</v>
      </c>
      <c r="AJ559" s="0" t="n">
        <f aca="false">$J$5</f>
        <v>10</v>
      </c>
      <c r="AK559" s="4" t="n">
        <f aca="false">AJ559+MAX(K559,AK$10:AK558)</f>
        <v>5718.82985076217</v>
      </c>
      <c r="AL559" s="5" t="n">
        <f aca="false">AK559-K559</f>
        <v>474.791011494433</v>
      </c>
      <c r="AM559" s="0" t="n">
        <f aca="false">-G559*AL559/3600</f>
        <v>-1.34986358365621</v>
      </c>
      <c r="AN559" s="0" t="n">
        <f aca="false">-H559*AL559/3600</f>
        <v>-0.852633151415262</v>
      </c>
      <c r="AO559" s="0" t="n">
        <f aca="false">AM559*E559+AN559*D559</f>
        <v>-1.34986358365621</v>
      </c>
      <c r="AP559" s="0" t="n">
        <f aca="false">AL559*D559</f>
        <v>0</v>
      </c>
      <c r="AR559" s="0" t="n">
        <f aca="false">AN559*D559</f>
        <v>-0</v>
      </c>
      <c r="AS559" s="0" t="n">
        <f aca="false">AH559-AR559</f>
        <v>0</v>
      </c>
    </row>
    <row r="560" customFormat="false" ht="12" hidden="false" customHeight="false" outlineLevel="0" collapsed="false">
      <c r="A560" s="3" t="n">
        <f aca="false">A559+1</f>
        <v>551</v>
      </c>
      <c r="B560" s="3" t="n">
        <f aca="false">IF(A560&lt;$N$4/3,0.1,(IF(A560&gt;2*$N$4/3,0.05,0.12)))</f>
        <v>0.12</v>
      </c>
      <c r="C560" s="4" t="n">
        <f aca="true">RAND()</f>
        <v>0.42890595343051</v>
      </c>
      <c r="D560" s="0" t="n">
        <f aca="false">IF((C560&gt;$M$2),1,0)</f>
        <v>0</v>
      </c>
      <c r="E560" s="0" t="n">
        <f aca="false">1-D560</f>
        <v>1</v>
      </c>
      <c r="F560" s="0" t="n">
        <f aca="true">RAND()</f>
        <v>0.618895393668563</v>
      </c>
      <c r="G560" s="0" t="n">
        <f aca="false">7.75+F560*10</f>
        <v>13.9389539366856</v>
      </c>
      <c r="H560" s="0" t="n">
        <f aca="false">LOGINV(F560,2.64,1.139)</f>
        <v>19.7793751152077</v>
      </c>
      <c r="I560" s="0" t="n">
        <v>19.5</v>
      </c>
      <c r="J560" s="4" t="n">
        <f aca="true">-LN(RAND())/B560</f>
        <v>15.3163599243094</v>
      </c>
      <c r="K560" s="4" t="n">
        <f aca="false">K559+J560</f>
        <v>5259.35519919205</v>
      </c>
      <c r="L560" s="4" t="n">
        <f aca="false">(1/$J$4)*(1+AB559)</f>
        <v>10</v>
      </c>
      <c r="M560" s="4" t="n">
        <f aca="false">L560+MAX(K560,Y$10:Y559)</f>
        <v>5728.82985076217</v>
      </c>
      <c r="N560" s="4" t="n">
        <f aca="false">K560</f>
        <v>5259.35519919205</v>
      </c>
      <c r="O560" s="4" t="n">
        <f aca="false">M560-K560</f>
        <v>469.474651570123</v>
      </c>
      <c r="P560" s="4" t="n">
        <f aca="false">N560-K560</f>
        <v>0</v>
      </c>
      <c r="Q560" s="4" t="n">
        <f aca="false">A560-MATCH(K560,$M$9:M559,1)</f>
        <v>46</v>
      </c>
      <c r="R560" s="0" t="n">
        <f aca="false">-G560*(O560/3600)</f>
        <v>-1.81777376185485</v>
      </c>
      <c r="S560" s="0" t="n">
        <f aca="false">-1*I560-(H560*(P560/3600))</f>
        <v>-19.5</v>
      </c>
      <c r="T560" s="0" t="n">
        <f aca="false">-H560*(O560/3600)</f>
        <v>-2.57942090013524</v>
      </c>
      <c r="U560" s="0" t="n">
        <f aca="false">T560-S560</f>
        <v>16.9205790998648</v>
      </c>
      <c r="V560" s="0" t="n">
        <f aca="false">1/(1+EXP(U560))</f>
        <v>4.48214442979049E-008</v>
      </c>
      <c r="W560" s="0" t="n">
        <f aca="true">RAND()</f>
        <v>0.169836568107265</v>
      </c>
      <c r="X560" s="0" t="n">
        <f aca="false">IF(W560&lt;V560,1,0)</f>
        <v>0</v>
      </c>
      <c r="Y560" s="0" t="n">
        <f aca="false">(M560*(1-X560)+N560*X560)*D560+M560*E560</f>
        <v>5728.82985076217</v>
      </c>
      <c r="Z560" s="0" t="n">
        <f aca="false">((1-X560)*O560+X560*P560)*D560+E560*O560</f>
        <v>469.474651570123</v>
      </c>
      <c r="AA560" s="0" t="n">
        <f aca="false">IF(D560*X560&gt;0,AA559,Q560)</f>
        <v>46</v>
      </c>
      <c r="AB560" s="0" t="n">
        <f aca="false">(X560*D560)</f>
        <v>0</v>
      </c>
      <c r="AC560" s="0" t="n">
        <f aca="false">SUM(AB$10:AB559)/K560</f>
        <v>0</v>
      </c>
      <c r="AD560" s="0" t="n">
        <f aca="false">R560*E560+D560*(X560*S560+(1-X560)*T560)</f>
        <v>-1.81777376185485</v>
      </c>
      <c r="AE560" s="0" t="n">
        <f aca="false">Z560</f>
        <v>469.474651570123</v>
      </c>
      <c r="AF560" s="0" t="n">
        <f aca="false">E560*O560</f>
        <v>469.474651570123</v>
      </c>
      <c r="AG560" s="0" t="n">
        <f aca="false">((1-X560)*O560+X560*P560)*D560</f>
        <v>0</v>
      </c>
      <c r="AH560" s="0" t="n">
        <f aca="false">D560*(LN(EXP(S560)+EXP(T560)))</f>
        <v>-0</v>
      </c>
      <c r="AJ560" s="0" t="n">
        <f aca="false">$J$5</f>
        <v>10</v>
      </c>
      <c r="AK560" s="4" t="n">
        <f aca="false">AJ560+MAX(K560,AK$10:AK559)</f>
        <v>5728.82985076217</v>
      </c>
      <c r="AL560" s="5" t="n">
        <f aca="false">AK560-K560</f>
        <v>469.474651570123</v>
      </c>
      <c r="AM560" s="0" t="n">
        <f aca="false">-G560*AL560/3600</f>
        <v>-1.81777376185485</v>
      </c>
      <c r="AN560" s="0" t="n">
        <f aca="false">-H560*AL560/3600</f>
        <v>-2.57942090013525</v>
      </c>
      <c r="AO560" s="0" t="n">
        <f aca="false">AM560*E560+AN560*D560</f>
        <v>-1.81777376185485</v>
      </c>
      <c r="AP560" s="0" t="n">
        <f aca="false">AL560*D560</f>
        <v>0</v>
      </c>
      <c r="AR560" s="0" t="n">
        <f aca="false">AN560*D560</f>
        <v>-0</v>
      </c>
      <c r="AS560" s="0" t="n">
        <f aca="false">AH560-AR560</f>
        <v>0</v>
      </c>
    </row>
    <row r="561" customFormat="false" ht="12" hidden="false" customHeight="false" outlineLevel="0" collapsed="false">
      <c r="A561" s="3" t="n">
        <f aca="false">A560+1</f>
        <v>552</v>
      </c>
      <c r="B561" s="3" t="n">
        <f aca="false">IF(A561&lt;$N$4/3,0.1,(IF(A561&gt;2*$N$4/3,0.05,0.12)))</f>
        <v>0.12</v>
      </c>
      <c r="C561" s="4" t="n">
        <f aca="true">RAND()</f>
        <v>0.442287188287931</v>
      </c>
      <c r="D561" s="0" t="n">
        <f aca="false">IF((C561&gt;$M$2),1,0)</f>
        <v>0</v>
      </c>
      <c r="E561" s="0" t="n">
        <f aca="false">1-D561</f>
        <v>1</v>
      </c>
      <c r="F561" s="0" t="n">
        <f aca="true">RAND()</f>
        <v>0.618099634609509</v>
      </c>
      <c r="G561" s="0" t="n">
        <f aca="false">7.75+F561*10</f>
        <v>13.9309963460951</v>
      </c>
      <c r="H561" s="0" t="n">
        <f aca="false">LOGINV(F561,2.64,1.139)</f>
        <v>19.7324034721785</v>
      </c>
      <c r="I561" s="0" t="n">
        <v>19.5</v>
      </c>
      <c r="J561" s="4" t="n">
        <f aca="true">-LN(RAND())/B561</f>
        <v>9.63630061981603</v>
      </c>
      <c r="K561" s="4" t="n">
        <f aca="false">K560+J561</f>
        <v>5268.99149981187</v>
      </c>
      <c r="L561" s="4" t="n">
        <f aca="false">(1/$J$4)*(1+AB560)</f>
        <v>10</v>
      </c>
      <c r="M561" s="4" t="n">
        <f aca="false">L561+MAX(K561,Y$10:Y560)</f>
        <v>5738.82985076217</v>
      </c>
      <c r="N561" s="4" t="n">
        <f aca="false">K561</f>
        <v>5268.99149981187</v>
      </c>
      <c r="O561" s="4" t="n">
        <f aca="false">M561-K561</f>
        <v>469.838350950306</v>
      </c>
      <c r="P561" s="4" t="n">
        <f aca="false">N561-K561</f>
        <v>0</v>
      </c>
      <c r="Q561" s="4" t="n">
        <f aca="false">A561-MATCH(K561,$M$9:M560,1)</f>
        <v>46</v>
      </c>
      <c r="R561" s="0" t="n">
        <f aca="false">-G561*(O561/3600)</f>
        <v>-1.81814343065113</v>
      </c>
      <c r="S561" s="0" t="n">
        <f aca="false">-1*I561-(H561*(P561/3600))</f>
        <v>-19.5</v>
      </c>
      <c r="T561" s="0" t="n">
        <f aca="false">-H561*(O561/3600)</f>
        <v>-2.57528886323735</v>
      </c>
      <c r="U561" s="0" t="n">
        <f aca="false">T561-S561</f>
        <v>16.9247111367627</v>
      </c>
      <c r="V561" s="0" t="n">
        <f aca="false">1/(1+EXP(U561))</f>
        <v>4.46366225526178E-008</v>
      </c>
      <c r="W561" s="0" t="n">
        <f aca="true">RAND()</f>
        <v>0.609297636766074</v>
      </c>
      <c r="X561" s="0" t="n">
        <f aca="false">IF(W561&lt;V561,1,0)</f>
        <v>0</v>
      </c>
      <c r="Y561" s="0" t="n">
        <f aca="false">(M561*(1-X561)+N561*X561)*D561+M561*E561</f>
        <v>5738.82985076217</v>
      </c>
      <c r="Z561" s="0" t="n">
        <f aca="false">((1-X561)*O561+X561*P561)*D561+E561*O561</f>
        <v>469.838350950306</v>
      </c>
      <c r="AA561" s="0" t="n">
        <f aca="false">IF(D561*X561&gt;0,AA560,Q561)</f>
        <v>46</v>
      </c>
      <c r="AB561" s="0" t="n">
        <f aca="false">(X561*D561)</f>
        <v>0</v>
      </c>
      <c r="AC561" s="0" t="n">
        <f aca="false">SUM(AB$10:AB560)/K561</f>
        <v>0</v>
      </c>
      <c r="AD561" s="0" t="n">
        <f aca="false">R561*E561+D561*(X561*S561+(1-X561)*T561)</f>
        <v>-1.81814343065113</v>
      </c>
      <c r="AE561" s="0" t="n">
        <f aca="false">Z561</f>
        <v>469.838350950306</v>
      </c>
      <c r="AF561" s="0" t="n">
        <f aca="false">E561*O561</f>
        <v>469.838350950306</v>
      </c>
      <c r="AG561" s="0" t="n">
        <f aca="false">((1-X561)*O561+X561*P561)*D561</f>
        <v>0</v>
      </c>
      <c r="AH561" s="0" t="n">
        <f aca="false">D561*(LN(EXP(S561)+EXP(T561)))</f>
        <v>-0</v>
      </c>
      <c r="AJ561" s="0" t="n">
        <f aca="false">$J$5</f>
        <v>10</v>
      </c>
      <c r="AK561" s="4" t="n">
        <f aca="false">AJ561+MAX(K561,AK$10:AK560)</f>
        <v>5738.82985076217</v>
      </c>
      <c r="AL561" s="5" t="n">
        <f aca="false">AK561-K561</f>
        <v>469.838350950306</v>
      </c>
      <c r="AM561" s="0" t="n">
        <f aca="false">-G561*AL561/3600</f>
        <v>-1.81814343065113</v>
      </c>
      <c r="AN561" s="0" t="n">
        <f aca="false">-H561*AL561/3600</f>
        <v>-2.57528886323735</v>
      </c>
      <c r="AO561" s="0" t="n">
        <f aca="false">AM561*E561+AN561*D561</f>
        <v>-1.81814343065113</v>
      </c>
      <c r="AP561" s="0" t="n">
        <f aca="false">AL561*D561</f>
        <v>0</v>
      </c>
      <c r="AR561" s="0" t="n">
        <f aca="false">AN561*D561</f>
        <v>-0</v>
      </c>
      <c r="AS561" s="0" t="n">
        <f aca="false">AH561-AR561</f>
        <v>0</v>
      </c>
    </row>
    <row r="562" customFormat="false" ht="12" hidden="false" customHeight="false" outlineLevel="0" collapsed="false">
      <c r="A562" s="3" t="n">
        <f aca="false">A561+1</f>
        <v>553</v>
      </c>
      <c r="B562" s="3" t="n">
        <f aca="false">IF(A562&lt;$N$4/3,0.1,(IF(A562&gt;2*$N$4/3,0.05,0.12)))</f>
        <v>0.12</v>
      </c>
      <c r="C562" s="4" t="n">
        <f aca="true">RAND()</f>
        <v>0.615490782768161</v>
      </c>
      <c r="D562" s="0" t="n">
        <f aca="false">IF((C562&gt;$M$2),1,0)</f>
        <v>0</v>
      </c>
      <c r="E562" s="0" t="n">
        <f aca="false">1-D562</f>
        <v>1</v>
      </c>
      <c r="F562" s="0" t="n">
        <f aca="true">RAND()</f>
        <v>0.855979532393234</v>
      </c>
      <c r="G562" s="0" t="n">
        <f aca="false">7.75+F562*10</f>
        <v>16.3097953239323</v>
      </c>
      <c r="H562" s="0" t="n">
        <f aca="false">LOGINV(F562,2.64,1.139)</f>
        <v>46.9980790297629</v>
      </c>
      <c r="I562" s="0" t="n">
        <v>19.5</v>
      </c>
      <c r="J562" s="4" t="n">
        <f aca="true">-LN(RAND())/B562</f>
        <v>34.6709737482058</v>
      </c>
      <c r="K562" s="4" t="n">
        <f aca="false">K561+J562</f>
        <v>5303.66247356007</v>
      </c>
      <c r="L562" s="4" t="n">
        <f aca="false">(1/$J$4)*(1+AB561)</f>
        <v>10</v>
      </c>
      <c r="M562" s="4" t="n">
        <f aca="false">L562+MAX(K562,Y$10:Y561)</f>
        <v>5748.82985076217</v>
      </c>
      <c r="N562" s="4" t="n">
        <f aca="false">K562</f>
        <v>5303.66247356007</v>
      </c>
      <c r="O562" s="4" t="n">
        <f aca="false">M562-K562</f>
        <v>445.1673772021</v>
      </c>
      <c r="P562" s="4" t="n">
        <f aca="false">N562-K562</f>
        <v>0</v>
      </c>
      <c r="Q562" s="4" t="n">
        <f aca="false">A562-MATCH(K562,$M$9:M561,1)</f>
        <v>44</v>
      </c>
      <c r="R562" s="0" t="n">
        <f aca="false">-G562*(O562/3600)</f>
        <v>-2.01683022418279</v>
      </c>
      <c r="S562" s="0" t="n">
        <f aca="false">-1*I562-(H562*(P562/3600))</f>
        <v>-19.5</v>
      </c>
      <c r="T562" s="0" t="n">
        <f aca="false">-H562*(O562/3600)</f>
        <v>-5.8116698820046</v>
      </c>
      <c r="U562" s="0" t="n">
        <f aca="false">T562-S562</f>
        <v>13.6883301179954</v>
      </c>
      <c r="V562" s="0" t="n">
        <f aca="false">1/(1+EXP(U562))</f>
        <v>1.13562062124207E-006</v>
      </c>
      <c r="W562" s="0" t="n">
        <f aca="true">RAND()</f>
        <v>0.907062181320079</v>
      </c>
      <c r="X562" s="0" t="n">
        <f aca="false">IF(W562&lt;V562,1,0)</f>
        <v>0</v>
      </c>
      <c r="Y562" s="0" t="n">
        <f aca="false">(M562*(1-X562)+N562*X562)*D562+M562*E562</f>
        <v>5748.82985076217</v>
      </c>
      <c r="Z562" s="0" t="n">
        <f aca="false">((1-X562)*O562+X562*P562)*D562+E562*O562</f>
        <v>445.1673772021</v>
      </c>
      <c r="AA562" s="0" t="n">
        <f aca="false">IF(D562*X562&gt;0,AA561,Q562)</f>
        <v>44</v>
      </c>
      <c r="AB562" s="0" t="n">
        <f aca="false">(X562*D562)</f>
        <v>0</v>
      </c>
      <c r="AC562" s="0" t="n">
        <f aca="false">SUM(AB$10:AB561)/K562</f>
        <v>0</v>
      </c>
      <c r="AD562" s="0" t="n">
        <f aca="false">R562*E562+D562*(X562*S562+(1-X562)*T562)</f>
        <v>-2.01683022418279</v>
      </c>
      <c r="AE562" s="0" t="n">
        <f aca="false">Z562</f>
        <v>445.1673772021</v>
      </c>
      <c r="AF562" s="0" t="n">
        <f aca="false">E562*O562</f>
        <v>445.1673772021</v>
      </c>
      <c r="AG562" s="0" t="n">
        <f aca="false">((1-X562)*O562+X562*P562)*D562</f>
        <v>0</v>
      </c>
      <c r="AH562" s="0" t="n">
        <f aca="false">D562*(LN(EXP(S562)+EXP(T562)))</f>
        <v>-0</v>
      </c>
      <c r="AJ562" s="0" t="n">
        <f aca="false">$J$5</f>
        <v>10</v>
      </c>
      <c r="AK562" s="4" t="n">
        <f aca="false">AJ562+MAX(K562,AK$10:AK561)</f>
        <v>5748.82985076217</v>
      </c>
      <c r="AL562" s="5" t="n">
        <f aca="false">AK562-K562</f>
        <v>445.1673772021</v>
      </c>
      <c r="AM562" s="0" t="n">
        <f aca="false">-G562*AL562/3600</f>
        <v>-2.01683022418279</v>
      </c>
      <c r="AN562" s="0" t="n">
        <f aca="false">-H562*AL562/3600</f>
        <v>-5.8116698820046</v>
      </c>
      <c r="AO562" s="0" t="n">
        <f aca="false">AM562*E562+AN562*D562</f>
        <v>-2.01683022418279</v>
      </c>
      <c r="AP562" s="0" t="n">
        <f aca="false">AL562*D562</f>
        <v>0</v>
      </c>
      <c r="AR562" s="0" t="n">
        <f aca="false">AN562*D562</f>
        <v>-0</v>
      </c>
      <c r="AS562" s="0" t="n">
        <f aca="false">AH562-AR562</f>
        <v>0</v>
      </c>
    </row>
    <row r="563" customFormat="false" ht="12" hidden="false" customHeight="false" outlineLevel="0" collapsed="false">
      <c r="A563" s="3" t="n">
        <f aca="false">A562+1</f>
        <v>554</v>
      </c>
      <c r="B563" s="3" t="n">
        <f aca="false">IF(A563&lt;$N$4/3,0.1,(IF(A563&gt;2*$N$4/3,0.05,0.12)))</f>
        <v>0.12</v>
      </c>
      <c r="C563" s="4" t="n">
        <f aca="true">RAND()</f>
        <v>0.406090563503029</v>
      </c>
      <c r="D563" s="0" t="n">
        <f aca="false">IF((C563&gt;$M$2),1,0)</f>
        <v>0</v>
      </c>
      <c r="E563" s="0" t="n">
        <f aca="false">1-D563</f>
        <v>1</v>
      </c>
      <c r="F563" s="0" t="n">
        <f aca="true">RAND()</f>
        <v>0.201154499295934</v>
      </c>
      <c r="G563" s="0" t="n">
        <f aca="false">7.75+F563*10</f>
        <v>9.76154499295934</v>
      </c>
      <c r="H563" s="0" t="n">
        <f aca="false">LOGINV(F563,2.64,1.139)</f>
        <v>5.39829019674354</v>
      </c>
      <c r="I563" s="0" t="n">
        <v>19.5</v>
      </c>
      <c r="J563" s="4" t="n">
        <f aca="true">-LN(RAND())/B563</f>
        <v>0.908055508487038</v>
      </c>
      <c r="K563" s="4" t="n">
        <f aca="false">K562+J563</f>
        <v>5304.57052906856</v>
      </c>
      <c r="L563" s="4" t="n">
        <f aca="false">(1/$J$4)*(1+AB562)</f>
        <v>10</v>
      </c>
      <c r="M563" s="4" t="n">
        <f aca="false">L563+MAX(K563,Y$10:Y562)</f>
        <v>5758.82985076217</v>
      </c>
      <c r="N563" s="4" t="n">
        <f aca="false">K563</f>
        <v>5304.57052906856</v>
      </c>
      <c r="O563" s="4" t="n">
        <f aca="false">M563-K563</f>
        <v>454.259321693613</v>
      </c>
      <c r="P563" s="4" t="n">
        <f aca="false">N563-K563</f>
        <v>0</v>
      </c>
      <c r="Q563" s="4" t="n">
        <f aca="false">A563-MATCH(K563,$M$9:M562,1)</f>
        <v>45</v>
      </c>
      <c r="R563" s="0" t="n">
        <f aca="false">-G563*(O563/3600)</f>
        <v>-1.23174244643983</v>
      </c>
      <c r="S563" s="0" t="n">
        <f aca="false">-1*I563-(H563*(P563/3600))</f>
        <v>-19.5</v>
      </c>
      <c r="T563" s="0" t="n">
        <f aca="false">-H563*(O563/3600)</f>
        <v>-0.681173234188334</v>
      </c>
      <c r="U563" s="0" t="n">
        <f aca="false">T563-S563</f>
        <v>18.8188267658117</v>
      </c>
      <c r="V563" s="0" t="n">
        <f aca="false">1/(1+EXP(U563))</f>
        <v>6.71563952974298E-009</v>
      </c>
      <c r="W563" s="0" t="n">
        <f aca="true">RAND()</f>
        <v>0.599388088914247</v>
      </c>
      <c r="X563" s="0" t="n">
        <f aca="false">IF(W563&lt;V563,1,0)</f>
        <v>0</v>
      </c>
      <c r="Y563" s="0" t="n">
        <f aca="false">(M563*(1-X563)+N563*X563)*D563+M563*E563</f>
        <v>5758.82985076217</v>
      </c>
      <c r="Z563" s="0" t="n">
        <f aca="false">((1-X563)*O563+X563*P563)*D563+E563*O563</f>
        <v>454.259321693613</v>
      </c>
      <c r="AA563" s="0" t="n">
        <f aca="false">IF(D563*X563&gt;0,AA562,Q563)</f>
        <v>45</v>
      </c>
      <c r="AB563" s="0" t="n">
        <f aca="false">(X563*D563)</f>
        <v>0</v>
      </c>
      <c r="AC563" s="0" t="n">
        <f aca="false">SUM(AB$10:AB562)/K563</f>
        <v>0</v>
      </c>
      <c r="AD563" s="0" t="n">
        <f aca="false">R563*E563+D563*(X563*S563+(1-X563)*T563)</f>
        <v>-1.23174244643983</v>
      </c>
      <c r="AE563" s="0" t="n">
        <f aca="false">Z563</f>
        <v>454.259321693613</v>
      </c>
      <c r="AF563" s="0" t="n">
        <f aca="false">E563*O563</f>
        <v>454.259321693613</v>
      </c>
      <c r="AG563" s="0" t="n">
        <f aca="false">((1-X563)*O563+X563*P563)*D563</f>
        <v>0</v>
      </c>
      <c r="AH563" s="0" t="n">
        <f aca="false">D563*(LN(EXP(S563)+EXP(T563)))</f>
        <v>-0</v>
      </c>
      <c r="AJ563" s="0" t="n">
        <f aca="false">$J$5</f>
        <v>10</v>
      </c>
      <c r="AK563" s="4" t="n">
        <f aca="false">AJ563+MAX(K563,AK$10:AK562)</f>
        <v>5758.82985076217</v>
      </c>
      <c r="AL563" s="5" t="n">
        <f aca="false">AK563-K563</f>
        <v>454.259321693613</v>
      </c>
      <c r="AM563" s="0" t="n">
        <f aca="false">-G563*AL563/3600</f>
        <v>-1.23174244643983</v>
      </c>
      <c r="AN563" s="0" t="n">
        <f aca="false">-H563*AL563/3600</f>
        <v>-0.681173234188334</v>
      </c>
      <c r="AO563" s="0" t="n">
        <f aca="false">AM563*E563+AN563*D563</f>
        <v>-1.23174244643983</v>
      </c>
      <c r="AP563" s="0" t="n">
        <f aca="false">AL563*D563</f>
        <v>0</v>
      </c>
      <c r="AR563" s="0" t="n">
        <f aca="false">AN563*D563</f>
        <v>-0</v>
      </c>
      <c r="AS563" s="0" t="n">
        <f aca="false">AH563-AR563</f>
        <v>0</v>
      </c>
    </row>
    <row r="564" customFormat="false" ht="12" hidden="false" customHeight="false" outlineLevel="0" collapsed="false">
      <c r="A564" s="3" t="n">
        <f aca="false">A563+1</f>
        <v>555</v>
      </c>
      <c r="B564" s="3" t="n">
        <f aca="false">IF(A564&lt;$N$4/3,0.1,(IF(A564&gt;2*$N$4/3,0.05,0.12)))</f>
        <v>0.12</v>
      </c>
      <c r="C564" s="4" t="n">
        <f aca="true">RAND()</f>
        <v>0.908585275718515</v>
      </c>
      <c r="D564" s="0" t="n">
        <f aca="false">IF((C564&gt;$M$2),1,0)</f>
        <v>1</v>
      </c>
      <c r="E564" s="0" t="n">
        <f aca="false">1-D564</f>
        <v>0</v>
      </c>
      <c r="F564" s="0" t="n">
        <f aca="true">RAND()</f>
        <v>0.149214843677833</v>
      </c>
      <c r="G564" s="0" t="n">
        <f aca="false">7.75+F564*10</f>
        <v>9.24214843677833</v>
      </c>
      <c r="H564" s="0" t="n">
        <f aca="false">LOGINV(F564,2.64,1.139)</f>
        <v>4.28731258334802</v>
      </c>
      <c r="I564" s="0" t="n">
        <v>19.5</v>
      </c>
      <c r="J564" s="4" t="n">
        <f aca="true">-LN(RAND())/B564</f>
        <v>2.24364064505277</v>
      </c>
      <c r="K564" s="4" t="n">
        <f aca="false">K563+J564</f>
        <v>5306.81416971361</v>
      </c>
      <c r="L564" s="4" t="n">
        <f aca="false">(1/$J$4)*(1+AB563)</f>
        <v>10</v>
      </c>
      <c r="M564" s="4" t="n">
        <f aca="false">L564+MAX(K564,Y$10:Y563)</f>
        <v>5768.82985076217</v>
      </c>
      <c r="N564" s="4" t="n">
        <f aca="false">K564</f>
        <v>5306.81416971361</v>
      </c>
      <c r="O564" s="4" t="n">
        <f aca="false">M564-K564</f>
        <v>462.015681048561</v>
      </c>
      <c r="P564" s="4" t="n">
        <f aca="false">N564-K564</f>
        <v>0</v>
      </c>
      <c r="Q564" s="4" t="n">
        <f aca="false">A564-MATCH(K564,$M$9:M563,1)</f>
        <v>46</v>
      </c>
      <c r="R564" s="0" t="n">
        <f aca="false">-G564*(O564/3600)</f>
        <v>-1.18611597343612</v>
      </c>
      <c r="S564" s="0" t="n">
        <f aca="false">-1*I564-(H564*(P564/3600))</f>
        <v>-19.5</v>
      </c>
      <c r="T564" s="0" t="n">
        <f aca="false">-H564*(O564/3600)</f>
        <v>-0.550223789739888</v>
      </c>
      <c r="U564" s="0" t="n">
        <f aca="false">T564-S564</f>
        <v>18.9497762102601</v>
      </c>
      <c r="V564" s="0" t="n">
        <f aca="false">1/(1+EXP(U564))</f>
        <v>5.89137620099405E-009</v>
      </c>
      <c r="W564" s="0" t="n">
        <f aca="true">RAND()</f>
        <v>0.46833140907822</v>
      </c>
      <c r="X564" s="0" t="n">
        <f aca="false">IF(W564&lt;V564,1,0)</f>
        <v>0</v>
      </c>
      <c r="Y564" s="0" t="n">
        <f aca="false">(M564*(1-X564)+N564*X564)*D564+M564*E564</f>
        <v>5768.82985076217</v>
      </c>
      <c r="Z564" s="0" t="n">
        <f aca="false">((1-X564)*O564+X564*P564)*D564+E564*O564</f>
        <v>462.015681048561</v>
      </c>
      <c r="AA564" s="0" t="n">
        <f aca="false">IF(D564*X564&gt;0,AA563,Q564)</f>
        <v>46</v>
      </c>
      <c r="AB564" s="0" t="n">
        <f aca="false">(X564*D564)</f>
        <v>0</v>
      </c>
      <c r="AC564" s="0" t="n">
        <f aca="false">SUM(AB$10:AB563)/K564</f>
        <v>0</v>
      </c>
      <c r="AD564" s="0" t="n">
        <f aca="false">R564*E564+D564*(X564*S564+(1-X564)*T564)</f>
        <v>-0.550223789739888</v>
      </c>
      <c r="AE564" s="0" t="n">
        <f aca="false">Z564</f>
        <v>462.015681048561</v>
      </c>
      <c r="AF564" s="0" t="n">
        <f aca="false">E564*O564</f>
        <v>0</v>
      </c>
      <c r="AG564" s="0" t="n">
        <f aca="false">((1-X564)*O564+X564*P564)*D564</f>
        <v>462.015681048561</v>
      </c>
      <c r="AH564" s="0" t="n">
        <f aca="false">D564*(LN(EXP(S564)+EXP(T564)))</f>
        <v>-0.550223783848512</v>
      </c>
      <c r="AJ564" s="0" t="n">
        <f aca="false">$J$5</f>
        <v>10</v>
      </c>
      <c r="AK564" s="4" t="n">
        <f aca="false">AJ564+MAX(K564,AK$10:AK563)</f>
        <v>5768.82985076217</v>
      </c>
      <c r="AL564" s="5" t="n">
        <f aca="false">AK564-K564</f>
        <v>462.015681048561</v>
      </c>
      <c r="AM564" s="0" t="n">
        <f aca="false">-G564*AL564/3600</f>
        <v>-1.18611597343612</v>
      </c>
      <c r="AN564" s="0" t="n">
        <f aca="false">-H564*AL564/3600</f>
        <v>-0.550223789739888</v>
      </c>
      <c r="AO564" s="0" t="n">
        <f aca="false">AM564*E564+AN564*D564</f>
        <v>-0.550223789739888</v>
      </c>
      <c r="AP564" s="0" t="n">
        <f aca="false">AL564*D564</f>
        <v>462.015681048561</v>
      </c>
      <c r="AR564" s="0" t="n">
        <f aca="false">AN564*D564</f>
        <v>-0.550223789739888</v>
      </c>
      <c r="AS564" s="0" t="n">
        <f aca="false">AH564-AR564</f>
        <v>5.8913760536683E-009</v>
      </c>
    </row>
    <row r="565" customFormat="false" ht="12" hidden="false" customHeight="false" outlineLevel="0" collapsed="false">
      <c r="A565" s="3" t="n">
        <f aca="false">A564+1</f>
        <v>556</v>
      </c>
      <c r="B565" s="3" t="n">
        <f aca="false">IF(A565&lt;$N$4/3,0.1,(IF(A565&gt;2*$N$4/3,0.05,0.12)))</f>
        <v>0.12</v>
      </c>
      <c r="C565" s="4" t="n">
        <f aca="true">RAND()</f>
        <v>0.124140075605181</v>
      </c>
      <c r="D565" s="0" t="n">
        <f aca="false">IF((C565&gt;$M$2),1,0)</f>
        <v>0</v>
      </c>
      <c r="E565" s="0" t="n">
        <f aca="false">1-D565</f>
        <v>1</v>
      </c>
      <c r="F565" s="0" t="n">
        <f aca="true">RAND()</f>
        <v>0.72965706855934</v>
      </c>
      <c r="G565" s="0" t="n">
        <f aca="false">7.75+F565*10</f>
        <v>15.0465706855934</v>
      </c>
      <c r="H565" s="0" t="n">
        <f aca="false">LOGINV(F565,2.64,1.139)</f>
        <v>28.1293369009026</v>
      </c>
      <c r="I565" s="0" t="n">
        <v>19.5</v>
      </c>
      <c r="J565" s="4" t="n">
        <f aca="true">-LN(RAND())/B565</f>
        <v>9.94175797309604</v>
      </c>
      <c r="K565" s="4" t="n">
        <f aca="false">K564+J565</f>
        <v>5316.75592768671</v>
      </c>
      <c r="L565" s="4" t="n">
        <f aca="false">(1/$J$4)*(1+AB564)</f>
        <v>10</v>
      </c>
      <c r="M565" s="4" t="n">
        <f aca="false">L565+MAX(K565,Y$10:Y564)</f>
        <v>5778.82985076217</v>
      </c>
      <c r="N565" s="4" t="n">
        <f aca="false">K565</f>
        <v>5316.75592768671</v>
      </c>
      <c r="O565" s="4" t="n">
        <f aca="false">M565-K565</f>
        <v>462.073923075464</v>
      </c>
      <c r="P565" s="4" t="n">
        <f aca="false">N565-K565</f>
        <v>0</v>
      </c>
      <c r="Q565" s="4" t="n">
        <f aca="false">A565-MATCH(K565,$M$9:M564,1)</f>
        <v>46</v>
      </c>
      <c r="R565" s="0" t="n">
        <f aca="false">-G565*(O565/3600)</f>
        <v>-1.93128554042345</v>
      </c>
      <c r="S565" s="0" t="n">
        <f aca="false">-1*I565-(H565*(P565/3600))</f>
        <v>-19.5</v>
      </c>
      <c r="T565" s="0" t="n">
        <f aca="false">-H565*(O565/3600)</f>
        <v>-3.61050918203097</v>
      </c>
      <c r="U565" s="0" t="n">
        <f aca="false">T565-S565</f>
        <v>15.889490817969</v>
      </c>
      <c r="V565" s="0" t="n">
        <f aca="false">1/(1+EXP(U565))</f>
        <v>1.25684511910728E-007</v>
      </c>
      <c r="W565" s="0" t="n">
        <f aca="true">RAND()</f>
        <v>0.49718674002767</v>
      </c>
      <c r="X565" s="0" t="n">
        <f aca="false">IF(W565&lt;V565,1,0)</f>
        <v>0</v>
      </c>
      <c r="Y565" s="0" t="n">
        <f aca="false">(M565*(1-X565)+N565*X565)*D565+M565*E565</f>
        <v>5778.82985076217</v>
      </c>
      <c r="Z565" s="0" t="n">
        <f aca="false">((1-X565)*O565+X565*P565)*D565+E565*O565</f>
        <v>462.073923075464</v>
      </c>
      <c r="AA565" s="0" t="n">
        <f aca="false">IF(D565*X565&gt;0,AA564,Q565)</f>
        <v>46</v>
      </c>
      <c r="AB565" s="0" t="n">
        <f aca="false">(X565*D565)</f>
        <v>0</v>
      </c>
      <c r="AC565" s="0" t="n">
        <f aca="false">SUM(AB$10:AB564)/K565</f>
        <v>0</v>
      </c>
      <c r="AD565" s="0" t="n">
        <f aca="false">R565*E565+D565*(X565*S565+(1-X565)*T565)</f>
        <v>-1.93128554042345</v>
      </c>
      <c r="AE565" s="0" t="n">
        <f aca="false">Z565</f>
        <v>462.073923075464</v>
      </c>
      <c r="AF565" s="0" t="n">
        <f aca="false">E565*O565</f>
        <v>462.073923075464</v>
      </c>
      <c r="AG565" s="0" t="n">
        <f aca="false">((1-X565)*O565+X565*P565)*D565</f>
        <v>0</v>
      </c>
      <c r="AH565" s="0" t="n">
        <f aca="false">D565*(LN(EXP(S565)+EXP(T565)))</f>
        <v>-0</v>
      </c>
      <c r="AJ565" s="0" t="n">
        <f aca="false">$J$5</f>
        <v>10</v>
      </c>
      <c r="AK565" s="4" t="n">
        <f aca="false">AJ565+MAX(K565,AK$10:AK564)</f>
        <v>5778.82985076217</v>
      </c>
      <c r="AL565" s="5" t="n">
        <f aca="false">AK565-K565</f>
        <v>462.073923075464</v>
      </c>
      <c r="AM565" s="0" t="n">
        <f aca="false">-G565*AL565/3600</f>
        <v>-1.93128554042345</v>
      </c>
      <c r="AN565" s="0" t="n">
        <f aca="false">-H565*AL565/3600</f>
        <v>-3.61050918203097</v>
      </c>
      <c r="AO565" s="0" t="n">
        <f aca="false">AM565*E565+AN565*D565</f>
        <v>-1.93128554042345</v>
      </c>
      <c r="AP565" s="0" t="n">
        <f aca="false">AL565*D565</f>
        <v>0</v>
      </c>
      <c r="AR565" s="0" t="n">
        <f aca="false">AN565*D565</f>
        <v>-0</v>
      </c>
      <c r="AS565" s="0" t="n">
        <f aca="false">AH565-AR565</f>
        <v>0</v>
      </c>
    </row>
    <row r="566" customFormat="false" ht="12" hidden="false" customHeight="false" outlineLevel="0" collapsed="false">
      <c r="A566" s="3" t="n">
        <f aca="false">A565+1</f>
        <v>557</v>
      </c>
      <c r="B566" s="3" t="n">
        <f aca="false">IF(A566&lt;$N$4/3,0.1,(IF(A566&gt;2*$N$4/3,0.05,0.12)))</f>
        <v>0.12</v>
      </c>
      <c r="C566" s="4" t="n">
        <f aca="true">RAND()</f>
        <v>0.686100646368953</v>
      </c>
      <c r="D566" s="0" t="n">
        <f aca="false">IF((C566&gt;$M$2),1,0)</f>
        <v>0</v>
      </c>
      <c r="E566" s="0" t="n">
        <f aca="false">1-D566</f>
        <v>1</v>
      </c>
      <c r="F566" s="0" t="n">
        <f aca="true">RAND()</f>
        <v>0.667018797592131</v>
      </c>
      <c r="G566" s="0" t="n">
        <f aca="false">7.75+F566*10</f>
        <v>14.4201879759213</v>
      </c>
      <c r="H566" s="0" t="n">
        <f aca="false">LOGINV(F566,2.64,1.139)</f>
        <v>22.912937269047</v>
      </c>
      <c r="I566" s="0" t="n">
        <v>19.5</v>
      </c>
      <c r="J566" s="4" t="n">
        <f aca="true">-LN(RAND())/B566</f>
        <v>7.54213797938396</v>
      </c>
      <c r="K566" s="4" t="n">
        <f aca="false">K565+J566</f>
        <v>5324.29806566609</v>
      </c>
      <c r="L566" s="4" t="n">
        <f aca="false">(1/$J$4)*(1+AB565)</f>
        <v>10</v>
      </c>
      <c r="M566" s="4" t="n">
        <f aca="false">L566+MAX(K566,Y$10:Y565)</f>
        <v>5788.82985076217</v>
      </c>
      <c r="N566" s="4" t="n">
        <f aca="false">K566</f>
        <v>5324.29806566609</v>
      </c>
      <c r="O566" s="4" t="n">
        <f aca="false">M566-K566</f>
        <v>464.53178509608</v>
      </c>
      <c r="P566" s="4" t="n">
        <f aca="false">N566-K566</f>
        <v>0</v>
      </c>
      <c r="Q566" s="4" t="n">
        <f aca="false">A566-MATCH(K566,$M$9:M565,1)</f>
        <v>46</v>
      </c>
      <c r="R566" s="0" t="n">
        <f aca="false">-G566*(O566/3600)</f>
        <v>-1.86073212829882</v>
      </c>
      <c r="S566" s="0" t="n">
        <f aca="false">-1*I566-(H566*(P566/3600))</f>
        <v>-19.5</v>
      </c>
      <c r="T566" s="0" t="n">
        <f aca="false">-H566*(O566/3600)</f>
        <v>-2.95660768094025</v>
      </c>
      <c r="U566" s="0" t="n">
        <f aca="false">T566-S566</f>
        <v>16.5433923190598</v>
      </c>
      <c r="V566" s="0" t="n">
        <f aca="false">1/(1+EXP(U566))</f>
        <v>6.5357581853972E-008</v>
      </c>
      <c r="W566" s="0" t="n">
        <f aca="true">RAND()</f>
        <v>0.841600130517092</v>
      </c>
      <c r="X566" s="0" t="n">
        <f aca="false">IF(W566&lt;V566,1,0)</f>
        <v>0</v>
      </c>
      <c r="Y566" s="0" t="n">
        <f aca="false">(M566*(1-X566)+N566*X566)*D566+M566*E566</f>
        <v>5788.82985076217</v>
      </c>
      <c r="Z566" s="0" t="n">
        <f aca="false">((1-X566)*O566+X566*P566)*D566+E566*O566</f>
        <v>464.53178509608</v>
      </c>
      <c r="AA566" s="0" t="n">
        <f aca="false">IF(D566*X566&gt;0,AA565,Q566)</f>
        <v>46</v>
      </c>
      <c r="AB566" s="0" t="n">
        <f aca="false">(X566*D566)</f>
        <v>0</v>
      </c>
      <c r="AC566" s="0" t="n">
        <f aca="false">SUM(AB$10:AB565)/K566</f>
        <v>0</v>
      </c>
      <c r="AD566" s="0" t="n">
        <f aca="false">R566*E566+D566*(X566*S566+(1-X566)*T566)</f>
        <v>-1.86073212829882</v>
      </c>
      <c r="AE566" s="0" t="n">
        <f aca="false">Z566</f>
        <v>464.53178509608</v>
      </c>
      <c r="AF566" s="0" t="n">
        <f aca="false">E566*O566</f>
        <v>464.53178509608</v>
      </c>
      <c r="AG566" s="0" t="n">
        <f aca="false">((1-X566)*O566+X566*P566)*D566</f>
        <v>0</v>
      </c>
      <c r="AH566" s="0" t="n">
        <f aca="false">D566*(LN(EXP(S566)+EXP(T566)))</f>
        <v>-0</v>
      </c>
      <c r="AJ566" s="0" t="n">
        <f aca="false">$J$5</f>
        <v>10</v>
      </c>
      <c r="AK566" s="4" t="n">
        <f aca="false">AJ566+MAX(K566,AK$10:AK565)</f>
        <v>5788.82985076217</v>
      </c>
      <c r="AL566" s="5" t="n">
        <f aca="false">AK566-K566</f>
        <v>464.53178509608</v>
      </c>
      <c r="AM566" s="0" t="n">
        <f aca="false">-G566*AL566/3600</f>
        <v>-1.86073212829882</v>
      </c>
      <c r="AN566" s="0" t="n">
        <f aca="false">-H566*AL566/3600</f>
        <v>-2.95660768094025</v>
      </c>
      <c r="AO566" s="0" t="n">
        <f aca="false">AM566*E566+AN566*D566</f>
        <v>-1.86073212829882</v>
      </c>
      <c r="AP566" s="0" t="n">
        <f aca="false">AL566*D566</f>
        <v>0</v>
      </c>
      <c r="AR566" s="0" t="n">
        <f aca="false">AN566*D566</f>
        <v>-0</v>
      </c>
      <c r="AS566" s="0" t="n">
        <f aca="false">AH566-AR566</f>
        <v>0</v>
      </c>
    </row>
    <row r="567" customFormat="false" ht="12" hidden="false" customHeight="false" outlineLevel="0" collapsed="false">
      <c r="A567" s="3" t="n">
        <f aca="false">A566+1</f>
        <v>558</v>
      </c>
      <c r="B567" s="3" t="n">
        <f aca="false">IF(A567&lt;$N$4/3,0.1,(IF(A567&gt;2*$N$4/3,0.05,0.12)))</f>
        <v>0.12</v>
      </c>
      <c r="C567" s="4" t="n">
        <f aca="true">RAND()</f>
        <v>0.08451335339929</v>
      </c>
      <c r="D567" s="0" t="n">
        <f aca="false">IF((C567&gt;$M$2),1,0)</f>
        <v>0</v>
      </c>
      <c r="E567" s="0" t="n">
        <f aca="false">1-D567</f>
        <v>1</v>
      </c>
      <c r="F567" s="0" t="n">
        <f aca="true">RAND()</f>
        <v>0.208088795551065</v>
      </c>
      <c r="G567" s="0" t="n">
        <f aca="false">7.75+F567*10</f>
        <v>9.83088795551065</v>
      </c>
      <c r="H567" s="0" t="n">
        <f aca="false">LOGINV(F567,2.64,1.139)</f>
        <v>5.55063649890951</v>
      </c>
      <c r="I567" s="0" t="n">
        <v>19.5</v>
      </c>
      <c r="J567" s="4" t="n">
        <f aca="true">-LN(RAND())/B567</f>
        <v>6.25354000112678</v>
      </c>
      <c r="K567" s="4" t="n">
        <f aca="false">K566+J567</f>
        <v>5330.55160566722</v>
      </c>
      <c r="L567" s="4" t="n">
        <f aca="false">(1/$J$4)*(1+AB566)</f>
        <v>10</v>
      </c>
      <c r="M567" s="4" t="n">
        <f aca="false">L567+MAX(K567,Y$10:Y566)</f>
        <v>5798.82985076217</v>
      </c>
      <c r="N567" s="4" t="n">
        <f aca="false">K567</f>
        <v>5330.55160566722</v>
      </c>
      <c r="O567" s="4" t="n">
        <f aca="false">M567-K567</f>
        <v>468.278245094954</v>
      </c>
      <c r="P567" s="4" t="n">
        <f aca="false">N567-K567</f>
        <v>0</v>
      </c>
      <c r="Q567" s="4" t="n">
        <f aca="false">A567-MATCH(K567,$M$9:M566,1)</f>
        <v>46</v>
      </c>
      <c r="R567" s="0" t="n">
        <f aca="false">-G567*(O567/3600)</f>
        <v>-1.27877526653657</v>
      </c>
      <c r="S567" s="0" t="n">
        <f aca="false">-1*I567-(H567*(P567/3600))</f>
        <v>-19.5</v>
      </c>
      <c r="T567" s="0" t="n">
        <f aca="false">-H567*(O567/3600)</f>
        <v>-0.722011755241484</v>
      </c>
      <c r="U567" s="0" t="n">
        <f aca="false">T567-S567</f>
        <v>18.7779882447585</v>
      </c>
      <c r="V567" s="0" t="n">
        <f aca="false">1/(1+EXP(U567))</f>
        <v>6.99557345314344E-009</v>
      </c>
      <c r="W567" s="0" t="n">
        <f aca="true">RAND()</f>
        <v>0.325905316841564</v>
      </c>
      <c r="X567" s="0" t="n">
        <f aca="false">IF(W567&lt;V567,1,0)</f>
        <v>0</v>
      </c>
      <c r="Y567" s="0" t="n">
        <f aca="false">(M567*(1-X567)+N567*X567)*D567+M567*E567</f>
        <v>5798.82985076217</v>
      </c>
      <c r="Z567" s="0" t="n">
        <f aca="false">((1-X567)*O567+X567*P567)*D567+E567*O567</f>
        <v>468.278245094954</v>
      </c>
      <c r="AA567" s="0" t="n">
        <f aca="false">IF(D567*X567&gt;0,AA566,Q567)</f>
        <v>46</v>
      </c>
      <c r="AB567" s="0" t="n">
        <f aca="false">(X567*D567)</f>
        <v>0</v>
      </c>
      <c r="AC567" s="0" t="n">
        <f aca="false">SUM(AB$10:AB566)/K567</f>
        <v>0</v>
      </c>
      <c r="AD567" s="0" t="n">
        <f aca="false">R567*E567+D567*(X567*S567+(1-X567)*T567)</f>
        <v>-1.27877526653657</v>
      </c>
      <c r="AE567" s="0" t="n">
        <f aca="false">Z567</f>
        <v>468.278245094954</v>
      </c>
      <c r="AF567" s="0" t="n">
        <f aca="false">E567*O567</f>
        <v>468.278245094954</v>
      </c>
      <c r="AG567" s="0" t="n">
        <f aca="false">((1-X567)*O567+X567*P567)*D567</f>
        <v>0</v>
      </c>
      <c r="AH567" s="0" t="n">
        <f aca="false">D567*(LN(EXP(S567)+EXP(T567)))</f>
        <v>-0</v>
      </c>
      <c r="AJ567" s="0" t="n">
        <f aca="false">$J$5</f>
        <v>10</v>
      </c>
      <c r="AK567" s="4" t="n">
        <f aca="false">AJ567+MAX(K567,AK$10:AK566)</f>
        <v>5798.82985076217</v>
      </c>
      <c r="AL567" s="5" t="n">
        <f aca="false">AK567-K567</f>
        <v>468.278245094954</v>
      </c>
      <c r="AM567" s="0" t="n">
        <f aca="false">-G567*AL567/3600</f>
        <v>-1.27877526653657</v>
      </c>
      <c r="AN567" s="0" t="n">
        <f aca="false">-H567*AL567/3600</f>
        <v>-0.722011755241484</v>
      </c>
      <c r="AO567" s="0" t="n">
        <f aca="false">AM567*E567+AN567*D567</f>
        <v>-1.27877526653657</v>
      </c>
      <c r="AP567" s="0" t="n">
        <f aca="false">AL567*D567</f>
        <v>0</v>
      </c>
      <c r="AR567" s="0" t="n">
        <f aca="false">AN567*D567</f>
        <v>-0</v>
      </c>
      <c r="AS567" s="0" t="n">
        <f aca="false">AH567-AR567</f>
        <v>0</v>
      </c>
    </row>
    <row r="568" customFormat="false" ht="12" hidden="false" customHeight="false" outlineLevel="0" collapsed="false">
      <c r="A568" s="3" t="n">
        <f aca="false">A567+1</f>
        <v>559</v>
      </c>
      <c r="B568" s="3" t="n">
        <f aca="false">IF(A568&lt;$N$4/3,0.1,(IF(A568&gt;2*$N$4/3,0.05,0.12)))</f>
        <v>0.12</v>
      </c>
      <c r="C568" s="4" t="n">
        <f aca="true">RAND()</f>
        <v>0.736278728194863</v>
      </c>
      <c r="D568" s="0" t="n">
        <f aca="false">IF((C568&gt;$M$2),1,0)</f>
        <v>0</v>
      </c>
      <c r="E568" s="0" t="n">
        <f aca="false">1-D568</f>
        <v>1</v>
      </c>
      <c r="F568" s="0" t="n">
        <f aca="true">RAND()</f>
        <v>0.794321265874448</v>
      </c>
      <c r="G568" s="0" t="n">
        <f aca="false">7.75+F568*10</f>
        <v>15.6932126587445</v>
      </c>
      <c r="H568" s="0" t="n">
        <f aca="false">LOGINV(F568,2.64,1.139)</f>
        <v>35.7194948346386</v>
      </c>
      <c r="I568" s="0" t="n">
        <v>19.5</v>
      </c>
      <c r="J568" s="4" t="n">
        <f aca="true">-LN(RAND())/B568</f>
        <v>3.77938264133604</v>
      </c>
      <c r="K568" s="4" t="n">
        <f aca="false">K567+J568</f>
        <v>5334.33098830855</v>
      </c>
      <c r="L568" s="4" t="n">
        <f aca="false">(1/$J$4)*(1+AB567)</f>
        <v>10</v>
      </c>
      <c r="M568" s="4" t="n">
        <f aca="false">L568+MAX(K568,Y$10:Y567)</f>
        <v>5808.82985076217</v>
      </c>
      <c r="N568" s="4" t="n">
        <f aca="false">K568</f>
        <v>5334.33098830855</v>
      </c>
      <c r="O568" s="4" t="n">
        <f aca="false">M568-K568</f>
        <v>474.498862453617</v>
      </c>
      <c r="P568" s="4" t="n">
        <f aca="false">N568-K568</f>
        <v>0</v>
      </c>
      <c r="Q568" s="4" t="n">
        <f aca="false">A568-MATCH(K568,$M$9:M567,1)</f>
        <v>47</v>
      </c>
      <c r="R568" s="0" t="n">
        <f aca="false">-G568*(O568/3600)</f>
        <v>-2.06844765411582</v>
      </c>
      <c r="S568" s="0" t="n">
        <f aca="false">-1*I568-(H568*(P568/3600))</f>
        <v>-19.5</v>
      </c>
      <c r="T568" s="0" t="n">
        <f aca="false">-H568*(O568/3600)</f>
        <v>-4.70801657401496</v>
      </c>
      <c r="U568" s="0" t="n">
        <f aca="false">T568-S568</f>
        <v>14.791983425985</v>
      </c>
      <c r="V568" s="0" t="n">
        <f aca="false">1/(1+EXP(U568))</f>
        <v>3.76637066080863E-007</v>
      </c>
      <c r="W568" s="0" t="n">
        <f aca="true">RAND()</f>
        <v>0.593692106738642</v>
      </c>
      <c r="X568" s="0" t="n">
        <f aca="false">IF(W568&lt;V568,1,0)</f>
        <v>0</v>
      </c>
      <c r="Y568" s="0" t="n">
        <f aca="false">(M568*(1-X568)+N568*X568)*D568+M568*E568</f>
        <v>5808.82985076217</v>
      </c>
      <c r="Z568" s="0" t="n">
        <f aca="false">((1-X568)*O568+X568*P568)*D568+E568*O568</f>
        <v>474.498862453617</v>
      </c>
      <c r="AA568" s="0" t="n">
        <f aca="false">IF(D568*X568&gt;0,AA567,Q568)</f>
        <v>47</v>
      </c>
      <c r="AB568" s="0" t="n">
        <f aca="false">(X568*D568)</f>
        <v>0</v>
      </c>
      <c r="AC568" s="0" t="n">
        <f aca="false">SUM(AB$10:AB567)/K568</f>
        <v>0</v>
      </c>
      <c r="AD568" s="0" t="n">
        <f aca="false">R568*E568+D568*(X568*S568+(1-X568)*T568)</f>
        <v>-2.06844765411582</v>
      </c>
      <c r="AE568" s="0" t="n">
        <f aca="false">Z568</f>
        <v>474.498862453617</v>
      </c>
      <c r="AF568" s="0" t="n">
        <f aca="false">E568*O568</f>
        <v>474.498862453617</v>
      </c>
      <c r="AG568" s="0" t="n">
        <f aca="false">((1-X568)*O568+X568*P568)*D568</f>
        <v>0</v>
      </c>
      <c r="AH568" s="0" t="n">
        <f aca="false">D568*(LN(EXP(S568)+EXP(T568)))</f>
        <v>-0</v>
      </c>
      <c r="AJ568" s="0" t="n">
        <f aca="false">$J$5</f>
        <v>10</v>
      </c>
      <c r="AK568" s="4" t="n">
        <f aca="false">AJ568+MAX(K568,AK$10:AK567)</f>
        <v>5808.82985076217</v>
      </c>
      <c r="AL568" s="5" t="n">
        <f aca="false">AK568-K568</f>
        <v>474.498862453617</v>
      </c>
      <c r="AM568" s="0" t="n">
        <f aca="false">-G568*AL568/3600</f>
        <v>-2.06844765411582</v>
      </c>
      <c r="AN568" s="0" t="n">
        <f aca="false">-H568*AL568/3600</f>
        <v>-4.70801657401496</v>
      </c>
      <c r="AO568" s="0" t="n">
        <f aca="false">AM568*E568+AN568*D568</f>
        <v>-2.06844765411582</v>
      </c>
      <c r="AP568" s="0" t="n">
        <f aca="false">AL568*D568</f>
        <v>0</v>
      </c>
      <c r="AR568" s="0" t="n">
        <f aca="false">AN568*D568</f>
        <v>-0</v>
      </c>
      <c r="AS568" s="0" t="n">
        <f aca="false">AH568-AR568</f>
        <v>0</v>
      </c>
    </row>
    <row r="569" customFormat="false" ht="12" hidden="false" customHeight="false" outlineLevel="0" collapsed="false">
      <c r="A569" s="3" t="n">
        <f aca="false">A568+1</f>
        <v>560</v>
      </c>
      <c r="B569" s="3" t="n">
        <f aca="false">IF(A569&lt;$N$4/3,0.1,(IF(A569&gt;2*$N$4/3,0.05,0.12)))</f>
        <v>0.12</v>
      </c>
      <c r="C569" s="4" t="n">
        <f aca="true">RAND()</f>
        <v>0.367597207703552</v>
      </c>
      <c r="D569" s="0" t="n">
        <f aca="false">IF((C569&gt;$M$2),1,0)</f>
        <v>0</v>
      </c>
      <c r="E569" s="0" t="n">
        <f aca="false">1-D569</f>
        <v>1</v>
      </c>
      <c r="F569" s="0" t="n">
        <f aca="true">RAND()</f>
        <v>0.733326991898093</v>
      </c>
      <c r="G569" s="0" t="n">
        <f aca="false">7.75+F569*10</f>
        <v>15.0832699189809</v>
      </c>
      <c r="H569" s="0" t="n">
        <f aca="false">LOGINV(F569,2.64,1.139)</f>
        <v>28.4882128387129</v>
      </c>
      <c r="I569" s="0" t="n">
        <v>19.5</v>
      </c>
      <c r="J569" s="4" t="n">
        <f aca="true">-LN(RAND())/B569</f>
        <v>2.44918344775744</v>
      </c>
      <c r="K569" s="4" t="n">
        <f aca="false">K568+J569</f>
        <v>5336.78017175631</v>
      </c>
      <c r="L569" s="4" t="n">
        <f aca="false">(1/$J$4)*(1+AB568)</f>
        <v>10</v>
      </c>
      <c r="M569" s="4" t="n">
        <f aca="false">L569+MAX(K569,Y$10:Y568)</f>
        <v>5818.82985076217</v>
      </c>
      <c r="N569" s="4" t="n">
        <f aca="false">K569</f>
        <v>5336.78017175631</v>
      </c>
      <c r="O569" s="4" t="n">
        <f aca="false">M569-K569</f>
        <v>482.04967900586</v>
      </c>
      <c r="P569" s="4" t="n">
        <f aca="false">N569-K569</f>
        <v>0</v>
      </c>
      <c r="Q569" s="4" t="n">
        <f aca="false">A569-MATCH(K569,$M$9:M568,1)</f>
        <v>48</v>
      </c>
      <c r="R569" s="0" t="n">
        <f aca="false">-G569*(O569/3600)</f>
        <v>-2.01969039522319</v>
      </c>
      <c r="S569" s="0" t="n">
        <f aca="false">-1*I569-(H569*(P569/3600))</f>
        <v>-19.5</v>
      </c>
      <c r="T569" s="0" t="n">
        <f aca="false">-H569*(O569/3600)</f>
        <v>-3.8146482928756</v>
      </c>
      <c r="U569" s="0" t="n">
        <f aca="false">T569-S569</f>
        <v>15.6853517071244</v>
      </c>
      <c r="V569" s="0" t="n">
        <f aca="false">1/(1+EXP(U569))</f>
        <v>1.54148122671257E-007</v>
      </c>
      <c r="W569" s="0" t="n">
        <f aca="true">RAND()</f>
        <v>0.964799319576322</v>
      </c>
      <c r="X569" s="0" t="n">
        <f aca="false">IF(W569&lt;V569,1,0)</f>
        <v>0</v>
      </c>
      <c r="Y569" s="0" t="n">
        <f aca="false">(M569*(1-X569)+N569*X569)*D569+M569*E569</f>
        <v>5818.82985076217</v>
      </c>
      <c r="Z569" s="0" t="n">
        <f aca="false">((1-X569)*O569+X569*P569)*D569+E569*O569</f>
        <v>482.04967900586</v>
      </c>
      <c r="AA569" s="0" t="n">
        <f aca="false">IF(D569*X569&gt;0,AA568,Q569)</f>
        <v>48</v>
      </c>
      <c r="AB569" s="0" t="n">
        <f aca="false">(X569*D569)</f>
        <v>0</v>
      </c>
      <c r="AC569" s="0" t="n">
        <f aca="false">SUM(AB$10:AB568)/K569</f>
        <v>0</v>
      </c>
      <c r="AD569" s="0" t="n">
        <f aca="false">R569*E569+D569*(X569*S569+(1-X569)*T569)</f>
        <v>-2.01969039522319</v>
      </c>
      <c r="AE569" s="0" t="n">
        <f aca="false">Z569</f>
        <v>482.04967900586</v>
      </c>
      <c r="AF569" s="0" t="n">
        <f aca="false">E569*O569</f>
        <v>482.04967900586</v>
      </c>
      <c r="AG569" s="0" t="n">
        <f aca="false">((1-X569)*O569+X569*P569)*D569</f>
        <v>0</v>
      </c>
      <c r="AH569" s="0" t="n">
        <f aca="false">D569*(LN(EXP(S569)+EXP(T569)))</f>
        <v>-0</v>
      </c>
      <c r="AJ569" s="0" t="n">
        <f aca="false">$J$5</f>
        <v>10</v>
      </c>
      <c r="AK569" s="4" t="n">
        <f aca="false">AJ569+MAX(K569,AK$10:AK568)</f>
        <v>5818.82985076217</v>
      </c>
      <c r="AL569" s="5" t="n">
        <f aca="false">AK569-K569</f>
        <v>482.04967900586</v>
      </c>
      <c r="AM569" s="0" t="n">
        <f aca="false">-G569*AL569/3600</f>
        <v>-2.01969039522319</v>
      </c>
      <c r="AN569" s="0" t="n">
        <f aca="false">-H569*AL569/3600</f>
        <v>-3.8146482928756</v>
      </c>
      <c r="AO569" s="0" t="n">
        <f aca="false">AM569*E569+AN569*D569</f>
        <v>-2.01969039522319</v>
      </c>
      <c r="AP569" s="0" t="n">
        <f aca="false">AL569*D569</f>
        <v>0</v>
      </c>
      <c r="AR569" s="0" t="n">
        <f aca="false">AN569*D569</f>
        <v>-0</v>
      </c>
      <c r="AS569" s="0" t="n">
        <f aca="false">AH569-AR569</f>
        <v>0</v>
      </c>
    </row>
    <row r="570" customFormat="false" ht="12" hidden="false" customHeight="false" outlineLevel="0" collapsed="false">
      <c r="A570" s="3" t="n">
        <f aca="false">A569+1</f>
        <v>561</v>
      </c>
      <c r="B570" s="3" t="n">
        <f aca="false">IF(A570&lt;$N$4/3,0.1,(IF(A570&gt;2*$N$4/3,0.05,0.12)))</f>
        <v>0.12</v>
      </c>
      <c r="C570" s="4" t="n">
        <f aca="true">RAND()</f>
        <v>0.393006324247236</v>
      </c>
      <c r="D570" s="0" t="n">
        <f aca="false">IF((C570&gt;$M$2),1,0)</f>
        <v>0</v>
      </c>
      <c r="E570" s="0" t="n">
        <f aca="false">1-D570</f>
        <v>1</v>
      </c>
      <c r="F570" s="0" t="n">
        <f aca="true">RAND()</f>
        <v>0.14231100732421</v>
      </c>
      <c r="G570" s="0" t="n">
        <f aca="false">7.75+F570*10</f>
        <v>9.1731100732421</v>
      </c>
      <c r="H570" s="0" t="n">
        <f aca="false">LOGINV(F570,2.64,1.139)</f>
        <v>4.1424062847088</v>
      </c>
      <c r="I570" s="0" t="n">
        <v>19.5</v>
      </c>
      <c r="J570" s="4" t="n">
        <f aca="true">-LN(RAND())/B570</f>
        <v>12.2184588494044</v>
      </c>
      <c r="K570" s="4" t="n">
        <f aca="false">K569+J570</f>
        <v>5348.99863060572</v>
      </c>
      <c r="L570" s="4" t="n">
        <f aca="false">(1/$J$4)*(1+AB569)</f>
        <v>10</v>
      </c>
      <c r="M570" s="4" t="n">
        <f aca="false">L570+MAX(K570,Y$10:Y569)</f>
        <v>5828.82985076217</v>
      </c>
      <c r="N570" s="4" t="n">
        <f aca="false">K570</f>
        <v>5348.99863060572</v>
      </c>
      <c r="O570" s="4" t="n">
        <f aca="false">M570-K570</f>
        <v>479.831220156455</v>
      </c>
      <c r="P570" s="4" t="n">
        <f aca="false">N570-K570</f>
        <v>0</v>
      </c>
      <c r="Q570" s="4" t="n">
        <f aca="false">A570-MATCH(K570,$M$9:M569,1)</f>
        <v>47</v>
      </c>
      <c r="R570" s="0" t="n">
        <f aca="false">-G570*(O570/3600)</f>
        <v>-1.22265127752034</v>
      </c>
      <c r="S570" s="0" t="n">
        <f aca="false">-1*I570-(H570*(P570/3600))</f>
        <v>-19.5</v>
      </c>
      <c r="T570" s="0" t="n">
        <f aca="false">-H570*(O570/3600)</f>
        <v>-0.552126628326553</v>
      </c>
      <c r="U570" s="0" t="n">
        <f aca="false">T570-S570</f>
        <v>18.9478733716734</v>
      </c>
      <c r="V570" s="0" t="n">
        <f aca="false">1/(1+EXP(U570))</f>
        <v>5.90259721139173E-009</v>
      </c>
      <c r="W570" s="0" t="n">
        <f aca="true">RAND()</f>
        <v>0.867895876974855</v>
      </c>
      <c r="X570" s="0" t="n">
        <f aca="false">IF(W570&lt;V570,1,0)</f>
        <v>0</v>
      </c>
      <c r="Y570" s="0" t="n">
        <f aca="false">(M570*(1-X570)+N570*X570)*D570+M570*E570</f>
        <v>5828.82985076217</v>
      </c>
      <c r="Z570" s="0" t="n">
        <f aca="false">((1-X570)*O570+X570*P570)*D570+E570*O570</f>
        <v>479.831220156455</v>
      </c>
      <c r="AA570" s="0" t="n">
        <f aca="false">IF(D570*X570&gt;0,AA569,Q570)</f>
        <v>47</v>
      </c>
      <c r="AB570" s="0" t="n">
        <f aca="false">(X570*D570)</f>
        <v>0</v>
      </c>
      <c r="AC570" s="0" t="n">
        <f aca="false">SUM(AB$10:AB569)/K570</f>
        <v>0</v>
      </c>
      <c r="AD570" s="0" t="n">
        <f aca="false">R570*E570+D570*(X570*S570+(1-X570)*T570)</f>
        <v>-1.22265127752034</v>
      </c>
      <c r="AE570" s="0" t="n">
        <f aca="false">Z570</f>
        <v>479.831220156455</v>
      </c>
      <c r="AF570" s="0" t="n">
        <f aca="false">E570*O570</f>
        <v>479.831220156455</v>
      </c>
      <c r="AG570" s="0" t="n">
        <f aca="false">((1-X570)*O570+X570*P570)*D570</f>
        <v>0</v>
      </c>
      <c r="AH570" s="0" t="n">
        <f aca="false">D570*(LN(EXP(S570)+EXP(T570)))</f>
        <v>-0</v>
      </c>
      <c r="AJ570" s="0" t="n">
        <f aca="false">$J$5</f>
        <v>10</v>
      </c>
      <c r="AK570" s="4" t="n">
        <f aca="false">AJ570+MAX(K570,AK$10:AK569)</f>
        <v>5828.82985076217</v>
      </c>
      <c r="AL570" s="5" t="n">
        <f aca="false">AK570-K570</f>
        <v>479.831220156455</v>
      </c>
      <c r="AM570" s="0" t="n">
        <f aca="false">-G570*AL570/3600</f>
        <v>-1.22265127752034</v>
      </c>
      <c r="AN570" s="0" t="n">
        <f aca="false">-H570*AL570/3600</f>
        <v>-0.552126628326553</v>
      </c>
      <c r="AO570" s="0" t="n">
        <f aca="false">AM570*E570+AN570*D570</f>
        <v>-1.22265127752034</v>
      </c>
      <c r="AP570" s="0" t="n">
        <f aca="false">AL570*D570</f>
        <v>0</v>
      </c>
      <c r="AR570" s="0" t="n">
        <f aca="false">AN570*D570</f>
        <v>-0</v>
      </c>
      <c r="AS570" s="0" t="n">
        <f aca="false">AH570-AR570</f>
        <v>0</v>
      </c>
    </row>
    <row r="571" customFormat="false" ht="12" hidden="false" customHeight="false" outlineLevel="0" collapsed="false">
      <c r="A571" s="3" t="n">
        <f aca="false">A570+1</f>
        <v>562</v>
      </c>
      <c r="B571" s="3" t="n">
        <f aca="false">IF(A571&lt;$N$4/3,0.1,(IF(A571&gt;2*$N$4/3,0.05,0.12)))</f>
        <v>0.12</v>
      </c>
      <c r="C571" s="4" t="n">
        <f aca="true">RAND()</f>
        <v>0.790415124830253</v>
      </c>
      <c r="D571" s="0" t="n">
        <f aca="false">IF((C571&gt;$M$2),1,0)</f>
        <v>0</v>
      </c>
      <c r="E571" s="0" t="n">
        <f aca="false">1-D571</f>
        <v>1</v>
      </c>
      <c r="F571" s="0" t="n">
        <f aca="true">RAND()</f>
        <v>0.599452376949424</v>
      </c>
      <c r="G571" s="0" t="n">
        <f aca="false">7.75+F571*10</f>
        <v>13.7445237694942</v>
      </c>
      <c r="H571" s="0" t="n">
        <f aca="false">LOGINV(F571,2.64,1.139)</f>
        <v>18.6705638660425</v>
      </c>
      <c r="I571" s="0" t="n">
        <v>19.5</v>
      </c>
      <c r="J571" s="4" t="n">
        <f aca="true">-LN(RAND())/B571</f>
        <v>0.485714720914923</v>
      </c>
      <c r="K571" s="4" t="n">
        <f aca="false">K570+J571</f>
        <v>5349.48434532663</v>
      </c>
      <c r="L571" s="4" t="n">
        <f aca="false">(1/$J$4)*(1+AB570)</f>
        <v>10</v>
      </c>
      <c r="M571" s="4" t="n">
        <f aca="false">L571+MAX(K571,Y$10:Y570)</f>
        <v>5838.82985076217</v>
      </c>
      <c r="N571" s="4" t="n">
        <f aca="false">K571</f>
        <v>5349.48434532663</v>
      </c>
      <c r="O571" s="4" t="n">
        <f aca="false">M571-K571</f>
        <v>489.34550543554</v>
      </c>
      <c r="P571" s="4" t="n">
        <f aca="false">N571-K571</f>
        <v>0</v>
      </c>
      <c r="Q571" s="4" t="n">
        <f aca="false">A571-MATCH(K571,$M$9:M570,1)</f>
        <v>48</v>
      </c>
      <c r="R571" s="0" t="n">
        <f aca="false">-G571*(O571/3600)</f>
        <v>-1.86828359193165</v>
      </c>
      <c r="S571" s="0" t="n">
        <f aca="false">-1*I571-(H571*(P571/3600))</f>
        <v>-19.5</v>
      </c>
      <c r="T571" s="0" t="n">
        <f aca="false">-H571*(O571/3600)</f>
        <v>-2.53787680883196</v>
      </c>
      <c r="U571" s="0" t="n">
        <f aca="false">T571-S571</f>
        <v>16.962123191168</v>
      </c>
      <c r="V571" s="0" t="n">
        <f aca="false">1/(1+EXP(U571))</f>
        <v>4.29975270158682E-008</v>
      </c>
      <c r="W571" s="0" t="n">
        <f aca="true">RAND()</f>
        <v>0.323138683573611</v>
      </c>
      <c r="X571" s="0" t="n">
        <f aca="false">IF(W571&lt;V571,1,0)</f>
        <v>0</v>
      </c>
      <c r="Y571" s="0" t="n">
        <f aca="false">(M571*(1-X571)+N571*X571)*D571+M571*E571</f>
        <v>5838.82985076217</v>
      </c>
      <c r="Z571" s="0" t="n">
        <f aca="false">((1-X571)*O571+X571*P571)*D571+E571*O571</f>
        <v>489.34550543554</v>
      </c>
      <c r="AA571" s="0" t="n">
        <f aca="false">IF(D571*X571&gt;0,AA570,Q571)</f>
        <v>48</v>
      </c>
      <c r="AB571" s="0" t="n">
        <f aca="false">(X571*D571)</f>
        <v>0</v>
      </c>
      <c r="AC571" s="0" t="n">
        <f aca="false">SUM(AB$10:AB570)/K571</f>
        <v>0</v>
      </c>
      <c r="AD571" s="0" t="n">
        <f aca="false">R571*E571+D571*(X571*S571+(1-X571)*T571)</f>
        <v>-1.86828359193165</v>
      </c>
      <c r="AE571" s="0" t="n">
        <f aca="false">Z571</f>
        <v>489.34550543554</v>
      </c>
      <c r="AF571" s="0" t="n">
        <f aca="false">E571*O571</f>
        <v>489.34550543554</v>
      </c>
      <c r="AG571" s="0" t="n">
        <f aca="false">((1-X571)*O571+X571*P571)*D571</f>
        <v>0</v>
      </c>
      <c r="AH571" s="0" t="n">
        <f aca="false">D571*(LN(EXP(S571)+EXP(T571)))</f>
        <v>-0</v>
      </c>
      <c r="AJ571" s="0" t="n">
        <f aca="false">$J$5</f>
        <v>10</v>
      </c>
      <c r="AK571" s="4" t="n">
        <f aca="false">AJ571+MAX(K571,AK$10:AK570)</f>
        <v>5838.82985076217</v>
      </c>
      <c r="AL571" s="5" t="n">
        <f aca="false">AK571-K571</f>
        <v>489.34550543554</v>
      </c>
      <c r="AM571" s="0" t="n">
        <f aca="false">-G571*AL571/3600</f>
        <v>-1.86828359193165</v>
      </c>
      <c r="AN571" s="0" t="n">
        <f aca="false">-H571*AL571/3600</f>
        <v>-2.53787680883196</v>
      </c>
      <c r="AO571" s="0" t="n">
        <f aca="false">AM571*E571+AN571*D571</f>
        <v>-1.86828359193165</v>
      </c>
      <c r="AP571" s="0" t="n">
        <f aca="false">AL571*D571</f>
        <v>0</v>
      </c>
      <c r="AR571" s="0" t="n">
        <f aca="false">AN571*D571</f>
        <v>-0</v>
      </c>
      <c r="AS571" s="0" t="n">
        <f aca="false">AH571-AR571</f>
        <v>0</v>
      </c>
    </row>
    <row r="572" customFormat="false" ht="12" hidden="false" customHeight="false" outlineLevel="0" collapsed="false">
      <c r="A572" s="3" t="n">
        <f aca="false">A571+1</f>
        <v>563</v>
      </c>
      <c r="B572" s="3" t="n">
        <f aca="false">IF(A572&lt;$N$4/3,0.1,(IF(A572&gt;2*$N$4/3,0.05,0.12)))</f>
        <v>0.12</v>
      </c>
      <c r="C572" s="4" t="n">
        <f aca="true">RAND()</f>
        <v>0.893692343867261</v>
      </c>
      <c r="D572" s="0" t="n">
        <f aca="false">IF((C572&gt;$M$2),1,0)</f>
        <v>0</v>
      </c>
      <c r="E572" s="0" t="n">
        <f aca="false">1-D572</f>
        <v>1</v>
      </c>
      <c r="F572" s="0" t="n">
        <f aca="true">RAND()</f>
        <v>0.712649201746574</v>
      </c>
      <c r="G572" s="0" t="n">
        <f aca="false">7.75+F572*10</f>
        <v>14.8764920174657</v>
      </c>
      <c r="H572" s="0" t="n">
        <f aca="false">LOGINV(F572,2.64,1.139)</f>
        <v>26.5529088796975</v>
      </c>
      <c r="I572" s="0" t="n">
        <v>19.5</v>
      </c>
      <c r="J572" s="4" t="n">
        <f aca="true">-LN(RAND())/B572</f>
        <v>8.41892205115078</v>
      </c>
      <c r="K572" s="4" t="n">
        <f aca="false">K571+J572</f>
        <v>5357.90326737778</v>
      </c>
      <c r="L572" s="4" t="n">
        <f aca="false">(1/$J$4)*(1+AB571)</f>
        <v>10</v>
      </c>
      <c r="M572" s="4" t="n">
        <f aca="false">L572+MAX(K572,Y$10:Y571)</f>
        <v>5848.82985076217</v>
      </c>
      <c r="N572" s="4" t="n">
        <f aca="false">K572</f>
        <v>5357.90326737778</v>
      </c>
      <c r="O572" s="4" t="n">
        <f aca="false">M572-K572</f>
        <v>490.926583384389</v>
      </c>
      <c r="P572" s="4" t="n">
        <f aca="false">N572-K572</f>
        <v>0</v>
      </c>
      <c r="Q572" s="4" t="n">
        <f aca="false">A572-MATCH(K572,$M$9:M571,1)</f>
        <v>49</v>
      </c>
      <c r="R572" s="0" t="n">
        <f aca="false">-G572*(O572/3600)</f>
        <v>-2.02868483302211</v>
      </c>
      <c r="S572" s="0" t="n">
        <f aca="false">-1*I572-(H572*(P572/3600))</f>
        <v>-19.5</v>
      </c>
      <c r="T572" s="0" t="n">
        <f aca="false">-H572*(O572/3600)</f>
        <v>-3.62098023200747</v>
      </c>
      <c r="U572" s="0" t="n">
        <f aca="false">T572-S572</f>
        <v>15.8790197679925</v>
      </c>
      <c r="V572" s="0" t="n">
        <f aca="false">1/(1+EXP(U572))</f>
        <v>1.27007474866918E-007</v>
      </c>
      <c r="W572" s="0" t="n">
        <f aca="true">RAND()</f>
        <v>0.393942815285573</v>
      </c>
      <c r="X572" s="0" t="n">
        <f aca="false">IF(W572&lt;V572,1,0)</f>
        <v>0</v>
      </c>
      <c r="Y572" s="0" t="n">
        <f aca="false">(M572*(1-X572)+N572*X572)*D572+M572*E572</f>
        <v>5848.82985076217</v>
      </c>
      <c r="Z572" s="0" t="n">
        <f aca="false">((1-X572)*O572+X572*P572)*D572+E572*O572</f>
        <v>490.926583384389</v>
      </c>
      <c r="AA572" s="0" t="n">
        <f aca="false">IF(D572*X572&gt;0,AA571,Q572)</f>
        <v>49</v>
      </c>
      <c r="AB572" s="0" t="n">
        <f aca="false">(X572*D572)</f>
        <v>0</v>
      </c>
      <c r="AC572" s="0" t="n">
        <f aca="false">SUM(AB$10:AB571)/K572</f>
        <v>0</v>
      </c>
      <c r="AD572" s="0" t="n">
        <f aca="false">R572*E572+D572*(X572*S572+(1-X572)*T572)</f>
        <v>-2.02868483302211</v>
      </c>
      <c r="AE572" s="0" t="n">
        <f aca="false">Z572</f>
        <v>490.926583384389</v>
      </c>
      <c r="AF572" s="0" t="n">
        <f aca="false">E572*O572</f>
        <v>490.926583384389</v>
      </c>
      <c r="AG572" s="0" t="n">
        <f aca="false">((1-X572)*O572+X572*P572)*D572</f>
        <v>0</v>
      </c>
      <c r="AH572" s="0" t="n">
        <f aca="false">D572*(LN(EXP(S572)+EXP(T572)))</f>
        <v>-0</v>
      </c>
      <c r="AJ572" s="0" t="n">
        <f aca="false">$J$5</f>
        <v>10</v>
      </c>
      <c r="AK572" s="4" t="n">
        <f aca="false">AJ572+MAX(K572,AK$10:AK571)</f>
        <v>5848.82985076217</v>
      </c>
      <c r="AL572" s="5" t="n">
        <f aca="false">AK572-K572</f>
        <v>490.926583384389</v>
      </c>
      <c r="AM572" s="0" t="n">
        <f aca="false">-G572*AL572/3600</f>
        <v>-2.02868483302211</v>
      </c>
      <c r="AN572" s="0" t="n">
        <f aca="false">-H572*AL572/3600</f>
        <v>-3.62098023200747</v>
      </c>
      <c r="AO572" s="0" t="n">
        <f aca="false">AM572*E572+AN572*D572</f>
        <v>-2.02868483302211</v>
      </c>
      <c r="AP572" s="0" t="n">
        <f aca="false">AL572*D572</f>
        <v>0</v>
      </c>
      <c r="AR572" s="0" t="n">
        <f aca="false">AN572*D572</f>
        <v>-0</v>
      </c>
      <c r="AS572" s="0" t="n">
        <f aca="false">AH572-AR572</f>
        <v>0</v>
      </c>
    </row>
    <row r="573" customFormat="false" ht="12" hidden="false" customHeight="false" outlineLevel="0" collapsed="false">
      <c r="A573" s="3" t="n">
        <f aca="false">A572+1</f>
        <v>564</v>
      </c>
      <c r="B573" s="3" t="n">
        <f aca="false">IF(A573&lt;$N$4/3,0.1,(IF(A573&gt;2*$N$4/3,0.05,0.12)))</f>
        <v>0.12</v>
      </c>
      <c r="C573" s="4" t="n">
        <f aca="true">RAND()</f>
        <v>0.0776432685938785</v>
      </c>
      <c r="D573" s="0" t="n">
        <f aca="false">IF((C573&gt;$M$2),1,0)</f>
        <v>0</v>
      </c>
      <c r="E573" s="0" t="n">
        <f aca="false">1-D573</f>
        <v>1</v>
      </c>
      <c r="F573" s="0" t="n">
        <f aca="true">RAND()</f>
        <v>0.0361587330850201</v>
      </c>
      <c r="G573" s="0" t="n">
        <f aca="false">7.75+F573*10</f>
        <v>8.1115873308502</v>
      </c>
      <c r="H573" s="0" t="n">
        <f aca="false">LOGINV(F573,2.64,1.139)</f>
        <v>1.80956546511054</v>
      </c>
      <c r="I573" s="0" t="n">
        <v>19.5</v>
      </c>
      <c r="J573" s="4" t="n">
        <f aca="true">-LN(RAND())/B573</f>
        <v>10.0419945396043</v>
      </c>
      <c r="K573" s="4" t="n">
        <f aca="false">K572+J573</f>
        <v>5367.94526191739</v>
      </c>
      <c r="L573" s="4" t="n">
        <f aca="false">(1/$J$4)*(1+AB572)</f>
        <v>10</v>
      </c>
      <c r="M573" s="4" t="n">
        <f aca="false">L573+MAX(K573,Y$10:Y572)</f>
        <v>5858.82985076217</v>
      </c>
      <c r="N573" s="4" t="n">
        <f aca="false">K573</f>
        <v>5367.94526191739</v>
      </c>
      <c r="O573" s="4" t="n">
        <f aca="false">M573-K573</f>
        <v>490.884588844785</v>
      </c>
      <c r="P573" s="4" t="n">
        <f aca="false">N573-K573</f>
        <v>0</v>
      </c>
      <c r="Q573" s="4" t="n">
        <f aca="false">A573-MATCH(K573,$M$9:M572,1)</f>
        <v>49</v>
      </c>
      <c r="R573" s="0" t="n">
        <f aca="false">-G573*(O573/3600)</f>
        <v>-1.10607033660638</v>
      </c>
      <c r="S573" s="0" t="n">
        <f aca="false">-1*I573-(H573*(P573/3600))</f>
        <v>-19.5</v>
      </c>
      <c r="T573" s="0" t="n">
        <f aca="false">-H573*(O573/3600)</f>
        <v>-0.246746610924586</v>
      </c>
      <c r="U573" s="0" t="n">
        <f aca="false">T573-S573</f>
        <v>19.2532533890754</v>
      </c>
      <c r="V573" s="0" t="n">
        <f aca="false">1/(1+EXP(U573))</f>
        <v>4.34928926120135E-009</v>
      </c>
      <c r="W573" s="0" t="n">
        <f aca="true">RAND()</f>
        <v>0.876101091848982</v>
      </c>
      <c r="X573" s="0" t="n">
        <f aca="false">IF(W573&lt;V573,1,0)</f>
        <v>0</v>
      </c>
      <c r="Y573" s="0" t="n">
        <f aca="false">(M573*(1-X573)+N573*X573)*D573+M573*E573</f>
        <v>5858.82985076217</v>
      </c>
      <c r="Z573" s="0" t="n">
        <f aca="false">((1-X573)*O573+X573*P573)*D573+E573*O573</f>
        <v>490.884588844785</v>
      </c>
      <c r="AA573" s="0" t="n">
        <f aca="false">IF(D573*X573&gt;0,AA572,Q573)</f>
        <v>49</v>
      </c>
      <c r="AB573" s="0" t="n">
        <f aca="false">(X573*D573)</f>
        <v>0</v>
      </c>
      <c r="AC573" s="0" t="n">
        <f aca="false">SUM(AB$10:AB572)/K573</f>
        <v>0</v>
      </c>
      <c r="AD573" s="0" t="n">
        <f aca="false">R573*E573+D573*(X573*S573+(1-X573)*T573)</f>
        <v>-1.10607033660638</v>
      </c>
      <c r="AE573" s="0" t="n">
        <f aca="false">Z573</f>
        <v>490.884588844785</v>
      </c>
      <c r="AF573" s="0" t="n">
        <f aca="false">E573*O573</f>
        <v>490.884588844785</v>
      </c>
      <c r="AG573" s="0" t="n">
        <f aca="false">((1-X573)*O573+X573*P573)*D573</f>
        <v>0</v>
      </c>
      <c r="AH573" s="0" t="n">
        <f aca="false">D573*(LN(EXP(S573)+EXP(T573)))</f>
        <v>-0</v>
      </c>
      <c r="AJ573" s="0" t="n">
        <f aca="false">$J$5</f>
        <v>10</v>
      </c>
      <c r="AK573" s="4" t="n">
        <f aca="false">AJ573+MAX(K573,AK$10:AK572)</f>
        <v>5858.82985076217</v>
      </c>
      <c r="AL573" s="5" t="n">
        <f aca="false">AK573-K573</f>
        <v>490.884588844785</v>
      </c>
      <c r="AM573" s="0" t="n">
        <f aca="false">-G573*AL573/3600</f>
        <v>-1.10607033660638</v>
      </c>
      <c r="AN573" s="0" t="n">
        <f aca="false">-H573*AL573/3600</f>
        <v>-0.246746610924586</v>
      </c>
      <c r="AO573" s="0" t="n">
        <f aca="false">AM573*E573+AN573*D573</f>
        <v>-1.10607033660638</v>
      </c>
      <c r="AP573" s="0" t="n">
        <f aca="false">AL573*D573</f>
        <v>0</v>
      </c>
      <c r="AR573" s="0" t="n">
        <f aca="false">AN573*D573</f>
        <v>-0</v>
      </c>
      <c r="AS573" s="0" t="n">
        <f aca="false">AH573-AR573</f>
        <v>0</v>
      </c>
    </row>
    <row r="574" customFormat="false" ht="12" hidden="false" customHeight="false" outlineLevel="0" collapsed="false">
      <c r="A574" s="3" t="n">
        <f aca="false">A573+1</f>
        <v>565</v>
      </c>
      <c r="B574" s="3" t="n">
        <f aca="false">IF(A574&lt;$N$4/3,0.1,(IF(A574&gt;2*$N$4/3,0.05,0.12)))</f>
        <v>0.12</v>
      </c>
      <c r="C574" s="4" t="n">
        <f aca="true">RAND()</f>
        <v>0.190715832591316</v>
      </c>
      <c r="D574" s="0" t="n">
        <f aca="false">IF((C574&gt;$M$2),1,0)</f>
        <v>0</v>
      </c>
      <c r="E574" s="0" t="n">
        <f aca="false">1-D574</f>
        <v>1</v>
      </c>
      <c r="F574" s="0" t="n">
        <f aca="true">RAND()</f>
        <v>0.932355942776796</v>
      </c>
      <c r="G574" s="0" t="n">
        <f aca="false">7.75+F574*10</f>
        <v>17.073559427768</v>
      </c>
      <c r="H574" s="0" t="n">
        <f aca="false">LOGINV(F574,2.64,1.139)</f>
        <v>76.7977950658405</v>
      </c>
      <c r="I574" s="0" t="n">
        <v>19.5</v>
      </c>
      <c r="J574" s="4" t="n">
        <f aca="true">-LN(RAND())/B574</f>
        <v>3.85243257222942</v>
      </c>
      <c r="K574" s="4" t="n">
        <f aca="false">K573+J574</f>
        <v>5371.79769448962</v>
      </c>
      <c r="L574" s="4" t="n">
        <f aca="false">(1/$J$4)*(1+AB573)</f>
        <v>10</v>
      </c>
      <c r="M574" s="4" t="n">
        <f aca="false">L574+MAX(K574,Y$10:Y573)</f>
        <v>5868.82985076217</v>
      </c>
      <c r="N574" s="4" t="n">
        <f aca="false">K574</f>
        <v>5371.79769448962</v>
      </c>
      <c r="O574" s="4" t="n">
        <f aca="false">M574-K574</f>
        <v>497.032156272556</v>
      </c>
      <c r="P574" s="4" t="n">
        <f aca="false">N574-K574</f>
        <v>0</v>
      </c>
      <c r="Q574" s="4" t="n">
        <f aca="false">A574-MATCH(K574,$M$9:M573,1)</f>
        <v>49</v>
      </c>
      <c r="R574" s="0" t="n">
        <f aca="false">-G574*(O574/3600)</f>
        <v>-2.35725223823087</v>
      </c>
      <c r="S574" s="0" t="n">
        <f aca="false">-1*I574-(H574*(P574/3600))</f>
        <v>-19.5</v>
      </c>
      <c r="T574" s="0" t="n">
        <f aca="false">-H574*(O574/3600)</f>
        <v>-10.6030482440424</v>
      </c>
      <c r="U574" s="0" t="n">
        <f aca="false">T574-S574</f>
        <v>8.89695175595763</v>
      </c>
      <c r="V574" s="0" t="n">
        <f aca="false">1/(1+EXP(U574))</f>
        <v>0.000136786594375579</v>
      </c>
      <c r="W574" s="0" t="n">
        <f aca="true">RAND()</f>
        <v>0.162866887085996</v>
      </c>
      <c r="X574" s="0" t="n">
        <f aca="false">IF(W574&lt;V574,1,0)</f>
        <v>0</v>
      </c>
      <c r="Y574" s="0" t="n">
        <f aca="false">(M574*(1-X574)+N574*X574)*D574+M574*E574</f>
        <v>5868.82985076217</v>
      </c>
      <c r="Z574" s="0" t="n">
        <f aca="false">((1-X574)*O574+X574*P574)*D574+E574*O574</f>
        <v>497.032156272556</v>
      </c>
      <c r="AA574" s="0" t="n">
        <f aca="false">IF(D574*X574&gt;0,AA573,Q574)</f>
        <v>49</v>
      </c>
      <c r="AB574" s="0" t="n">
        <f aca="false">(X574*D574)</f>
        <v>0</v>
      </c>
      <c r="AC574" s="0" t="n">
        <f aca="false">SUM(AB$10:AB573)/K574</f>
        <v>0</v>
      </c>
      <c r="AD574" s="0" t="n">
        <f aca="false">R574*E574+D574*(X574*S574+(1-X574)*T574)</f>
        <v>-2.35725223823087</v>
      </c>
      <c r="AE574" s="0" t="n">
        <f aca="false">Z574</f>
        <v>497.032156272556</v>
      </c>
      <c r="AF574" s="0" t="n">
        <f aca="false">E574*O574</f>
        <v>497.032156272556</v>
      </c>
      <c r="AG574" s="0" t="n">
        <f aca="false">((1-X574)*O574+X574*P574)*D574</f>
        <v>0</v>
      </c>
      <c r="AH574" s="0" t="n">
        <f aca="false">D574*(LN(EXP(S574)+EXP(T574)))</f>
        <v>-0</v>
      </c>
      <c r="AJ574" s="0" t="n">
        <f aca="false">$J$5</f>
        <v>10</v>
      </c>
      <c r="AK574" s="4" t="n">
        <f aca="false">AJ574+MAX(K574,AK$10:AK573)</f>
        <v>5868.82985076217</v>
      </c>
      <c r="AL574" s="5" t="n">
        <f aca="false">AK574-K574</f>
        <v>497.032156272556</v>
      </c>
      <c r="AM574" s="0" t="n">
        <f aca="false">-G574*AL574/3600</f>
        <v>-2.35725223823087</v>
      </c>
      <c r="AN574" s="0" t="n">
        <f aca="false">-H574*AL574/3600</f>
        <v>-10.6030482440424</v>
      </c>
      <c r="AO574" s="0" t="n">
        <f aca="false">AM574*E574+AN574*D574</f>
        <v>-2.35725223823087</v>
      </c>
      <c r="AP574" s="0" t="n">
        <f aca="false">AL574*D574</f>
        <v>0</v>
      </c>
      <c r="AR574" s="0" t="n">
        <f aca="false">AN574*D574</f>
        <v>-0</v>
      </c>
      <c r="AS574" s="0" t="n">
        <f aca="false">AH574-AR574</f>
        <v>0</v>
      </c>
    </row>
    <row r="575" customFormat="false" ht="12" hidden="false" customHeight="false" outlineLevel="0" collapsed="false">
      <c r="A575" s="3" t="n">
        <f aca="false">A574+1</f>
        <v>566</v>
      </c>
      <c r="B575" s="3" t="n">
        <f aca="false">IF(A575&lt;$N$4/3,0.1,(IF(A575&gt;2*$N$4/3,0.05,0.12)))</f>
        <v>0.12</v>
      </c>
      <c r="C575" s="4" t="n">
        <f aca="true">RAND()</f>
        <v>0.364840953308788</v>
      </c>
      <c r="D575" s="0" t="n">
        <f aca="false">IF((C575&gt;$M$2),1,0)</f>
        <v>0</v>
      </c>
      <c r="E575" s="0" t="n">
        <f aca="false">1-D575</f>
        <v>1</v>
      </c>
      <c r="F575" s="0" t="n">
        <f aca="true">RAND()</f>
        <v>0.163912721718532</v>
      </c>
      <c r="G575" s="0" t="n">
        <f aca="false">7.75+F575*10</f>
        <v>9.38912721718532</v>
      </c>
      <c r="H575" s="0" t="n">
        <f aca="false">LOGINV(F575,2.64,1.139)</f>
        <v>4.59737138972465</v>
      </c>
      <c r="I575" s="0" t="n">
        <v>19.5</v>
      </c>
      <c r="J575" s="4" t="n">
        <f aca="true">-LN(RAND())/B575</f>
        <v>0.798694442443244</v>
      </c>
      <c r="K575" s="4" t="n">
        <f aca="false">K574+J575</f>
        <v>5372.59638893206</v>
      </c>
      <c r="L575" s="4" t="n">
        <f aca="false">(1/$J$4)*(1+AB574)</f>
        <v>10</v>
      </c>
      <c r="M575" s="4" t="n">
        <f aca="false">L575+MAX(K575,Y$10:Y574)</f>
        <v>5878.82985076217</v>
      </c>
      <c r="N575" s="4" t="n">
        <f aca="false">K575</f>
        <v>5372.59638893206</v>
      </c>
      <c r="O575" s="4" t="n">
        <f aca="false">M575-K575</f>
        <v>506.233461830113</v>
      </c>
      <c r="P575" s="4" t="n">
        <f aca="false">N575-K575</f>
        <v>0</v>
      </c>
      <c r="Q575" s="4" t="n">
        <f aca="false">A575-MATCH(K575,$M$9:M574,1)</f>
        <v>50</v>
      </c>
      <c r="R575" s="0" t="n">
        <f aca="false">-G575*(O575/3600)</f>
        <v>-1.32030288186641</v>
      </c>
      <c r="S575" s="0" t="n">
        <f aca="false">-1*I575-(H575*(P575/3600))</f>
        <v>-19.5</v>
      </c>
      <c r="T575" s="0" t="n">
        <f aca="false">-H575*(O575/3600)</f>
        <v>-0.64648423164973</v>
      </c>
      <c r="U575" s="0" t="n">
        <f aca="false">T575-S575</f>
        <v>18.8535157683503</v>
      </c>
      <c r="V575" s="0" t="n">
        <f aca="false">1/(1+EXP(U575))</f>
        <v>6.48667493081316E-009</v>
      </c>
      <c r="W575" s="0" t="n">
        <f aca="true">RAND()</f>
        <v>0.0757566370343796</v>
      </c>
      <c r="X575" s="0" t="n">
        <f aca="false">IF(W575&lt;V575,1,0)</f>
        <v>0</v>
      </c>
      <c r="Y575" s="0" t="n">
        <f aca="false">(M575*(1-X575)+N575*X575)*D575+M575*E575</f>
        <v>5878.82985076217</v>
      </c>
      <c r="Z575" s="0" t="n">
        <f aca="false">((1-X575)*O575+X575*P575)*D575+E575*O575</f>
        <v>506.233461830113</v>
      </c>
      <c r="AA575" s="0" t="n">
        <f aca="false">IF(D575*X575&gt;0,AA574,Q575)</f>
        <v>50</v>
      </c>
      <c r="AB575" s="0" t="n">
        <f aca="false">(X575*D575)</f>
        <v>0</v>
      </c>
      <c r="AC575" s="0" t="n">
        <f aca="false">SUM(AB$10:AB574)/K575</f>
        <v>0</v>
      </c>
      <c r="AD575" s="0" t="n">
        <f aca="false">R575*E575+D575*(X575*S575+(1-X575)*T575)</f>
        <v>-1.32030288186641</v>
      </c>
      <c r="AE575" s="0" t="n">
        <f aca="false">Z575</f>
        <v>506.233461830113</v>
      </c>
      <c r="AF575" s="0" t="n">
        <f aca="false">E575*O575</f>
        <v>506.233461830113</v>
      </c>
      <c r="AG575" s="0" t="n">
        <f aca="false">((1-X575)*O575+X575*P575)*D575</f>
        <v>0</v>
      </c>
      <c r="AH575" s="0" t="n">
        <f aca="false">D575*(LN(EXP(S575)+EXP(T575)))</f>
        <v>-0</v>
      </c>
      <c r="AJ575" s="0" t="n">
        <f aca="false">$J$5</f>
        <v>10</v>
      </c>
      <c r="AK575" s="4" t="n">
        <f aca="false">AJ575+MAX(K575,AK$10:AK574)</f>
        <v>5878.82985076217</v>
      </c>
      <c r="AL575" s="5" t="n">
        <f aca="false">AK575-K575</f>
        <v>506.233461830113</v>
      </c>
      <c r="AM575" s="0" t="n">
        <f aca="false">-G575*AL575/3600</f>
        <v>-1.32030288186641</v>
      </c>
      <c r="AN575" s="0" t="n">
        <f aca="false">-H575*AL575/3600</f>
        <v>-0.64648423164973</v>
      </c>
      <c r="AO575" s="0" t="n">
        <f aca="false">AM575*E575+AN575*D575</f>
        <v>-1.32030288186641</v>
      </c>
      <c r="AP575" s="0" t="n">
        <f aca="false">AL575*D575</f>
        <v>0</v>
      </c>
      <c r="AR575" s="0" t="n">
        <f aca="false">AN575*D575</f>
        <v>-0</v>
      </c>
      <c r="AS575" s="0" t="n">
        <f aca="false">AH575-AR575</f>
        <v>0</v>
      </c>
    </row>
    <row r="576" customFormat="false" ht="12" hidden="false" customHeight="false" outlineLevel="0" collapsed="false">
      <c r="A576" s="3" t="n">
        <f aca="false">A575+1</f>
        <v>567</v>
      </c>
      <c r="B576" s="3" t="n">
        <f aca="false">IF(A576&lt;$N$4/3,0.1,(IF(A576&gt;2*$N$4/3,0.05,0.12)))</f>
        <v>0.12</v>
      </c>
      <c r="C576" s="4" t="n">
        <f aca="true">RAND()</f>
        <v>0.800310273016551</v>
      </c>
      <c r="D576" s="0" t="n">
        <f aca="false">IF((C576&gt;$M$2),1,0)</f>
        <v>0</v>
      </c>
      <c r="E576" s="0" t="n">
        <f aca="false">1-D576</f>
        <v>1</v>
      </c>
      <c r="F576" s="0" t="n">
        <f aca="true">RAND()</f>
        <v>0.0479071177406009</v>
      </c>
      <c r="G576" s="0" t="n">
        <f aca="false">7.75+F576*10</f>
        <v>8.22907117740601</v>
      </c>
      <c r="H576" s="0" t="n">
        <f aca="false">LOGINV(F576,2.64,1.139)</f>
        <v>2.10223761833239</v>
      </c>
      <c r="I576" s="0" t="n">
        <v>19.5</v>
      </c>
      <c r="J576" s="4" t="n">
        <f aca="true">-LN(RAND())/B576</f>
        <v>4.49166211637424</v>
      </c>
      <c r="K576" s="4" t="n">
        <f aca="false">K575+J576</f>
        <v>5377.08805104843</v>
      </c>
      <c r="L576" s="4" t="n">
        <f aca="false">(1/$J$4)*(1+AB575)</f>
        <v>10</v>
      </c>
      <c r="M576" s="4" t="n">
        <f aca="false">L576+MAX(K576,Y$10:Y575)</f>
        <v>5888.82985076217</v>
      </c>
      <c r="N576" s="4" t="n">
        <f aca="false">K576</f>
        <v>5377.08805104843</v>
      </c>
      <c r="O576" s="4" t="n">
        <f aca="false">M576-K576</f>
        <v>511.741799713739</v>
      </c>
      <c r="P576" s="4" t="n">
        <f aca="false">N576-K576</f>
        <v>0</v>
      </c>
      <c r="Q576" s="4" t="n">
        <f aca="false">A576-MATCH(K576,$M$9:M575,1)</f>
        <v>51</v>
      </c>
      <c r="R576" s="0" t="n">
        <f aca="false">-G576*(O576/3600)</f>
        <v>-1.1697665817495</v>
      </c>
      <c r="S576" s="0" t="n">
        <f aca="false">-1*I576-(H576*(P576/3600))</f>
        <v>-19.5</v>
      </c>
      <c r="T576" s="0" t="n">
        <f aca="false">-H576*(O576/3600)</f>
        <v>-0.298834128397594</v>
      </c>
      <c r="U576" s="0" t="n">
        <f aca="false">T576-S576</f>
        <v>19.2011658716024</v>
      </c>
      <c r="V576" s="0" t="n">
        <f aca="false">1/(1+EXP(U576))</f>
        <v>4.58183677708811E-009</v>
      </c>
      <c r="W576" s="0" t="n">
        <f aca="true">RAND()</f>
        <v>0.261138785589295</v>
      </c>
      <c r="X576" s="0" t="n">
        <f aca="false">IF(W576&lt;V576,1,0)</f>
        <v>0</v>
      </c>
      <c r="Y576" s="0" t="n">
        <f aca="false">(M576*(1-X576)+N576*X576)*D576+M576*E576</f>
        <v>5888.82985076217</v>
      </c>
      <c r="Z576" s="0" t="n">
        <f aca="false">((1-X576)*O576+X576*P576)*D576+E576*O576</f>
        <v>511.741799713739</v>
      </c>
      <c r="AA576" s="0" t="n">
        <f aca="false">IF(D576*X576&gt;0,AA575,Q576)</f>
        <v>51</v>
      </c>
      <c r="AB576" s="0" t="n">
        <f aca="false">(X576*D576)</f>
        <v>0</v>
      </c>
      <c r="AC576" s="0" t="n">
        <f aca="false">SUM(AB$10:AB575)/K576</f>
        <v>0</v>
      </c>
      <c r="AD576" s="0" t="n">
        <f aca="false">R576*E576+D576*(X576*S576+(1-X576)*T576)</f>
        <v>-1.1697665817495</v>
      </c>
      <c r="AE576" s="0" t="n">
        <f aca="false">Z576</f>
        <v>511.741799713739</v>
      </c>
      <c r="AF576" s="0" t="n">
        <f aca="false">E576*O576</f>
        <v>511.741799713739</v>
      </c>
      <c r="AG576" s="0" t="n">
        <f aca="false">((1-X576)*O576+X576*P576)*D576</f>
        <v>0</v>
      </c>
      <c r="AH576" s="0" t="n">
        <f aca="false">D576*(LN(EXP(S576)+EXP(T576)))</f>
        <v>-0</v>
      </c>
      <c r="AJ576" s="0" t="n">
        <f aca="false">$J$5</f>
        <v>10</v>
      </c>
      <c r="AK576" s="4" t="n">
        <f aca="false">AJ576+MAX(K576,AK$10:AK575)</f>
        <v>5888.82985076217</v>
      </c>
      <c r="AL576" s="5" t="n">
        <f aca="false">AK576-K576</f>
        <v>511.741799713739</v>
      </c>
      <c r="AM576" s="0" t="n">
        <f aca="false">-G576*AL576/3600</f>
        <v>-1.1697665817495</v>
      </c>
      <c r="AN576" s="0" t="n">
        <f aca="false">-H576*AL576/3600</f>
        <v>-0.298834128397594</v>
      </c>
      <c r="AO576" s="0" t="n">
        <f aca="false">AM576*E576+AN576*D576</f>
        <v>-1.1697665817495</v>
      </c>
      <c r="AP576" s="0" t="n">
        <f aca="false">AL576*D576</f>
        <v>0</v>
      </c>
      <c r="AR576" s="0" t="n">
        <f aca="false">AN576*D576</f>
        <v>-0</v>
      </c>
      <c r="AS576" s="0" t="n">
        <f aca="false">AH576-AR576</f>
        <v>0</v>
      </c>
    </row>
    <row r="577" customFormat="false" ht="12" hidden="false" customHeight="false" outlineLevel="0" collapsed="false">
      <c r="A577" s="3" t="n">
        <f aca="false">A576+1</f>
        <v>568</v>
      </c>
      <c r="B577" s="3" t="n">
        <f aca="false">IF(A577&lt;$N$4/3,0.1,(IF(A577&gt;2*$N$4/3,0.05,0.12)))</f>
        <v>0.12</v>
      </c>
      <c r="C577" s="4" t="n">
        <f aca="true">RAND()</f>
        <v>0.858058646429072</v>
      </c>
      <c r="D577" s="0" t="n">
        <f aca="false">IF((C577&gt;$M$2),1,0)</f>
        <v>0</v>
      </c>
      <c r="E577" s="0" t="n">
        <f aca="false">1-D577</f>
        <v>1</v>
      </c>
      <c r="F577" s="0" t="n">
        <f aca="true">RAND()</f>
        <v>0.708495163473985</v>
      </c>
      <c r="G577" s="0" t="n">
        <f aca="false">7.75+F577*10</f>
        <v>14.8349516347398</v>
      </c>
      <c r="H577" s="0" t="n">
        <f aca="false">LOGINV(F577,2.64,1.139)</f>
        <v>26.188070710448</v>
      </c>
      <c r="I577" s="0" t="n">
        <v>19.5</v>
      </c>
      <c r="J577" s="4" t="n">
        <f aca="true">-LN(RAND())/B577</f>
        <v>0.70894837148994</v>
      </c>
      <c r="K577" s="4" t="n">
        <f aca="false">K576+J577</f>
        <v>5377.79699941992</v>
      </c>
      <c r="L577" s="4" t="n">
        <f aca="false">(1/$J$4)*(1+AB576)</f>
        <v>10</v>
      </c>
      <c r="M577" s="4" t="n">
        <f aca="false">L577+MAX(K577,Y$10:Y576)</f>
        <v>5898.82985076217</v>
      </c>
      <c r="N577" s="4" t="n">
        <f aca="false">K577</f>
        <v>5377.79699941992</v>
      </c>
      <c r="O577" s="4" t="n">
        <f aca="false">M577-K577</f>
        <v>521.032851342249</v>
      </c>
      <c r="P577" s="4" t="n">
        <f aca="false">N577-K577</f>
        <v>0</v>
      </c>
      <c r="Q577" s="4" t="n">
        <f aca="false">A577-MATCH(K577,$M$9:M576,1)</f>
        <v>52</v>
      </c>
      <c r="R577" s="0" t="n">
        <f aca="false">-G577*(O577/3600)</f>
        <v>-2.14708254160357</v>
      </c>
      <c r="S577" s="0" t="n">
        <f aca="false">-1*I577-(H577*(P577/3600))</f>
        <v>-19.5</v>
      </c>
      <c r="T577" s="0" t="n">
        <f aca="false">-H577*(O577/3600)</f>
        <v>-3.7902347648381</v>
      </c>
      <c r="U577" s="0" t="n">
        <f aca="false">T577-S577</f>
        <v>15.7097652351619</v>
      </c>
      <c r="V577" s="0" t="n">
        <f aca="false">1/(1+EXP(U577))</f>
        <v>1.50430389861569E-007</v>
      </c>
      <c r="W577" s="0" t="n">
        <f aca="true">RAND()</f>
        <v>0.480761613943291</v>
      </c>
      <c r="X577" s="0" t="n">
        <f aca="false">IF(W577&lt;V577,1,0)</f>
        <v>0</v>
      </c>
      <c r="Y577" s="0" t="n">
        <f aca="false">(M577*(1-X577)+N577*X577)*D577+M577*E577</f>
        <v>5898.82985076217</v>
      </c>
      <c r="Z577" s="0" t="n">
        <f aca="false">((1-X577)*O577+X577*P577)*D577+E577*O577</f>
        <v>521.032851342249</v>
      </c>
      <c r="AA577" s="0" t="n">
        <f aca="false">IF(D577*X577&gt;0,AA576,Q577)</f>
        <v>52</v>
      </c>
      <c r="AB577" s="0" t="n">
        <f aca="false">(X577*D577)</f>
        <v>0</v>
      </c>
      <c r="AC577" s="0" t="n">
        <f aca="false">SUM(AB$10:AB576)/K577</f>
        <v>0</v>
      </c>
      <c r="AD577" s="0" t="n">
        <f aca="false">R577*E577+D577*(X577*S577+(1-X577)*T577)</f>
        <v>-2.14708254160357</v>
      </c>
      <c r="AE577" s="0" t="n">
        <f aca="false">Z577</f>
        <v>521.032851342249</v>
      </c>
      <c r="AF577" s="0" t="n">
        <f aca="false">E577*O577</f>
        <v>521.032851342249</v>
      </c>
      <c r="AG577" s="0" t="n">
        <f aca="false">((1-X577)*O577+X577*P577)*D577</f>
        <v>0</v>
      </c>
      <c r="AH577" s="0" t="n">
        <f aca="false">D577*(LN(EXP(S577)+EXP(T577)))</f>
        <v>-0</v>
      </c>
      <c r="AJ577" s="0" t="n">
        <f aca="false">$J$5</f>
        <v>10</v>
      </c>
      <c r="AK577" s="4" t="n">
        <f aca="false">AJ577+MAX(K577,AK$10:AK576)</f>
        <v>5898.82985076217</v>
      </c>
      <c r="AL577" s="5" t="n">
        <f aca="false">AK577-K577</f>
        <v>521.032851342249</v>
      </c>
      <c r="AM577" s="0" t="n">
        <f aca="false">-G577*AL577/3600</f>
        <v>-2.14708254160357</v>
      </c>
      <c r="AN577" s="0" t="n">
        <f aca="false">-H577*AL577/3600</f>
        <v>-3.7902347648381</v>
      </c>
      <c r="AO577" s="0" t="n">
        <f aca="false">AM577*E577+AN577*D577</f>
        <v>-2.14708254160357</v>
      </c>
      <c r="AP577" s="0" t="n">
        <f aca="false">AL577*D577</f>
        <v>0</v>
      </c>
      <c r="AR577" s="0" t="n">
        <f aca="false">AN577*D577</f>
        <v>-0</v>
      </c>
      <c r="AS577" s="0" t="n">
        <f aca="false">AH577-AR577</f>
        <v>0</v>
      </c>
    </row>
    <row r="578" customFormat="false" ht="12" hidden="false" customHeight="false" outlineLevel="0" collapsed="false">
      <c r="A578" s="3" t="n">
        <f aca="false">A577+1</f>
        <v>569</v>
      </c>
      <c r="B578" s="3" t="n">
        <f aca="false">IF(A578&lt;$N$4/3,0.1,(IF(A578&gt;2*$N$4/3,0.05,0.12)))</f>
        <v>0.12</v>
      </c>
      <c r="C578" s="4" t="n">
        <f aca="true">RAND()</f>
        <v>0.84243967183494</v>
      </c>
      <c r="D578" s="0" t="n">
        <f aca="false">IF((C578&gt;$M$2),1,0)</f>
        <v>0</v>
      </c>
      <c r="E578" s="0" t="n">
        <f aca="false">1-D578</f>
        <v>1</v>
      </c>
      <c r="F578" s="0" t="n">
        <f aca="true">RAND()</f>
        <v>0.827644909580155</v>
      </c>
      <c r="G578" s="0" t="n">
        <f aca="false">7.75+F578*10</f>
        <v>16.0264490958015</v>
      </c>
      <c r="H578" s="0" t="n">
        <f aca="false">LOGINV(F578,2.64,1.139)</f>
        <v>41.1095536693331</v>
      </c>
      <c r="I578" s="0" t="n">
        <v>19.5</v>
      </c>
      <c r="J578" s="4" t="n">
        <f aca="true">-LN(RAND())/B578</f>
        <v>14.9277519576956</v>
      </c>
      <c r="K578" s="4" t="n">
        <f aca="false">K577+J578</f>
        <v>5392.72475137762</v>
      </c>
      <c r="L578" s="4" t="n">
        <f aca="false">(1/$J$4)*(1+AB577)</f>
        <v>10</v>
      </c>
      <c r="M578" s="4" t="n">
        <f aca="false">L578+MAX(K578,Y$10:Y577)</f>
        <v>5908.82985076217</v>
      </c>
      <c r="N578" s="4" t="n">
        <f aca="false">K578</f>
        <v>5392.72475137762</v>
      </c>
      <c r="O578" s="4" t="n">
        <f aca="false">M578-K578</f>
        <v>516.105099384554</v>
      </c>
      <c r="P578" s="4" t="n">
        <f aca="false">N578-K578</f>
        <v>0</v>
      </c>
      <c r="Q578" s="4" t="n">
        <f aca="false">A578-MATCH(K578,$M$9:M577,1)</f>
        <v>51</v>
      </c>
      <c r="R578" s="0" t="n">
        <f aca="false">-G578*(O578/3600)</f>
        <v>-2.29759225093615</v>
      </c>
      <c r="S578" s="0" t="n">
        <f aca="false">-1*I578-(H578*(P578/3600))</f>
        <v>-19.5</v>
      </c>
      <c r="T578" s="0" t="n">
        <f aca="false">-H578*(O578/3600)</f>
        <v>-5.89356952282384</v>
      </c>
      <c r="U578" s="0" t="n">
        <f aca="false">T578-S578</f>
        <v>13.6064304771762</v>
      </c>
      <c r="V578" s="0" t="n">
        <f aca="false">1/(1+EXP(U578))</f>
        <v>1.23254217848685E-006</v>
      </c>
      <c r="W578" s="0" t="n">
        <f aca="true">RAND()</f>
        <v>0.45831049022632</v>
      </c>
      <c r="X578" s="0" t="n">
        <f aca="false">IF(W578&lt;V578,1,0)</f>
        <v>0</v>
      </c>
      <c r="Y578" s="0" t="n">
        <f aca="false">(M578*(1-X578)+N578*X578)*D578+M578*E578</f>
        <v>5908.82985076217</v>
      </c>
      <c r="Z578" s="0" t="n">
        <f aca="false">((1-X578)*O578+X578*P578)*D578+E578*O578</f>
        <v>516.105099384554</v>
      </c>
      <c r="AA578" s="0" t="n">
        <f aca="false">IF(D578*X578&gt;0,AA577,Q578)</f>
        <v>51</v>
      </c>
      <c r="AB578" s="0" t="n">
        <f aca="false">(X578*D578)</f>
        <v>0</v>
      </c>
      <c r="AC578" s="0" t="n">
        <f aca="false">SUM(AB$10:AB577)/K578</f>
        <v>0</v>
      </c>
      <c r="AD578" s="0" t="n">
        <f aca="false">R578*E578+D578*(X578*S578+(1-X578)*T578)</f>
        <v>-2.29759225093615</v>
      </c>
      <c r="AE578" s="0" t="n">
        <f aca="false">Z578</f>
        <v>516.105099384554</v>
      </c>
      <c r="AF578" s="0" t="n">
        <f aca="false">E578*O578</f>
        <v>516.105099384554</v>
      </c>
      <c r="AG578" s="0" t="n">
        <f aca="false">((1-X578)*O578+X578*P578)*D578</f>
        <v>0</v>
      </c>
      <c r="AH578" s="0" t="n">
        <f aca="false">D578*(LN(EXP(S578)+EXP(T578)))</f>
        <v>-0</v>
      </c>
      <c r="AJ578" s="0" t="n">
        <f aca="false">$J$5</f>
        <v>10</v>
      </c>
      <c r="AK578" s="4" t="n">
        <f aca="false">AJ578+MAX(K578,AK$10:AK577)</f>
        <v>5908.82985076217</v>
      </c>
      <c r="AL578" s="5" t="n">
        <f aca="false">AK578-K578</f>
        <v>516.105099384554</v>
      </c>
      <c r="AM578" s="0" t="n">
        <f aca="false">-G578*AL578/3600</f>
        <v>-2.29759225093615</v>
      </c>
      <c r="AN578" s="0" t="n">
        <f aca="false">-H578*AL578/3600</f>
        <v>-5.89356952282384</v>
      </c>
      <c r="AO578" s="0" t="n">
        <f aca="false">AM578*E578+AN578*D578</f>
        <v>-2.29759225093615</v>
      </c>
      <c r="AP578" s="0" t="n">
        <f aca="false">AL578*D578</f>
        <v>0</v>
      </c>
      <c r="AR578" s="0" t="n">
        <f aca="false">AN578*D578</f>
        <v>-0</v>
      </c>
      <c r="AS578" s="0" t="n">
        <f aca="false">AH578-AR578</f>
        <v>0</v>
      </c>
    </row>
    <row r="579" customFormat="false" ht="12" hidden="false" customHeight="false" outlineLevel="0" collapsed="false">
      <c r="A579" s="3" t="n">
        <f aca="false">A578+1</f>
        <v>570</v>
      </c>
      <c r="B579" s="3" t="n">
        <f aca="false">IF(A579&lt;$N$4/3,0.1,(IF(A579&gt;2*$N$4/3,0.05,0.12)))</f>
        <v>0.12</v>
      </c>
      <c r="C579" s="4" t="n">
        <f aca="true">RAND()</f>
        <v>0.657003570054899</v>
      </c>
      <c r="D579" s="0" t="n">
        <f aca="false">IF((C579&gt;$M$2),1,0)</f>
        <v>0</v>
      </c>
      <c r="E579" s="0" t="n">
        <f aca="false">1-D579</f>
        <v>1</v>
      </c>
      <c r="F579" s="0" t="n">
        <f aca="true">RAND()</f>
        <v>0.652103449852123</v>
      </c>
      <c r="G579" s="0" t="n">
        <f aca="false">7.75+F579*10</f>
        <v>14.2710344985212</v>
      </c>
      <c r="H579" s="0" t="n">
        <f aca="false">LOGINV(F579,2.64,1.139)</f>
        <v>21.8752393215187</v>
      </c>
      <c r="I579" s="0" t="n">
        <v>19.5</v>
      </c>
      <c r="J579" s="4" t="n">
        <f aca="true">-LN(RAND())/B579</f>
        <v>5.40111075564782</v>
      </c>
      <c r="K579" s="4" t="n">
        <f aca="false">K578+J579</f>
        <v>5398.12586213327</v>
      </c>
      <c r="L579" s="4" t="n">
        <f aca="false">(1/$J$4)*(1+AB578)</f>
        <v>10</v>
      </c>
      <c r="M579" s="4" t="n">
        <f aca="false">L579+MAX(K579,Y$10:Y578)</f>
        <v>5918.82985076217</v>
      </c>
      <c r="N579" s="4" t="n">
        <f aca="false">K579</f>
        <v>5398.12586213327</v>
      </c>
      <c r="O579" s="4" t="n">
        <f aca="false">M579-K579</f>
        <v>520.703988628906</v>
      </c>
      <c r="P579" s="4" t="n">
        <f aca="false">N579-K579</f>
        <v>0</v>
      </c>
      <c r="Q579" s="4" t="n">
        <f aca="false">A579-MATCH(K579,$M$9:M578,1)</f>
        <v>52</v>
      </c>
      <c r="R579" s="0" t="n">
        <f aca="false">-G579*(O579/3600)</f>
        <v>-2.06416238478909</v>
      </c>
      <c r="S579" s="0" t="n">
        <f aca="false">-1*I579-(H579*(P579/3600))</f>
        <v>-19.5</v>
      </c>
      <c r="T579" s="0" t="n">
        <f aca="false">-H579*(O579/3600)</f>
        <v>-3.16403454636852</v>
      </c>
      <c r="U579" s="0" t="n">
        <f aca="false">T579-S579</f>
        <v>16.3359654536315</v>
      </c>
      <c r="V579" s="0" t="n">
        <f aca="false">1/(1+EXP(U579))</f>
        <v>8.04230078786697E-008</v>
      </c>
      <c r="W579" s="0" t="n">
        <f aca="true">RAND()</f>
        <v>0.456674622917388</v>
      </c>
      <c r="X579" s="0" t="n">
        <f aca="false">IF(W579&lt;V579,1,0)</f>
        <v>0</v>
      </c>
      <c r="Y579" s="0" t="n">
        <f aca="false">(M579*(1-X579)+N579*X579)*D579+M579*E579</f>
        <v>5918.82985076217</v>
      </c>
      <c r="Z579" s="0" t="n">
        <f aca="false">((1-X579)*O579+X579*P579)*D579+E579*O579</f>
        <v>520.703988628906</v>
      </c>
      <c r="AA579" s="0" t="n">
        <f aca="false">IF(D579*X579&gt;0,AA578,Q579)</f>
        <v>52</v>
      </c>
      <c r="AB579" s="0" t="n">
        <f aca="false">(X579*D579)</f>
        <v>0</v>
      </c>
      <c r="AC579" s="0" t="n">
        <f aca="false">SUM(AB$10:AB578)/K579</f>
        <v>0</v>
      </c>
      <c r="AD579" s="0" t="n">
        <f aca="false">R579*E579+D579*(X579*S579+(1-X579)*T579)</f>
        <v>-2.06416238478909</v>
      </c>
      <c r="AE579" s="0" t="n">
        <f aca="false">Z579</f>
        <v>520.703988628906</v>
      </c>
      <c r="AF579" s="0" t="n">
        <f aca="false">E579*O579</f>
        <v>520.703988628906</v>
      </c>
      <c r="AG579" s="0" t="n">
        <f aca="false">((1-X579)*O579+X579*P579)*D579</f>
        <v>0</v>
      </c>
      <c r="AH579" s="0" t="n">
        <f aca="false">D579*(LN(EXP(S579)+EXP(T579)))</f>
        <v>-0</v>
      </c>
      <c r="AJ579" s="0" t="n">
        <f aca="false">$J$5</f>
        <v>10</v>
      </c>
      <c r="AK579" s="4" t="n">
        <f aca="false">AJ579+MAX(K579,AK$10:AK578)</f>
        <v>5918.82985076217</v>
      </c>
      <c r="AL579" s="5" t="n">
        <f aca="false">AK579-K579</f>
        <v>520.703988628906</v>
      </c>
      <c r="AM579" s="0" t="n">
        <f aca="false">-G579*AL579/3600</f>
        <v>-2.06416238478909</v>
      </c>
      <c r="AN579" s="0" t="n">
        <f aca="false">-H579*AL579/3600</f>
        <v>-3.16403454636852</v>
      </c>
      <c r="AO579" s="0" t="n">
        <f aca="false">AM579*E579+AN579*D579</f>
        <v>-2.06416238478909</v>
      </c>
      <c r="AP579" s="0" t="n">
        <f aca="false">AL579*D579</f>
        <v>0</v>
      </c>
      <c r="AR579" s="0" t="n">
        <f aca="false">AN579*D579</f>
        <v>-0</v>
      </c>
      <c r="AS579" s="0" t="n">
        <f aca="false">AH579-AR579</f>
        <v>0</v>
      </c>
    </row>
    <row r="580" customFormat="false" ht="12" hidden="false" customHeight="false" outlineLevel="0" collapsed="false">
      <c r="A580" s="3" t="n">
        <f aca="false">A579+1</f>
        <v>571</v>
      </c>
      <c r="B580" s="3" t="n">
        <f aca="false">IF(A580&lt;$N$4/3,0.1,(IF(A580&gt;2*$N$4/3,0.05,0.12)))</f>
        <v>0.12</v>
      </c>
      <c r="C580" s="4" t="n">
        <f aca="true">RAND()</f>
        <v>0.901660015534415</v>
      </c>
      <c r="D580" s="0" t="n">
        <f aca="false">IF((C580&gt;$M$2),1,0)</f>
        <v>1</v>
      </c>
      <c r="E580" s="0" t="n">
        <f aca="false">1-D580</f>
        <v>0</v>
      </c>
      <c r="F580" s="0" t="n">
        <f aca="true">RAND()</f>
        <v>0.427840004718757</v>
      </c>
      <c r="G580" s="0" t="n">
        <f aca="false">7.75+F580*10</f>
        <v>12.0284000471876</v>
      </c>
      <c r="H580" s="0" t="n">
        <f aca="false">LOGINV(F580,2.64,1.139)</f>
        <v>11.3912235203312</v>
      </c>
      <c r="I580" s="0" t="n">
        <v>19.5</v>
      </c>
      <c r="J580" s="4" t="n">
        <f aca="true">-LN(RAND())/B580</f>
        <v>5.31668189014301</v>
      </c>
      <c r="K580" s="4" t="n">
        <f aca="false">K579+J580</f>
        <v>5403.44254402341</v>
      </c>
      <c r="L580" s="4" t="n">
        <f aca="false">(1/$J$4)*(1+AB579)</f>
        <v>10</v>
      </c>
      <c r="M580" s="4" t="n">
        <f aca="false">L580+MAX(K580,Y$10:Y579)</f>
        <v>5928.82985076217</v>
      </c>
      <c r="N580" s="4" t="n">
        <f aca="false">K580</f>
        <v>5403.44254402341</v>
      </c>
      <c r="O580" s="4" t="n">
        <f aca="false">M580-K580</f>
        <v>525.387306738763</v>
      </c>
      <c r="P580" s="4" t="n">
        <f aca="false">N580-K580</f>
        <v>0</v>
      </c>
      <c r="Q580" s="4" t="n">
        <f aca="false">A580-MATCH(K580,$M$9:M579,1)</f>
        <v>52</v>
      </c>
      <c r="R580" s="0" t="n">
        <f aca="false">-G580*(O580/3600)</f>
        <v>-1.75543575143564</v>
      </c>
      <c r="S580" s="0" t="n">
        <f aca="false">-1*I580-(H580*(P580/3600))</f>
        <v>-19.5</v>
      </c>
      <c r="T580" s="0" t="n">
        <f aca="false">-H580*(O580/3600)</f>
        <v>-1.66244562383502</v>
      </c>
      <c r="U580" s="0" t="n">
        <f aca="false">T580-S580</f>
        <v>17.837554376165</v>
      </c>
      <c r="V580" s="0" t="n">
        <f aca="false">1/(1+EXP(U580))</f>
        <v>1.79163094929747E-008</v>
      </c>
      <c r="W580" s="0" t="n">
        <f aca="true">RAND()</f>
        <v>0.775602555923246</v>
      </c>
      <c r="X580" s="0" t="n">
        <f aca="false">IF(W580&lt;V580,1,0)</f>
        <v>0</v>
      </c>
      <c r="Y580" s="0" t="n">
        <f aca="false">(M580*(1-X580)+N580*X580)*D580+M580*E580</f>
        <v>5928.82985076217</v>
      </c>
      <c r="Z580" s="0" t="n">
        <f aca="false">((1-X580)*O580+X580*P580)*D580+E580*O580</f>
        <v>525.387306738763</v>
      </c>
      <c r="AA580" s="0" t="n">
        <f aca="false">IF(D580*X580&gt;0,AA579,Q580)</f>
        <v>52</v>
      </c>
      <c r="AB580" s="0" t="n">
        <f aca="false">(X580*D580)</f>
        <v>0</v>
      </c>
      <c r="AC580" s="0" t="n">
        <f aca="false">SUM(AB$10:AB579)/K580</f>
        <v>0</v>
      </c>
      <c r="AD580" s="0" t="n">
        <f aca="false">R580*E580+D580*(X580*S580+(1-X580)*T580)</f>
        <v>-1.66244562383502</v>
      </c>
      <c r="AE580" s="0" t="n">
        <f aca="false">Z580</f>
        <v>525.387306738763</v>
      </c>
      <c r="AF580" s="0" t="n">
        <f aca="false">E580*O580</f>
        <v>0</v>
      </c>
      <c r="AG580" s="0" t="n">
        <f aca="false">((1-X580)*O580+X580*P580)*D580</f>
        <v>525.387306738763</v>
      </c>
      <c r="AH580" s="0" t="n">
        <f aca="false">D580*(LN(EXP(S580)+EXP(T580)))</f>
        <v>-1.66244560591871</v>
      </c>
      <c r="AJ580" s="0" t="n">
        <f aca="false">$J$5</f>
        <v>10</v>
      </c>
      <c r="AK580" s="4" t="n">
        <f aca="false">AJ580+MAX(K580,AK$10:AK579)</f>
        <v>5928.82985076217</v>
      </c>
      <c r="AL580" s="5" t="n">
        <f aca="false">AK580-K580</f>
        <v>525.387306738763</v>
      </c>
      <c r="AM580" s="0" t="n">
        <f aca="false">-G580*AL580/3600</f>
        <v>-1.75543575143564</v>
      </c>
      <c r="AN580" s="0" t="n">
        <f aca="false">-H580*AL580/3600</f>
        <v>-1.66244562383502</v>
      </c>
      <c r="AO580" s="0" t="n">
        <f aca="false">AM580*E580+AN580*D580</f>
        <v>-1.66244562383502</v>
      </c>
      <c r="AP580" s="0" t="n">
        <f aca="false">AL580*D580</f>
        <v>525.387306738763</v>
      </c>
      <c r="AR580" s="0" t="n">
        <f aca="false">AN580*D580</f>
        <v>-1.66244562383502</v>
      </c>
      <c r="AS580" s="0" t="n">
        <f aca="false">AH580-AR580</f>
        <v>1.79163095470614E-008</v>
      </c>
    </row>
    <row r="581" customFormat="false" ht="12" hidden="false" customHeight="false" outlineLevel="0" collapsed="false">
      <c r="A581" s="3" t="n">
        <f aca="false">A580+1</f>
        <v>572</v>
      </c>
      <c r="B581" s="3" t="n">
        <f aca="false">IF(A581&lt;$N$4/3,0.1,(IF(A581&gt;2*$N$4/3,0.05,0.12)))</f>
        <v>0.12</v>
      </c>
      <c r="C581" s="4" t="n">
        <f aca="true">RAND()</f>
        <v>0.648592350084552</v>
      </c>
      <c r="D581" s="0" t="n">
        <f aca="false">IF((C581&gt;$M$2),1,0)</f>
        <v>0</v>
      </c>
      <c r="E581" s="0" t="n">
        <f aca="false">1-D581</f>
        <v>1</v>
      </c>
      <c r="F581" s="0" t="n">
        <f aca="true">RAND()</f>
        <v>0.150246550169511</v>
      </c>
      <c r="G581" s="0" t="n">
        <f aca="false">7.75+F581*10</f>
        <v>9.25246550169511</v>
      </c>
      <c r="H581" s="0" t="n">
        <f aca="false">LOGINV(F581,2.64,1.139)</f>
        <v>4.30900116134267</v>
      </c>
      <c r="I581" s="0" t="n">
        <v>19.5</v>
      </c>
      <c r="J581" s="4" t="n">
        <f aca="true">-LN(RAND())/B581</f>
        <v>11.6467305695906</v>
      </c>
      <c r="K581" s="4" t="n">
        <f aca="false">K580+J581</f>
        <v>5415.089274593</v>
      </c>
      <c r="L581" s="4" t="n">
        <f aca="false">(1/$J$4)*(1+AB580)</f>
        <v>10</v>
      </c>
      <c r="M581" s="4" t="n">
        <f aca="false">L581+MAX(K581,Y$10:Y580)</f>
        <v>5938.82985076217</v>
      </c>
      <c r="N581" s="4" t="n">
        <f aca="false">K581</f>
        <v>5415.089274593</v>
      </c>
      <c r="O581" s="4" t="n">
        <f aca="false">M581-K581</f>
        <v>523.740576169173</v>
      </c>
      <c r="P581" s="4" t="n">
        <f aca="false">N581-K581</f>
        <v>0</v>
      </c>
      <c r="Q581" s="4" t="n">
        <f aca="false">A581-MATCH(K581,$M$9:M580,1)</f>
        <v>52</v>
      </c>
      <c r="R581" s="0" t="n">
        <f aca="false">-G581*(O581/3600)</f>
        <v>-1.34608100356755</v>
      </c>
      <c r="S581" s="0" t="n">
        <f aca="false">-1*I581-(H581*(P581/3600))</f>
        <v>-19.5</v>
      </c>
      <c r="T581" s="0" t="n">
        <f aca="false">-H581*(O581/3600)</f>
        <v>-0.626888541932013</v>
      </c>
      <c r="U581" s="0" t="n">
        <f aca="false">T581-S581</f>
        <v>18.873111458068</v>
      </c>
      <c r="V581" s="0" t="n">
        <f aca="false">1/(1+EXP(U581))</f>
        <v>6.36080137973708E-009</v>
      </c>
      <c r="W581" s="0" t="n">
        <f aca="true">RAND()</f>
        <v>0.213124179264489</v>
      </c>
      <c r="X581" s="0" t="n">
        <f aca="false">IF(W581&lt;V581,1,0)</f>
        <v>0</v>
      </c>
      <c r="Y581" s="0" t="n">
        <f aca="false">(M581*(1-X581)+N581*X581)*D581+M581*E581</f>
        <v>5938.82985076217</v>
      </c>
      <c r="Z581" s="0" t="n">
        <f aca="false">((1-X581)*O581+X581*P581)*D581+E581*O581</f>
        <v>523.740576169173</v>
      </c>
      <c r="AA581" s="0" t="n">
        <f aca="false">IF(D581*X581&gt;0,AA580,Q581)</f>
        <v>52</v>
      </c>
      <c r="AB581" s="0" t="n">
        <f aca="false">(X581*D581)</f>
        <v>0</v>
      </c>
      <c r="AC581" s="0" t="n">
        <f aca="false">SUM(AB$10:AB580)/K581</f>
        <v>0</v>
      </c>
      <c r="AD581" s="0" t="n">
        <f aca="false">R581*E581+D581*(X581*S581+(1-X581)*T581)</f>
        <v>-1.34608100356755</v>
      </c>
      <c r="AE581" s="0" t="n">
        <f aca="false">Z581</f>
        <v>523.740576169173</v>
      </c>
      <c r="AF581" s="0" t="n">
        <f aca="false">E581*O581</f>
        <v>523.740576169173</v>
      </c>
      <c r="AG581" s="0" t="n">
        <f aca="false">((1-X581)*O581+X581*P581)*D581</f>
        <v>0</v>
      </c>
      <c r="AH581" s="0" t="n">
        <f aca="false">D581*(LN(EXP(S581)+EXP(T581)))</f>
        <v>-0</v>
      </c>
      <c r="AJ581" s="0" t="n">
        <f aca="false">$J$5</f>
        <v>10</v>
      </c>
      <c r="AK581" s="4" t="n">
        <f aca="false">AJ581+MAX(K581,AK$10:AK580)</f>
        <v>5938.82985076217</v>
      </c>
      <c r="AL581" s="5" t="n">
        <f aca="false">AK581-K581</f>
        <v>523.740576169173</v>
      </c>
      <c r="AM581" s="0" t="n">
        <f aca="false">-G581*AL581/3600</f>
        <v>-1.34608100356755</v>
      </c>
      <c r="AN581" s="0" t="n">
        <f aca="false">-H581*AL581/3600</f>
        <v>-0.626888541932013</v>
      </c>
      <c r="AO581" s="0" t="n">
        <f aca="false">AM581*E581+AN581*D581</f>
        <v>-1.34608100356755</v>
      </c>
      <c r="AP581" s="0" t="n">
        <f aca="false">AL581*D581</f>
        <v>0</v>
      </c>
      <c r="AR581" s="0" t="n">
        <f aca="false">AN581*D581</f>
        <v>-0</v>
      </c>
      <c r="AS581" s="0" t="n">
        <f aca="false">AH581-AR581</f>
        <v>0</v>
      </c>
    </row>
    <row r="582" customFormat="false" ht="12" hidden="false" customHeight="false" outlineLevel="0" collapsed="false">
      <c r="A582" s="3" t="n">
        <f aca="false">A581+1</f>
        <v>573</v>
      </c>
      <c r="B582" s="3" t="n">
        <f aca="false">IF(A582&lt;$N$4/3,0.1,(IF(A582&gt;2*$N$4/3,0.05,0.12)))</f>
        <v>0.12</v>
      </c>
      <c r="C582" s="4" t="n">
        <f aca="true">RAND()</f>
        <v>0.794909072846695</v>
      </c>
      <c r="D582" s="0" t="n">
        <f aca="false">IF((C582&gt;$M$2),1,0)</f>
        <v>0</v>
      </c>
      <c r="E582" s="0" t="n">
        <f aca="false">1-D582</f>
        <v>1</v>
      </c>
      <c r="F582" s="0" t="n">
        <f aca="true">RAND()</f>
        <v>0.652778087086684</v>
      </c>
      <c r="G582" s="0" t="n">
        <f aca="false">7.75+F582*10</f>
        <v>14.2777808708668</v>
      </c>
      <c r="H582" s="0" t="n">
        <f aca="false">LOGINV(F582,2.64,1.139)</f>
        <v>21.9207845000388</v>
      </c>
      <c r="I582" s="0" t="n">
        <v>19.5</v>
      </c>
      <c r="J582" s="4" t="n">
        <f aca="true">-LN(RAND())/B582</f>
        <v>7.71410338615338</v>
      </c>
      <c r="K582" s="4" t="n">
        <f aca="false">K581+J582</f>
        <v>5422.80337797915</v>
      </c>
      <c r="L582" s="4" t="n">
        <f aca="false">(1/$J$4)*(1+AB581)</f>
        <v>10</v>
      </c>
      <c r="M582" s="4" t="n">
        <f aca="false">L582+MAX(K582,Y$10:Y581)</f>
        <v>5948.82985076217</v>
      </c>
      <c r="N582" s="4" t="n">
        <f aca="false">K582</f>
        <v>5422.80337797915</v>
      </c>
      <c r="O582" s="4" t="n">
        <f aca="false">M582-K582</f>
        <v>526.026472783019</v>
      </c>
      <c r="P582" s="4" t="n">
        <f aca="false">N582-K582</f>
        <v>0</v>
      </c>
      <c r="Q582" s="4" t="n">
        <f aca="false">A582-MATCH(K582,$M$9:M581,1)</f>
        <v>52</v>
      </c>
      <c r="R582" s="0" t="n">
        <f aca="false">-G582*(O582/3600)</f>
        <v>-2.08624741963082</v>
      </c>
      <c r="S582" s="0" t="n">
        <f aca="false">-1*I582-(H582*(P582/3600))</f>
        <v>-19.5</v>
      </c>
      <c r="T582" s="0" t="n">
        <f aca="false">-H582*(O582/3600)</f>
        <v>-3.20303137533113</v>
      </c>
      <c r="U582" s="0" t="n">
        <f aca="false">T582-S582</f>
        <v>16.2969686246689</v>
      </c>
      <c r="V582" s="0" t="n">
        <f aca="false">1/(1+EXP(U582))</f>
        <v>8.36212043647812E-008</v>
      </c>
      <c r="W582" s="0" t="n">
        <f aca="true">RAND()</f>
        <v>0.989529297386354</v>
      </c>
      <c r="X582" s="0" t="n">
        <f aca="false">IF(W582&lt;V582,1,0)</f>
        <v>0</v>
      </c>
      <c r="Y582" s="0" t="n">
        <f aca="false">(M582*(1-X582)+N582*X582)*D582+M582*E582</f>
        <v>5948.82985076217</v>
      </c>
      <c r="Z582" s="0" t="n">
        <f aca="false">((1-X582)*O582+X582*P582)*D582+E582*O582</f>
        <v>526.026472783019</v>
      </c>
      <c r="AA582" s="0" t="n">
        <f aca="false">IF(D582*X582&gt;0,AA581,Q582)</f>
        <v>52</v>
      </c>
      <c r="AB582" s="0" t="n">
        <f aca="false">(X582*D582)</f>
        <v>0</v>
      </c>
      <c r="AC582" s="0" t="n">
        <f aca="false">SUM(AB$10:AB581)/K582</f>
        <v>0</v>
      </c>
      <c r="AD582" s="0" t="n">
        <f aca="false">R582*E582+D582*(X582*S582+(1-X582)*T582)</f>
        <v>-2.08624741963082</v>
      </c>
      <c r="AE582" s="0" t="n">
        <f aca="false">Z582</f>
        <v>526.026472783019</v>
      </c>
      <c r="AF582" s="0" t="n">
        <f aca="false">E582*O582</f>
        <v>526.026472783019</v>
      </c>
      <c r="AG582" s="0" t="n">
        <f aca="false">((1-X582)*O582+X582*P582)*D582</f>
        <v>0</v>
      </c>
      <c r="AH582" s="0" t="n">
        <f aca="false">D582*(LN(EXP(S582)+EXP(T582)))</f>
        <v>-0</v>
      </c>
      <c r="AJ582" s="0" t="n">
        <f aca="false">$J$5</f>
        <v>10</v>
      </c>
      <c r="AK582" s="4" t="n">
        <f aca="false">AJ582+MAX(K582,AK$10:AK581)</f>
        <v>5948.82985076217</v>
      </c>
      <c r="AL582" s="5" t="n">
        <f aca="false">AK582-K582</f>
        <v>526.026472783019</v>
      </c>
      <c r="AM582" s="0" t="n">
        <f aca="false">-G582*AL582/3600</f>
        <v>-2.08624741963082</v>
      </c>
      <c r="AN582" s="0" t="n">
        <f aca="false">-H582*AL582/3600</f>
        <v>-3.20303137533113</v>
      </c>
      <c r="AO582" s="0" t="n">
        <f aca="false">AM582*E582+AN582*D582</f>
        <v>-2.08624741963082</v>
      </c>
      <c r="AP582" s="0" t="n">
        <f aca="false">AL582*D582</f>
        <v>0</v>
      </c>
      <c r="AR582" s="0" t="n">
        <f aca="false">AN582*D582</f>
        <v>-0</v>
      </c>
      <c r="AS582" s="0" t="n">
        <f aca="false">AH582-AR582</f>
        <v>0</v>
      </c>
    </row>
    <row r="583" customFormat="false" ht="12" hidden="false" customHeight="false" outlineLevel="0" collapsed="false">
      <c r="A583" s="3" t="n">
        <f aca="false">A582+1</f>
        <v>574</v>
      </c>
      <c r="B583" s="3" t="n">
        <f aca="false">IF(A583&lt;$N$4/3,0.1,(IF(A583&gt;2*$N$4/3,0.05,0.12)))</f>
        <v>0.12</v>
      </c>
      <c r="C583" s="4" t="n">
        <f aca="true">RAND()</f>
        <v>0.907380542257878</v>
      </c>
      <c r="D583" s="0" t="n">
        <f aca="false">IF((C583&gt;$M$2),1,0)</f>
        <v>1</v>
      </c>
      <c r="E583" s="0" t="n">
        <f aca="false">1-D583</f>
        <v>0</v>
      </c>
      <c r="F583" s="0" t="n">
        <f aca="true">RAND()</f>
        <v>0.626332437749916</v>
      </c>
      <c r="G583" s="0" t="n">
        <f aca="false">7.75+F583*10</f>
        <v>14.0133243774992</v>
      </c>
      <c r="H583" s="0" t="n">
        <f aca="false">LOGINV(F583,2.64,1.139)</f>
        <v>20.22530956468</v>
      </c>
      <c r="I583" s="0" t="n">
        <v>19.5</v>
      </c>
      <c r="J583" s="4" t="n">
        <f aca="true">-LN(RAND())/B583</f>
        <v>5.1992376092355</v>
      </c>
      <c r="K583" s="4" t="n">
        <f aca="false">K582+J583</f>
        <v>5428.00261558839</v>
      </c>
      <c r="L583" s="4" t="n">
        <f aca="false">(1/$J$4)*(1+AB582)</f>
        <v>10</v>
      </c>
      <c r="M583" s="4" t="n">
        <f aca="false">L583+MAX(K583,Y$10:Y582)</f>
        <v>5958.82985076217</v>
      </c>
      <c r="N583" s="4" t="n">
        <f aca="false">K583</f>
        <v>5428.00261558839</v>
      </c>
      <c r="O583" s="4" t="n">
        <f aca="false">M583-K583</f>
        <v>530.827235173783</v>
      </c>
      <c r="P583" s="4" t="n">
        <f aca="false">N583-K583</f>
        <v>0</v>
      </c>
      <c r="Q583" s="4" t="n">
        <f aca="false">A583-MATCH(K583,$M$9:M582,1)</f>
        <v>53</v>
      </c>
      <c r="R583" s="0" t="n">
        <f aca="false">-G583*(O583/3600)</f>
        <v>-2.06629284302813</v>
      </c>
      <c r="S583" s="0" t="n">
        <f aca="false">-1*I583-(H583*(P583/3600))</f>
        <v>-19.5</v>
      </c>
      <c r="T583" s="0" t="n">
        <f aca="false">-H583*(O583/3600)</f>
        <v>-2.98226254354249</v>
      </c>
      <c r="U583" s="0" t="n">
        <f aca="false">T583-S583</f>
        <v>16.5177374564575</v>
      </c>
      <c r="V583" s="0" t="n">
        <f aca="false">1/(1+EXP(U583))</f>
        <v>6.70560149032087E-008</v>
      </c>
      <c r="W583" s="0" t="n">
        <f aca="true">RAND()</f>
        <v>0.599797637535961</v>
      </c>
      <c r="X583" s="0" t="n">
        <f aca="false">IF(W583&lt;V583,1,0)</f>
        <v>0</v>
      </c>
      <c r="Y583" s="0" t="n">
        <f aca="false">(M583*(1-X583)+N583*X583)*D583+M583*E583</f>
        <v>5958.82985076217</v>
      </c>
      <c r="Z583" s="0" t="n">
        <f aca="false">((1-X583)*O583+X583*P583)*D583+E583*O583</f>
        <v>530.827235173783</v>
      </c>
      <c r="AA583" s="0" t="n">
        <f aca="false">IF(D583*X583&gt;0,AA582,Q583)</f>
        <v>53</v>
      </c>
      <c r="AB583" s="0" t="n">
        <f aca="false">(X583*D583)</f>
        <v>0</v>
      </c>
      <c r="AC583" s="0" t="n">
        <f aca="false">SUM(AB$10:AB582)/K583</f>
        <v>0</v>
      </c>
      <c r="AD583" s="0" t="n">
        <f aca="false">R583*E583+D583*(X583*S583+(1-X583)*T583)</f>
        <v>-2.98226254354249</v>
      </c>
      <c r="AE583" s="0" t="n">
        <f aca="false">Z583</f>
        <v>530.827235173783</v>
      </c>
      <c r="AF583" s="0" t="n">
        <f aca="false">E583*O583</f>
        <v>0</v>
      </c>
      <c r="AG583" s="0" t="n">
        <f aca="false">((1-X583)*O583+X583*P583)*D583</f>
        <v>530.827235173783</v>
      </c>
      <c r="AH583" s="0" t="n">
        <f aca="false">D583*(LN(EXP(S583)+EXP(T583)))</f>
        <v>-2.98226247648647</v>
      </c>
      <c r="AJ583" s="0" t="n">
        <f aca="false">$J$5</f>
        <v>10</v>
      </c>
      <c r="AK583" s="4" t="n">
        <f aca="false">AJ583+MAX(K583,AK$10:AK582)</f>
        <v>5958.82985076217</v>
      </c>
      <c r="AL583" s="5" t="n">
        <f aca="false">AK583-K583</f>
        <v>530.827235173783</v>
      </c>
      <c r="AM583" s="0" t="n">
        <f aca="false">-G583*AL583/3600</f>
        <v>-2.06629284302813</v>
      </c>
      <c r="AN583" s="0" t="n">
        <f aca="false">-H583*AL583/3600</f>
        <v>-2.98226254354249</v>
      </c>
      <c r="AO583" s="0" t="n">
        <f aca="false">AM583*E583+AN583*D583</f>
        <v>-2.98226254354249</v>
      </c>
      <c r="AP583" s="0" t="n">
        <f aca="false">AL583*D583</f>
        <v>530.827235173783</v>
      </c>
      <c r="AR583" s="0" t="n">
        <f aca="false">AN583*D583</f>
        <v>-2.98226254354249</v>
      </c>
      <c r="AS583" s="0" t="n">
        <f aca="false">AH583-AR583</f>
        <v>6.70560171833756E-008</v>
      </c>
    </row>
    <row r="584" customFormat="false" ht="12" hidden="false" customHeight="false" outlineLevel="0" collapsed="false">
      <c r="A584" s="3" t="n">
        <f aca="false">A583+1</f>
        <v>575</v>
      </c>
      <c r="B584" s="3" t="n">
        <f aca="false">IF(A584&lt;$N$4/3,0.1,(IF(A584&gt;2*$N$4/3,0.05,0.12)))</f>
        <v>0.12</v>
      </c>
      <c r="C584" s="4" t="n">
        <f aca="true">RAND()</f>
        <v>0.0385172477045178</v>
      </c>
      <c r="D584" s="0" t="n">
        <f aca="false">IF((C584&gt;$M$2),1,0)</f>
        <v>0</v>
      </c>
      <c r="E584" s="0" t="n">
        <f aca="false">1-D584</f>
        <v>1</v>
      </c>
      <c r="F584" s="0" t="n">
        <f aca="true">RAND()</f>
        <v>0.436213080646622</v>
      </c>
      <c r="G584" s="0" t="n">
        <f aca="false">7.75+F584*10</f>
        <v>12.1121308064662</v>
      </c>
      <c r="H584" s="0" t="n">
        <f aca="false">LOGINV(F584,2.64,1.139)</f>
        <v>11.6709424845347</v>
      </c>
      <c r="I584" s="0" t="n">
        <v>19.5</v>
      </c>
      <c r="J584" s="4" t="n">
        <f aca="true">-LN(RAND())/B584</f>
        <v>1.50925912199871</v>
      </c>
      <c r="K584" s="4" t="n">
        <f aca="false">K583+J584</f>
        <v>5429.51187471039</v>
      </c>
      <c r="L584" s="4" t="n">
        <f aca="false">(1/$J$4)*(1+AB583)</f>
        <v>10</v>
      </c>
      <c r="M584" s="4" t="n">
        <f aca="false">L584+MAX(K584,Y$10:Y583)</f>
        <v>5968.82985076217</v>
      </c>
      <c r="N584" s="4" t="n">
        <f aca="false">K584</f>
        <v>5429.51187471039</v>
      </c>
      <c r="O584" s="4" t="n">
        <f aca="false">M584-K584</f>
        <v>539.317976051784</v>
      </c>
      <c r="P584" s="4" t="n">
        <f aca="false">N584-K584</f>
        <v>0</v>
      </c>
      <c r="Q584" s="4" t="n">
        <f aca="false">A584-MATCH(K584,$M$9:M583,1)</f>
        <v>53</v>
      </c>
      <c r="R584" s="0" t="n">
        <f aca="false">-G584*(O584/3600)</f>
        <v>-1.81452496450495</v>
      </c>
      <c r="S584" s="0" t="n">
        <f aca="false">-1*I584-(H584*(P584/3600))</f>
        <v>-19.5</v>
      </c>
      <c r="T584" s="0" t="n">
        <f aca="false">-H584*(O584/3600)</f>
        <v>-1.74843029982668</v>
      </c>
      <c r="U584" s="0" t="n">
        <f aca="false">T584-S584</f>
        <v>17.7515697001733</v>
      </c>
      <c r="V584" s="0" t="n">
        <f aca="false">1/(1+EXP(U584))</f>
        <v>1.95250082302254E-008</v>
      </c>
      <c r="W584" s="0" t="n">
        <f aca="true">RAND()</f>
        <v>0.844898135098626</v>
      </c>
      <c r="X584" s="0" t="n">
        <f aca="false">IF(W584&lt;V584,1,0)</f>
        <v>0</v>
      </c>
      <c r="Y584" s="0" t="n">
        <f aca="false">(M584*(1-X584)+N584*X584)*D584+M584*E584</f>
        <v>5968.82985076217</v>
      </c>
      <c r="Z584" s="0" t="n">
        <f aca="false">((1-X584)*O584+X584*P584)*D584+E584*O584</f>
        <v>539.317976051784</v>
      </c>
      <c r="AA584" s="0" t="n">
        <f aca="false">IF(D584*X584&gt;0,AA583,Q584)</f>
        <v>53</v>
      </c>
      <c r="AB584" s="0" t="n">
        <f aca="false">(X584*D584)</f>
        <v>0</v>
      </c>
      <c r="AC584" s="0" t="n">
        <f aca="false">SUM(AB$10:AB583)/K584</f>
        <v>0</v>
      </c>
      <c r="AD584" s="0" t="n">
        <f aca="false">R584*E584+D584*(X584*S584+(1-X584)*T584)</f>
        <v>-1.81452496450495</v>
      </c>
      <c r="AE584" s="0" t="n">
        <f aca="false">Z584</f>
        <v>539.317976051784</v>
      </c>
      <c r="AF584" s="0" t="n">
        <f aca="false">E584*O584</f>
        <v>539.317976051784</v>
      </c>
      <c r="AG584" s="0" t="n">
        <f aca="false">((1-X584)*O584+X584*P584)*D584</f>
        <v>0</v>
      </c>
      <c r="AH584" s="0" t="n">
        <f aca="false">D584*(LN(EXP(S584)+EXP(T584)))</f>
        <v>-0</v>
      </c>
      <c r="AJ584" s="0" t="n">
        <f aca="false">$J$5</f>
        <v>10</v>
      </c>
      <c r="AK584" s="4" t="n">
        <f aca="false">AJ584+MAX(K584,AK$10:AK583)</f>
        <v>5968.82985076217</v>
      </c>
      <c r="AL584" s="5" t="n">
        <f aca="false">AK584-K584</f>
        <v>539.317976051784</v>
      </c>
      <c r="AM584" s="0" t="n">
        <f aca="false">-G584*AL584/3600</f>
        <v>-1.81452496450495</v>
      </c>
      <c r="AN584" s="0" t="n">
        <f aca="false">-H584*AL584/3600</f>
        <v>-1.74843029982668</v>
      </c>
      <c r="AO584" s="0" t="n">
        <f aca="false">AM584*E584+AN584*D584</f>
        <v>-1.81452496450495</v>
      </c>
      <c r="AP584" s="0" t="n">
        <f aca="false">AL584*D584</f>
        <v>0</v>
      </c>
      <c r="AR584" s="0" t="n">
        <f aca="false">AN584*D584</f>
        <v>-0</v>
      </c>
      <c r="AS584" s="0" t="n">
        <f aca="false">AH584-AR584</f>
        <v>0</v>
      </c>
    </row>
    <row r="585" customFormat="false" ht="12" hidden="false" customHeight="false" outlineLevel="0" collapsed="false">
      <c r="A585" s="3" t="n">
        <f aca="false">A584+1</f>
        <v>576</v>
      </c>
      <c r="B585" s="3" t="n">
        <f aca="false">IF(A585&lt;$N$4/3,0.1,(IF(A585&gt;2*$N$4/3,0.05,0.12)))</f>
        <v>0.12</v>
      </c>
      <c r="C585" s="4" t="n">
        <f aca="true">RAND()</f>
        <v>0.51065830963981</v>
      </c>
      <c r="D585" s="0" t="n">
        <f aca="false">IF((C585&gt;$M$2),1,0)</f>
        <v>0</v>
      </c>
      <c r="E585" s="0" t="n">
        <f aca="false">1-D585</f>
        <v>1</v>
      </c>
      <c r="F585" s="0" t="n">
        <f aca="true">RAND()</f>
        <v>0.396380853603066</v>
      </c>
      <c r="G585" s="0" t="n">
        <f aca="false">7.75+F585*10</f>
        <v>11.7138085360307</v>
      </c>
      <c r="H585" s="0" t="n">
        <f aca="false">LOGINV(F585,2.64,1.139)</f>
        <v>10.3890772014437</v>
      </c>
      <c r="I585" s="0" t="n">
        <v>19.5</v>
      </c>
      <c r="J585" s="4" t="n">
        <f aca="true">-LN(RAND())/B585</f>
        <v>2.51418847615632</v>
      </c>
      <c r="K585" s="4" t="n">
        <f aca="false">K584+J585</f>
        <v>5432.02606318654</v>
      </c>
      <c r="L585" s="4" t="n">
        <f aca="false">(1/$J$4)*(1+AB584)</f>
        <v>10</v>
      </c>
      <c r="M585" s="4" t="n">
        <f aca="false">L585+MAX(K585,Y$10:Y584)</f>
        <v>5978.82985076217</v>
      </c>
      <c r="N585" s="4" t="n">
        <f aca="false">K585</f>
        <v>5432.02606318654</v>
      </c>
      <c r="O585" s="4" t="n">
        <f aca="false">M585-K585</f>
        <v>546.803787575628</v>
      </c>
      <c r="P585" s="4" t="n">
        <f aca="false">N585-K585</f>
        <v>0</v>
      </c>
      <c r="Q585" s="4" t="n">
        <f aca="false">A585-MATCH(K585,$M$9:M584,1)</f>
        <v>54</v>
      </c>
      <c r="R585" s="0" t="n">
        <f aca="false">-G585*(O585/3600)</f>
        <v>-1.77920968734369</v>
      </c>
      <c r="S585" s="0" t="n">
        <f aca="false">-1*I585-(H585*(P585/3600))</f>
        <v>-19.5</v>
      </c>
      <c r="T585" s="0" t="n">
        <f aca="false">-H585*(O585/3600)</f>
        <v>-1.5779963231014</v>
      </c>
      <c r="U585" s="0" t="n">
        <f aca="false">T585-S585</f>
        <v>17.9220036768986</v>
      </c>
      <c r="V585" s="0" t="n">
        <f aca="false">1/(1+EXP(U585))</f>
        <v>1.64654153802102E-008</v>
      </c>
      <c r="W585" s="0" t="n">
        <f aca="true">RAND()</f>
        <v>0.460620726719975</v>
      </c>
      <c r="X585" s="0" t="n">
        <f aca="false">IF(W585&lt;V585,1,0)</f>
        <v>0</v>
      </c>
      <c r="Y585" s="0" t="n">
        <f aca="false">(M585*(1-X585)+N585*X585)*D585+M585*E585</f>
        <v>5978.82985076217</v>
      </c>
      <c r="Z585" s="0" t="n">
        <f aca="false">((1-X585)*O585+X585*P585)*D585+E585*O585</f>
        <v>546.803787575628</v>
      </c>
      <c r="AA585" s="0" t="n">
        <f aca="false">IF(D585*X585&gt;0,AA584,Q585)</f>
        <v>54</v>
      </c>
      <c r="AB585" s="0" t="n">
        <f aca="false">(X585*D585)</f>
        <v>0</v>
      </c>
      <c r="AC585" s="0" t="n">
        <f aca="false">SUM(AB$10:AB584)/K585</f>
        <v>0</v>
      </c>
      <c r="AD585" s="0" t="n">
        <f aca="false">R585*E585+D585*(X585*S585+(1-X585)*T585)</f>
        <v>-1.77920968734369</v>
      </c>
      <c r="AE585" s="0" t="n">
        <f aca="false">Z585</f>
        <v>546.803787575628</v>
      </c>
      <c r="AF585" s="0" t="n">
        <f aca="false">E585*O585</f>
        <v>546.803787575628</v>
      </c>
      <c r="AG585" s="0" t="n">
        <f aca="false">((1-X585)*O585+X585*P585)*D585</f>
        <v>0</v>
      </c>
      <c r="AH585" s="0" t="n">
        <f aca="false">D585*(LN(EXP(S585)+EXP(T585)))</f>
        <v>-0</v>
      </c>
      <c r="AJ585" s="0" t="n">
        <f aca="false">$J$5</f>
        <v>10</v>
      </c>
      <c r="AK585" s="4" t="n">
        <f aca="false">AJ585+MAX(K585,AK$10:AK584)</f>
        <v>5978.82985076217</v>
      </c>
      <c r="AL585" s="5" t="n">
        <f aca="false">AK585-K585</f>
        <v>546.803787575628</v>
      </c>
      <c r="AM585" s="0" t="n">
        <f aca="false">-G585*AL585/3600</f>
        <v>-1.77920968734369</v>
      </c>
      <c r="AN585" s="0" t="n">
        <f aca="false">-H585*AL585/3600</f>
        <v>-1.5779963231014</v>
      </c>
      <c r="AO585" s="0" t="n">
        <f aca="false">AM585*E585+AN585*D585</f>
        <v>-1.77920968734369</v>
      </c>
      <c r="AP585" s="0" t="n">
        <f aca="false">AL585*D585</f>
        <v>0</v>
      </c>
      <c r="AR585" s="0" t="n">
        <f aca="false">AN585*D585</f>
        <v>-0</v>
      </c>
      <c r="AS585" s="0" t="n">
        <f aca="false">AH585-AR585</f>
        <v>0</v>
      </c>
    </row>
    <row r="586" customFormat="false" ht="12" hidden="false" customHeight="false" outlineLevel="0" collapsed="false">
      <c r="A586" s="3" t="n">
        <f aca="false">A585+1</f>
        <v>577</v>
      </c>
      <c r="B586" s="3" t="n">
        <f aca="false">IF(A586&lt;$N$4/3,0.1,(IF(A586&gt;2*$N$4/3,0.05,0.12)))</f>
        <v>0.12</v>
      </c>
      <c r="C586" s="4" t="n">
        <f aca="true">RAND()</f>
        <v>0.939112077949578</v>
      </c>
      <c r="D586" s="0" t="n">
        <f aca="false">IF((C586&gt;$M$2),1,0)</f>
        <v>1</v>
      </c>
      <c r="E586" s="0" t="n">
        <f aca="false">1-D586</f>
        <v>0</v>
      </c>
      <c r="F586" s="0" t="n">
        <f aca="true">RAND()</f>
        <v>0.0286516213388212</v>
      </c>
      <c r="G586" s="0" t="n">
        <f aca="false">7.75+F586*10</f>
        <v>8.03651621338821</v>
      </c>
      <c r="H586" s="0" t="n">
        <f aca="false">LOGINV(F586,2.64,1.139)</f>
        <v>1.60764712380678</v>
      </c>
      <c r="I586" s="0" t="n">
        <v>19.5</v>
      </c>
      <c r="J586" s="4" t="n">
        <f aca="true">-LN(RAND())/B586</f>
        <v>5.41282577360016</v>
      </c>
      <c r="K586" s="4" t="n">
        <f aca="false">K585+J586</f>
        <v>5437.43888896014</v>
      </c>
      <c r="L586" s="4" t="n">
        <f aca="false">(1/$J$4)*(1+AB585)</f>
        <v>10</v>
      </c>
      <c r="M586" s="4" t="n">
        <f aca="false">L586+MAX(K586,Y$10:Y585)</f>
        <v>5988.82985076217</v>
      </c>
      <c r="N586" s="4" t="n">
        <f aca="false">K586</f>
        <v>5437.43888896014</v>
      </c>
      <c r="O586" s="4" t="n">
        <f aca="false">M586-K586</f>
        <v>551.390961802028</v>
      </c>
      <c r="P586" s="4" t="n">
        <f aca="false">N586-K586</f>
        <v>0</v>
      </c>
      <c r="Q586" s="4" t="n">
        <f aca="false">A586-MATCH(K586,$M$9:M585,1)</f>
        <v>55</v>
      </c>
      <c r="R586" s="0" t="n">
        <f aca="false">-G586*(O586/3600)</f>
        <v>-1.23090622345492</v>
      </c>
      <c r="S586" s="0" t="n">
        <f aca="false">-1*I586-(H586*(P586/3600))</f>
        <v>-19.5</v>
      </c>
      <c r="T586" s="0" t="n">
        <f aca="false">-H586*(O586/3600)</f>
        <v>-0.246233914953912</v>
      </c>
      <c r="U586" s="0" t="n">
        <f aca="false">T586-S586</f>
        <v>19.2537660850461</v>
      </c>
      <c r="V586" s="0" t="n">
        <f aca="false">1/(1+EXP(U586))</f>
        <v>4.34705996965476E-009</v>
      </c>
      <c r="W586" s="0" t="n">
        <f aca="true">RAND()</f>
        <v>0.293173992574754</v>
      </c>
      <c r="X586" s="0" t="n">
        <f aca="false">IF(W586&lt;V586,1,0)</f>
        <v>0</v>
      </c>
      <c r="Y586" s="0" t="n">
        <f aca="false">(M586*(1-X586)+N586*X586)*D586+M586*E586</f>
        <v>5988.82985076217</v>
      </c>
      <c r="Z586" s="0" t="n">
        <f aca="false">((1-X586)*O586+X586*P586)*D586+E586*O586</f>
        <v>551.390961802028</v>
      </c>
      <c r="AA586" s="0" t="n">
        <f aca="false">IF(D586*X586&gt;0,AA585,Q586)</f>
        <v>55</v>
      </c>
      <c r="AB586" s="0" t="n">
        <f aca="false">(X586*D586)</f>
        <v>0</v>
      </c>
      <c r="AC586" s="0" t="n">
        <f aca="false">SUM(AB$10:AB585)/K586</f>
        <v>0</v>
      </c>
      <c r="AD586" s="0" t="n">
        <f aca="false">R586*E586+D586*(X586*S586+(1-X586)*T586)</f>
        <v>-0.246233914953912</v>
      </c>
      <c r="AE586" s="0" t="n">
        <f aca="false">Z586</f>
        <v>551.390961802028</v>
      </c>
      <c r="AF586" s="0" t="n">
        <f aca="false">E586*O586</f>
        <v>0</v>
      </c>
      <c r="AG586" s="0" t="n">
        <f aca="false">((1-X586)*O586+X586*P586)*D586</f>
        <v>551.390961802028</v>
      </c>
      <c r="AH586" s="0" t="n">
        <f aca="false">D586*(LN(EXP(S586)+EXP(T586)))</f>
        <v>-0.246233910606852</v>
      </c>
      <c r="AJ586" s="0" t="n">
        <f aca="false">$J$5</f>
        <v>10</v>
      </c>
      <c r="AK586" s="4" t="n">
        <f aca="false">AJ586+MAX(K586,AK$10:AK585)</f>
        <v>5988.82985076217</v>
      </c>
      <c r="AL586" s="5" t="n">
        <f aca="false">AK586-K586</f>
        <v>551.390961802028</v>
      </c>
      <c r="AM586" s="0" t="n">
        <f aca="false">-G586*AL586/3600</f>
        <v>-1.23090622345492</v>
      </c>
      <c r="AN586" s="0" t="n">
        <f aca="false">-H586*AL586/3600</f>
        <v>-0.246233914953912</v>
      </c>
      <c r="AO586" s="0" t="n">
        <f aca="false">AM586*E586+AN586*D586</f>
        <v>-0.246233914953912</v>
      </c>
      <c r="AP586" s="0" t="n">
        <f aca="false">AL586*D586</f>
        <v>551.390961802028</v>
      </c>
      <c r="AR586" s="0" t="n">
        <f aca="false">AN586*D586</f>
        <v>-0.246233914953912</v>
      </c>
      <c r="AS586" s="0" t="n">
        <f aca="false">AH586-AR586</f>
        <v>4.34705987872874E-009</v>
      </c>
    </row>
    <row r="587" customFormat="false" ht="12" hidden="false" customHeight="false" outlineLevel="0" collapsed="false">
      <c r="A587" s="3" t="n">
        <f aca="false">A586+1</f>
        <v>578</v>
      </c>
      <c r="B587" s="3" t="n">
        <f aca="false">IF(A587&lt;$N$4/3,0.1,(IF(A587&gt;2*$N$4/3,0.05,0.12)))</f>
        <v>0.12</v>
      </c>
      <c r="C587" s="4" t="n">
        <f aca="true">RAND()</f>
        <v>0.301726490846883</v>
      </c>
      <c r="D587" s="0" t="n">
        <f aca="false">IF((C587&gt;$M$2),1,0)</f>
        <v>0</v>
      </c>
      <c r="E587" s="0" t="n">
        <f aca="false">1-D587</f>
        <v>1</v>
      </c>
      <c r="F587" s="0" t="n">
        <f aca="true">RAND()</f>
        <v>0.334035863155078</v>
      </c>
      <c r="G587" s="0" t="n">
        <f aca="false">7.75+F587*10</f>
        <v>11.0903586315508</v>
      </c>
      <c r="H587" s="0" t="n">
        <f aca="false">LOGINV(F587,2.64,1.139)</f>
        <v>8.59861731230334</v>
      </c>
      <c r="I587" s="0" t="n">
        <v>19.5</v>
      </c>
      <c r="J587" s="4" t="n">
        <f aca="true">-LN(RAND())/B587</f>
        <v>0.594316529558109</v>
      </c>
      <c r="K587" s="4" t="n">
        <f aca="false">K586+J587</f>
        <v>5438.0332054897</v>
      </c>
      <c r="L587" s="4" t="n">
        <f aca="false">(1/$J$4)*(1+AB586)</f>
        <v>10</v>
      </c>
      <c r="M587" s="4" t="n">
        <f aca="false">L587+MAX(K587,Y$10:Y586)</f>
        <v>5998.82985076217</v>
      </c>
      <c r="N587" s="4" t="n">
        <f aca="false">K587</f>
        <v>5438.0332054897</v>
      </c>
      <c r="O587" s="4" t="n">
        <f aca="false">M587-K587</f>
        <v>560.79664527247</v>
      </c>
      <c r="P587" s="4" t="n">
        <f aca="false">N587-K587</f>
        <v>0</v>
      </c>
      <c r="Q587" s="4" t="n">
        <f aca="false">A587-MATCH(K587,$M$9:M586,1)</f>
        <v>56</v>
      </c>
      <c r="R587" s="0" t="n">
        <f aca="false">-G587*(O587/3600)</f>
        <v>-1.72762108762285</v>
      </c>
      <c r="S587" s="0" t="n">
        <f aca="false">-1*I587-(H587*(P587/3600))</f>
        <v>-19.5</v>
      </c>
      <c r="T587" s="0" t="n">
        <f aca="false">-H587*(O587/3600)</f>
        <v>-1.3394654840893</v>
      </c>
      <c r="U587" s="0" t="n">
        <f aca="false">T587-S587</f>
        <v>18.1605345159107</v>
      </c>
      <c r="V587" s="0" t="n">
        <f aca="false">1/(1+EXP(U587))</f>
        <v>1.2971197312539E-008</v>
      </c>
      <c r="W587" s="0" t="n">
        <f aca="true">RAND()</f>
        <v>0.897606724604737</v>
      </c>
      <c r="X587" s="0" t="n">
        <f aca="false">IF(W587&lt;V587,1,0)</f>
        <v>0</v>
      </c>
      <c r="Y587" s="0" t="n">
        <f aca="false">(M587*(1-X587)+N587*X587)*D587+M587*E587</f>
        <v>5998.82985076217</v>
      </c>
      <c r="Z587" s="0" t="n">
        <f aca="false">((1-X587)*O587+X587*P587)*D587+E587*O587</f>
        <v>560.79664527247</v>
      </c>
      <c r="AA587" s="0" t="n">
        <f aca="false">IF(D587*X587&gt;0,AA586,Q587)</f>
        <v>56</v>
      </c>
      <c r="AB587" s="0" t="n">
        <f aca="false">(X587*D587)</f>
        <v>0</v>
      </c>
      <c r="AC587" s="0" t="n">
        <f aca="false">SUM(AB$10:AB586)/K587</f>
        <v>0</v>
      </c>
      <c r="AD587" s="0" t="n">
        <f aca="false">R587*E587+D587*(X587*S587+(1-X587)*T587)</f>
        <v>-1.72762108762285</v>
      </c>
      <c r="AE587" s="0" t="n">
        <f aca="false">Z587</f>
        <v>560.79664527247</v>
      </c>
      <c r="AF587" s="0" t="n">
        <f aca="false">E587*O587</f>
        <v>560.79664527247</v>
      </c>
      <c r="AG587" s="0" t="n">
        <f aca="false">((1-X587)*O587+X587*P587)*D587</f>
        <v>0</v>
      </c>
      <c r="AH587" s="0" t="n">
        <f aca="false">D587*(LN(EXP(S587)+EXP(T587)))</f>
        <v>-0</v>
      </c>
      <c r="AJ587" s="0" t="n">
        <f aca="false">$J$5</f>
        <v>10</v>
      </c>
      <c r="AK587" s="4" t="n">
        <f aca="false">AJ587+MAX(K587,AK$10:AK586)</f>
        <v>5998.82985076217</v>
      </c>
      <c r="AL587" s="5" t="n">
        <f aca="false">AK587-K587</f>
        <v>560.79664527247</v>
      </c>
      <c r="AM587" s="0" t="n">
        <f aca="false">-G587*AL587/3600</f>
        <v>-1.72762108762285</v>
      </c>
      <c r="AN587" s="0" t="n">
        <f aca="false">-H587*AL587/3600</f>
        <v>-1.3394654840893</v>
      </c>
      <c r="AO587" s="0" t="n">
        <f aca="false">AM587*E587+AN587*D587</f>
        <v>-1.72762108762285</v>
      </c>
      <c r="AP587" s="0" t="n">
        <f aca="false">AL587*D587</f>
        <v>0</v>
      </c>
      <c r="AR587" s="0" t="n">
        <f aca="false">AN587*D587</f>
        <v>-0</v>
      </c>
      <c r="AS587" s="0" t="n">
        <f aca="false">AH587-AR587</f>
        <v>0</v>
      </c>
    </row>
    <row r="588" customFormat="false" ht="12" hidden="false" customHeight="false" outlineLevel="0" collapsed="false">
      <c r="A588" s="3" t="n">
        <f aca="false">A587+1</f>
        <v>579</v>
      </c>
      <c r="B588" s="3" t="n">
        <f aca="false">IF(A588&lt;$N$4/3,0.1,(IF(A588&gt;2*$N$4/3,0.05,0.12)))</f>
        <v>0.12</v>
      </c>
      <c r="C588" s="4" t="n">
        <f aca="true">RAND()</f>
        <v>0.540927018567423</v>
      </c>
      <c r="D588" s="0" t="n">
        <f aca="false">IF((C588&gt;$M$2),1,0)</f>
        <v>0</v>
      </c>
      <c r="E588" s="0" t="n">
        <f aca="false">1-D588</f>
        <v>1</v>
      </c>
      <c r="F588" s="0" t="n">
        <f aca="true">RAND()</f>
        <v>0.142503626449152</v>
      </c>
      <c r="G588" s="0" t="n">
        <f aca="false">7.75+F588*10</f>
        <v>9.17503626449152</v>
      </c>
      <c r="H588" s="0" t="n">
        <f aca="false">LOGINV(F588,2.64,1.139)</f>
        <v>4.14644448366354</v>
      </c>
      <c r="I588" s="0" t="n">
        <v>19.5</v>
      </c>
      <c r="J588" s="4" t="n">
        <f aca="true">-LN(RAND())/B588</f>
        <v>6.9849494672963</v>
      </c>
      <c r="K588" s="4" t="n">
        <f aca="false">K587+J588</f>
        <v>5445.018154957</v>
      </c>
      <c r="L588" s="4" t="n">
        <f aca="false">(1/$J$4)*(1+AB587)</f>
        <v>10</v>
      </c>
      <c r="M588" s="4" t="n">
        <f aca="false">L588+MAX(K588,Y$10:Y587)</f>
        <v>6008.82985076217</v>
      </c>
      <c r="N588" s="4" t="n">
        <f aca="false">K588</f>
        <v>5445.018154957</v>
      </c>
      <c r="O588" s="4" t="n">
        <f aca="false">M588-K588</f>
        <v>563.811695805173</v>
      </c>
      <c r="P588" s="4" t="n">
        <f aca="false">N588-K588</f>
        <v>0</v>
      </c>
      <c r="Q588" s="4" t="n">
        <f aca="false">A588-MATCH(K588,$M$9:M587,1)</f>
        <v>56</v>
      </c>
      <c r="R588" s="0" t="n">
        <f aca="false">-G588*(O588/3600)</f>
        <v>-1.43694243204359</v>
      </c>
      <c r="S588" s="0" t="n">
        <f aca="false">-1*I588-(H588*(P588/3600))</f>
        <v>-19.5</v>
      </c>
      <c r="T588" s="0" t="n">
        <f aca="false">-H588*(O588/3600)</f>
        <v>-0.649392748860096</v>
      </c>
      <c r="U588" s="0" t="n">
        <f aca="false">T588-S588</f>
        <v>18.8506072511399</v>
      </c>
      <c r="V588" s="0" t="n">
        <f aca="false">1/(1+EXP(U588))</f>
        <v>6.50556899990782E-009</v>
      </c>
      <c r="W588" s="0" t="n">
        <f aca="true">RAND()</f>
        <v>0.417621958863744</v>
      </c>
      <c r="X588" s="0" t="n">
        <f aca="false">IF(W588&lt;V588,1,0)</f>
        <v>0</v>
      </c>
      <c r="Y588" s="0" t="n">
        <f aca="false">(M588*(1-X588)+N588*X588)*D588+M588*E588</f>
        <v>6008.82985076217</v>
      </c>
      <c r="Z588" s="0" t="n">
        <f aca="false">((1-X588)*O588+X588*P588)*D588+E588*O588</f>
        <v>563.811695805173</v>
      </c>
      <c r="AA588" s="0" t="n">
        <f aca="false">IF(D588*X588&gt;0,AA587,Q588)</f>
        <v>56</v>
      </c>
      <c r="AB588" s="0" t="n">
        <f aca="false">(X588*D588)</f>
        <v>0</v>
      </c>
      <c r="AC588" s="0" t="n">
        <f aca="false">SUM(AB$10:AB587)/K588</f>
        <v>0</v>
      </c>
      <c r="AD588" s="0" t="n">
        <f aca="false">R588*E588+D588*(X588*S588+(1-X588)*T588)</f>
        <v>-1.43694243204359</v>
      </c>
      <c r="AE588" s="0" t="n">
        <f aca="false">Z588</f>
        <v>563.811695805173</v>
      </c>
      <c r="AF588" s="0" t="n">
        <f aca="false">E588*O588</f>
        <v>563.811695805173</v>
      </c>
      <c r="AG588" s="0" t="n">
        <f aca="false">((1-X588)*O588+X588*P588)*D588</f>
        <v>0</v>
      </c>
      <c r="AH588" s="0" t="n">
        <f aca="false">D588*(LN(EXP(S588)+EXP(T588)))</f>
        <v>-0</v>
      </c>
      <c r="AJ588" s="0" t="n">
        <f aca="false">$J$5</f>
        <v>10</v>
      </c>
      <c r="AK588" s="4" t="n">
        <f aca="false">AJ588+MAX(K588,AK$10:AK587)</f>
        <v>6008.82985076217</v>
      </c>
      <c r="AL588" s="5" t="n">
        <f aca="false">AK588-K588</f>
        <v>563.811695805173</v>
      </c>
      <c r="AM588" s="0" t="n">
        <f aca="false">-G588*AL588/3600</f>
        <v>-1.43694243204359</v>
      </c>
      <c r="AN588" s="0" t="n">
        <f aca="false">-H588*AL588/3600</f>
        <v>-0.649392748860096</v>
      </c>
      <c r="AO588" s="0" t="n">
        <f aca="false">AM588*E588+AN588*D588</f>
        <v>-1.43694243204359</v>
      </c>
      <c r="AP588" s="0" t="n">
        <f aca="false">AL588*D588</f>
        <v>0</v>
      </c>
      <c r="AR588" s="0" t="n">
        <f aca="false">AN588*D588</f>
        <v>-0</v>
      </c>
      <c r="AS588" s="0" t="n">
        <f aca="false">AH588-AR588</f>
        <v>0</v>
      </c>
    </row>
    <row r="589" customFormat="false" ht="12" hidden="false" customHeight="false" outlineLevel="0" collapsed="false">
      <c r="A589" s="3" t="n">
        <f aca="false">A588+1</f>
        <v>580</v>
      </c>
      <c r="B589" s="3" t="n">
        <f aca="false">IF(A589&lt;$N$4/3,0.1,(IF(A589&gt;2*$N$4/3,0.05,0.12)))</f>
        <v>0.12</v>
      </c>
      <c r="C589" s="4" t="n">
        <f aca="true">RAND()</f>
        <v>0.447095536819665</v>
      </c>
      <c r="D589" s="0" t="n">
        <f aca="false">IF((C589&gt;$M$2),1,0)</f>
        <v>0</v>
      </c>
      <c r="E589" s="0" t="n">
        <f aca="false">1-D589</f>
        <v>1</v>
      </c>
      <c r="F589" s="0" t="n">
        <f aca="true">RAND()</f>
        <v>0.501090599386733</v>
      </c>
      <c r="G589" s="0" t="n">
        <f aca="false">7.75+F589*10</f>
        <v>12.7609059938673</v>
      </c>
      <c r="H589" s="0" t="n">
        <f aca="false">LOGINV(F589,2.64,1.139)</f>
        <v>14.0569047905288</v>
      </c>
      <c r="I589" s="0" t="n">
        <v>19.5</v>
      </c>
      <c r="J589" s="4" t="n">
        <f aca="true">-LN(RAND())/B589</f>
        <v>1.95844859077337</v>
      </c>
      <c r="K589" s="4" t="n">
        <f aca="false">K588+J589</f>
        <v>5446.97660354777</v>
      </c>
      <c r="L589" s="4" t="n">
        <f aca="false">(1/$J$4)*(1+AB588)</f>
        <v>10</v>
      </c>
      <c r="M589" s="4" t="n">
        <f aca="false">L589+MAX(K589,Y$10:Y588)</f>
        <v>6018.82985076217</v>
      </c>
      <c r="N589" s="4" t="n">
        <f aca="false">K589</f>
        <v>5446.97660354777</v>
      </c>
      <c r="O589" s="4" t="n">
        <f aca="false">M589-K589</f>
        <v>571.8532472144</v>
      </c>
      <c r="P589" s="4" t="n">
        <f aca="false">N589-K589</f>
        <v>0</v>
      </c>
      <c r="Q589" s="4" t="n">
        <f aca="false">A589-MATCH(K589,$M$9:M588,1)</f>
        <v>57</v>
      </c>
      <c r="R589" s="0" t="n">
        <f aca="false">-G589*(O589/3600)</f>
        <v>-2.02704598055298</v>
      </c>
      <c r="S589" s="0" t="n">
        <f aca="false">-1*I589-(H589*(P589/3600))</f>
        <v>-19.5</v>
      </c>
      <c r="T589" s="0" t="n">
        <f aca="false">-H589*(O589/3600)</f>
        <v>-2.2329129584021</v>
      </c>
      <c r="U589" s="0" t="n">
        <f aca="false">T589-S589</f>
        <v>17.2670870415979</v>
      </c>
      <c r="V589" s="0" t="n">
        <f aca="false">1/(1+EXP(U589))</f>
        <v>3.16956283252693E-008</v>
      </c>
      <c r="W589" s="0" t="n">
        <f aca="true">RAND()</f>
        <v>0.0445952102168855</v>
      </c>
      <c r="X589" s="0" t="n">
        <f aca="false">IF(W589&lt;V589,1,0)</f>
        <v>0</v>
      </c>
      <c r="Y589" s="0" t="n">
        <f aca="false">(M589*(1-X589)+N589*X589)*D589+M589*E589</f>
        <v>6018.82985076217</v>
      </c>
      <c r="Z589" s="0" t="n">
        <f aca="false">((1-X589)*O589+X589*P589)*D589+E589*O589</f>
        <v>571.8532472144</v>
      </c>
      <c r="AA589" s="0" t="n">
        <f aca="false">IF(D589*X589&gt;0,AA588,Q589)</f>
        <v>57</v>
      </c>
      <c r="AB589" s="0" t="n">
        <f aca="false">(X589*D589)</f>
        <v>0</v>
      </c>
      <c r="AC589" s="0" t="n">
        <f aca="false">SUM(AB$10:AB588)/K589</f>
        <v>0</v>
      </c>
      <c r="AD589" s="0" t="n">
        <f aca="false">R589*E589+D589*(X589*S589+(1-X589)*T589)</f>
        <v>-2.02704598055298</v>
      </c>
      <c r="AE589" s="0" t="n">
        <f aca="false">Z589</f>
        <v>571.8532472144</v>
      </c>
      <c r="AF589" s="0" t="n">
        <f aca="false">E589*O589</f>
        <v>571.8532472144</v>
      </c>
      <c r="AG589" s="0" t="n">
        <f aca="false">((1-X589)*O589+X589*P589)*D589</f>
        <v>0</v>
      </c>
      <c r="AH589" s="0" t="n">
        <f aca="false">D589*(LN(EXP(S589)+EXP(T589)))</f>
        <v>-0</v>
      </c>
      <c r="AJ589" s="0" t="n">
        <f aca="false">$J$5</f>
        <v>10</v>
      </c>
      <c r="AK589" s="4" t="n">
        <f aca="false">AJ589+MAX(K589,AK$10:AK588)</f>
        <v>6018.82985076217</v>
      </c>
      <c r="AL589" s="5" t="n">
        <f aca="false">AK589-K589</f>
        <v>571.8532472144</v>
      </c>
      <c r="AM589" s="0" t="n">
        <f aca="false">-G589*AL589/3600</f>
        <v>-2.02704598055298</v>
      </c>
      <c r="AN589" s="0" t="n">
        <f aca="false">-H589*AL589/3600</f>
        <v>-2.2329129584021</v>
      </c>
      <c r="AO589" s="0" t="n">
        <f aca="false">AM589*E589+AN589*D589</f>
        <v>-2.02704598055298</v>
      </c>
      <c r="AP589" s="0" t="n">
        <f aca="false">AL589*D589</f>
        <v>0</v>
      </c>
      <c r="AR589" s="0" t="n">
        <f aca="false">AN589*D589</f>
        <v>-0</v>
      </c>
      <c r="AS589" s="0" t="n">
        <f aca="false">AH589-AR589</f>
        <v>0</v>
      </c>
    </row>
    <row r="590" customFormat="false" ht="12" hidden="false" customHeight="false" outlineLevel="0" collapsed="false">
      <c r="A590" s="3" t="n">
        <f aca="false">A589+1</f>
        <v>581</v>
      </c>
      <c r="B590" s="3" t="n">
        <f aca="false">IF(A590&lt;$N$4/3,0.1,(IF(A590&gt;2*$N$4/3,0.05,0.12)))</f>
        <v>0.12</v>
      </c>
      <c r="C590" s="4" t="n">
        <f aca="true">RAND()</f>
        <v>0.156782120111566</v>
      </c>
      <c r="D590" s="0" t="n">
        <f aca="false">IF((C590&gt;$M$2),1,0)</f>
        <v>0</v>
      </c>
      <c r="E590" s="0" t="n">
        <f aca="false">1-D590</f>
        <v>1</v>
      </c>
      <c r="F590" s="0" t="n">
        <f aca="true">RAND()</f>
        <v>0.600594275691236</v>
      </c>
      <c r="G590" s="0" t="n">
        <f aca="false">7.75+F590*10</f>
        <v>13.7559427569124</v>
      </c>
      <c r="H590" s="0" t="n">
        <f aca="false">LOGINV(F590,2.64,1.139)</f>
        <v>18.7335252542044</v>
      </c>
      <c r="I590" s="0" t="n">
        <v>19.5</v>
      </c>
      <c r="J590" s="4" t="n">
        <f aca="true">-LN(RAND())/B590</f>
        <v>0.83231535082536</v>
      </c>
      <c r="K590" s="4" t="n">
        <f aca="false">K589+J590</f>
        <v>5447.8089188986</v>
      </c>
      <c r="L590" s="4" t="n">
        <f aca="false">(1/$J$4)*(1+AB589)</f>
        <v>10</v>
      </c>
      <c r="M590" s="4" t="n">
        <f aca="false">L590+MAX(K590,Y$10:Y589)</f>
        <v>6028.82985076217</v>
      </c>
      <c r="N590" s="4" t="n">
        <f aca="false">K590</f>
        <v>5447.8089188986</v>
      </c>
      <c r="O590" s="4" t="n">
        <f aca="false">M590-K590</f>
        <v>581.020931863574</v>
      </c>
      <c r="P590" s="4" t="n">
        <f aca="false">N590-K590</f>
        <v>0</v>
      </c>
      <c r="Q590" s="4" t="n">
        <f aca="false">A590-MATCH(K590,$M$9:M589,1)</f>
        <v>58</v>
      </c>
      <c r="R590" s="0" t="n">
        <f aca="false">-G590*(O590/3600)</f>
        <v>-2.22013629980089</v>
      </c>
      <c r="S590" s="0" t="n">
        <f aca="false">-1*I590-(H590*(P590/3600))</f>
        <v>-19.5</v>
      </c>
      <c r="T590" s="0" t="n">
        <f aca="false">-H590*(O590/3600)</f>
        <v>-3.0234917500799</v>
      </c>
      <c r="U590" s="0" t="n">
        <f aca="false">T590-S590</f>
        <v>16.4765082499201</v>
      </c>
      <c r="V590" s="0" t="n">
        <f aca="false">1/(1+EXP(U590))</f>
        <v>6.98784648847751E-008</v>
      </c>
      <c r="W590" s="0" t="n">
        <f aca="true">RAND()</f>
        <v>0.6170980184278</v>
      </c>
      <c r="X590" s="0" t="n">
        <f aca="false">IF(W590&lt;V590,1,0)</f>
        <v>0</v>
      </c>
      <c r="Y590" s="0" t="n">
        <f aca="false">(M590*(1-X590)+N590*X590)*D590+M590*E590</f>
        <v>6028.82985076217</v>
      </c>
      <c r="Z590" s="0" t="n">
        <f aca="false">((1-X590)*O590+X590*P590)*D590+E590*O590</f>
        <v>581.020931863574</v>
      </c>
      <c r="AA590" s="0" t="n">
        <f aca="false">IF(D590*X590&gt;0,AA589,Q590)</f>
        <v>58</v>
      </c>
      <c r="AB590" s="0" t="n">
        <f aca="false">(X590*D590)</f>
        <v>0</v>
      </c>
      <c r="AC590" s="0" t="n">
        <f aca="false">SUM(AB$10:AB589)/K590</f>
        <v>0</v>
      </c>
      <c r="AD590" s="0" t="n">
        <f aca="false">R590*E590+D590*(X590*S590+(1-X590)*T590)</f>
        <v>-2.22013629980089</v>
      </c>
      <c r="AE590" s="0" t="n">
        <f aca="false">Z590</f>
        <v>581.020931863574</v>
      </c>
      <c r="AF590" s="0" t="n">
        <f aca="false">E590*O590</f>
        <v>581.020931863574</v>
      </c>
      <c r="AG590" s="0" t="n">
        <f aca="false">((1-X590)*O590+X590*P590)*D590</f>
        <v>0</v>
      </c>
      <c r="AH590" s="0" t="n">
        <f aca="false">D590*(LN(EXP(S590)+EXP(T590)))</f>
        <v>-0</v>
      </c>
      <c r="AJ590" s="0" t="n">
        <f aca="false">$J$5</f>
        <v>10</v>
      </c>
      <c r="AK590" s="4" t="n">
        <f aca="false">AJ590+MAX(K590,AK$10:AK589)</f>
        <v>6028.82985076217</v>
      </c>
      <c r="AL590" s="5" t="n">
        <f aca="false">AK590-K590</f>
        <v>581.020931863574</v>
      </c>
      <c r="AM590" s="0" t="n">
        <f aca="false">-G590*AL590/3600</f>
        <v>-2.22013629980089</v>
      </c>
      <c r="AN590" s="0" t="n">
        <f aca="false">-H590*AL590/3600</f>
        <v>-3.0234917500799</v>
      </c>
      <c r="AO590" s="0" t="n">
        <f aca="false">AM590*E590+AN590*D590</f>
        <v>-2.22013629980089</v>
      </c>
      <c r="AP590" s="0" t="n">
        <f aca="false">AL590*D590</f>
        <v>0</v>
      </c>
      <c r="AR590" s="0" t="n">
        <f aca="false">AN590*D590</f>
        <v>-0</v>
      </c>
      <c r="AS590" s="0" t="n">
        <f aca="false">AH590-AR590</f>
        <v>0</v>
      </c>
    </row>
    <row r="591" customFormat="false" ht="12" hidden="false" customHeight="false" outlineLevel="0" collapsed="false">
      <c r="A591" s="3" t="n">
        <f aca="false">A590+1</f>
        <v>582</v>
      </c>
      <c r="B591" s="3" t="n">
        <f aca="false">IF(A591&lt;$N$4/3,0.1,(IF(A591&gt;2*$N$4/3,0.05,0.12)))</f>
        <v>0.12</v>
      </c>
      <c r="C591" s="4" t="n">
        <f aca="true">RAND()</f>
        <v>0.236540302673619</v>
      </c>
      <c r="D591" s="0" t="n">
        <f aca="false">IF((C591&gt;$M$2),1,0)</f>
        <v>0</v>
      </c>
      <c r="E591" s="0" t="n">
        <f aca="false">1-D591</f>
        <v>1</v>
      </c>
      <c r="F591" s="0" t="n">
        <f aca="true">RAND()</f>
        <v>0.392128466119603</v>
      </c>
      <c r="G591" s="0" t="n">
        <f aca="false">7.75+F591*10</f>
        <v>11.671284661196</v>
      </c>
      <c r="H591" s="0" t="n">
        <f aca="false">LOGINV(F591,2.64,1.139)</f>
        <v>10.2591437263317</v>
      </c>
      <c r="I591" s="0" t="n">
        <v>19.5</v>
      </c>
      <c r="J591" s="4" t="n">
        <f aca="true">-LN(RAND())/B591</f>
        <v>2.16390184779736</v>
      </c>
      <c r="K591" s="4" t="n">
        <f aca="false">K590+J591</f>
        <v>5449.97282074639</v>
      </c>
      <c r="L591" s="4" t="n">
        <f aca="false">(1/$J$4)*(1+AB590)</f>
        <v>10</v>
      </c>
      <c r="M591" s="4" t="n">
        <f aca="false">L591+MAX(K591,Y$10:Y590)</f>
        <v>6038.82985076217</v>
      </c>
      <c r="N591" s="4" t="n">
        <f aca="false">K591</f>
        <v>5449.97282074639</v>
      </c>
      <c r="O591" s="4" t="n">
        <f aca="false">M591-K591</f>
        <v>588.857030015777</v>
      </c>
      <c r="P591" s="4" t="n">
        <f aca="false">N591-K591</f>
        <v>0</v>
      </c>
      <c r="Q591" s="4" t="n">
        <f aca="false">A591-MATCH(K591,$M$9:M590,1)</f>
        <v>58</v>
      </c>
      <c r="R591" s="0" t="n">
        <f aca="false">-G591*(O591/3600)</f>
        <v>-1.90908833946128</v>
      </c>
      <c r="S591" s="0" t="n">
        <f aca="false">-1*I591-(H591*(P591/3600))</f>
        <v>-19.5</v>
      </c>
      <c r="T591" s="0" t="n">
        <f aca="false">-H591*(O591/3600)</f>
        <v>-1.67810247366464</v>
      </c>
      <c r="U591" s="0" t="n">
        <f aca="false">T591-S591</f>
        <v>17.8218975263354</v>
      </c>
      <c r="V591" s="0" t="n">
        <f aca="false">1/(1+EXP(U591))</f>
        <v>1.8199029935446E-008</v>
      </c>
      <c r="W591" s="0" t="n">
        <f aca="true">RAND()</f>
        <v>0.340565174291683</v>
      </c>
      <c r="X591" s="0" t="n">
        <f aca="false">IF(W591&lt;V591,1,0)</f>
        <v>0</v>
      </c>
      <c r="Y591" s="0" t="n">
        <f aca="false">(M591*(1-X591)+N591*X591)*D591+M591*E591</f>
        <v>6038.82985076217</v>
      </c>
      <c r="Z591" s="0" t="n">
        <f aca="false">((1-X591)*O591+X591*P591)*D591+E591*O591</f>
        <v>588.857030015777</v>
      </c>
      <c r="AA591" s="0" t="n">
        <f aca="false">IF(D591*X591&gt;0,AA590,Q591)</f>
        <v>58</v>
      </c>
      <c r="AB591" s="0" t="n">
        <f aca="false">(X591*D591)</f>
        <v>0</v>
      </c>
      <c r="AC591" s="0" t="n">
        <f aca="false">SUM(AB$10:AB590)/K591</f>
        <v>0</v>
      </c>
      <c r="AD591" s="0" t="n">
        <f aca="false">R591*E591+D591*(X591*S591+(1-X591)*T591)</f>
        <v>-1.90908833946128</v>
      </c>
      <c r="AE591" s="0" t="n">
        <f aca="false">Z591</f>
        <v>588.857030015777</v>
      </c>
      <c r="AF591" s="0" t="n">
        <f aca="false">E591*O591</f>
        <v>588.857030015777</v>
      </c>
      <c r="AG591" s="0" t="n">
        <f aca="false">((1-X591)*O591+X591*P591)*D591</f>
        <v>0</v>
      </c>
      <c r="AH591" s="0" t="n">
        <f aca="false">D591*(LN(EXP(S591)+EXP(T591)))</f>
        <v>-0</v>
      </c>
      <c r="AJ591" s="0" t="n">
        <f aca="false">$J$5</f>
        <v>10</v>
      </c>
      <c r="AK591" s="4" t="n">
        <f aca="false">AJ591+MAX(K591,AK$10:AK590)</f>
        <v>6038.82985076217</v>
      </c>
      <c r="AL591" s="5" t="n">
        <f aca="false">AK591-K591</f>
        <v>588.857030015777</v>
      </c>
      <c r="AM591" s="0" t="n">
        <f aca="false">-G591*AL591/3600</f>
        <v>-1.90908833946128</v>
      </c>
      <c r="AN591" s="0" t="n">
        <f aca="false">-H591*AL591/3600</f>
        <v>-1.67810247366464</v>
      </c>
      <c r="AO591" s="0" t="n">
        <f aca="false">AM591*E591+AN591*D591</f>
        <v>-1.90908833946128</v>
      </c>
      <c r="AP591" s="0" t="n">
        <f aca="false">AL591*D591</f>
        <v>0</v>
      </c>
      <c r="AR591" s="0" t="n">
        <f aca="false">AN591*D591</f>
        <v>-0</v>
      </c>
      <c r="AS591" s="0" t="n">
        <f aca="false">AH591-AR591</f>
        <v>0</v>
      </c>
    </row>
    <row r="592" customFormat="false" ht="12" hidden="false" customHeight="false" outlineLevel="0" collapsed="false">
      <c r="A592" s="3" t="n">
        <f aca="false">A591+1</f>
        <v>583</v>
      </c>
      <c r="B592" s="3" t="n">
        <f aca="false">IF(A592&lt;$N$4/3,0.1,(IF(A592&gt;2*$N$4/3,0.05,0.12)))</f>
        <v>0.12</v>
      </c>
      <c r="C592" s="4" t="n">
        <f aca="true">RAND()</f>
        <v>0.414092425768716</v>
      </c>
      <c r="D592" s="0" t="n">
        <f aca="false">IF((C592&gt;$M$2),1,0)</f>
        <v>0</v>
      </c>
      <c r="E592" s="0" t="n">
        <f aca="false">1-D592</f>
        <v>1</v>
      </c>
      <c r="F592" s="0" t="n">
        <f aca="true">RAND()</f>
        <v>0.257705100748505</v>
      </c>
      <c r="G592" s="0" t="n">
        <f aca="false">7.75+F592*10</f>
        <v>10.327051007485</v>
      </c>
      <c r="H592" s="0" t="n">
        <f aca="false">LOGINV(F592,2.64,1.139)</f>
        <v>6.68023148814013</v>
      </c>
      <c r="I592" s="0" t="n">
        <v>19.5</v>
      </c>
      <c r="J592" s="4" t="n">
        <f aca="true">-LN(RAND())/B592</f>
        <v>4.43426559949895</v>
      </c>
      <c r="K592" s="4" t="n">
        <f aca="false">K591+J592</f>
        <v>5454.40708634589</v>
      </c>
      <c r="L592" s="4" t="n">
        <f aca="false">(1/$J$4)*(1+AB591)</f>
        <v>10</v>
      </c>
      <c r="M592" s="4" t="n">
        <f aca="false">L592+MAX(K592,Y$10:Y591)</f>
        <v>6048.82985076217</v>
      </c>
      <c r="N592" s="4" t="n">
        <f aca="false">K592</f>
        <v>5454.40708634589</v>
      </c>
      <c r="O592" s="4" t="n">
        <f aca="false">M592-K592</f>
        <v>594.422764416278</v>
      </c>
      <c r="P592" s="4" t="n">
        <f aca="false">N592-K592</f>
        <v>0</v>
      </c>
      <c r="Q592" s="4" t="n">
        <f aca="false">A592-MATCH(K592,$M$9:M591,1)</f>
        <v>59</v>
      </c>
      <c r="R592" s="0" t="n">
        <f aca="false">-G592*(O592/3600)</f>
        <v>-1.70517616892699</v>
      </c>
      <c r="S592" s="0" t="n">
        <f aca="false">-1*I592-(H592*(P592/3600))</f>
        <v>-19.5</v>
      </c>
      <c r="T592" s="0" t="n">
        <f aca="false">-H592*(O592/3600)</f>
        <v>-1.10302268558915</v>
      </c>
      <c r="U592" s="0" t="n">
        <f aca="false">T592-S592</f>
        <v>18.3969773144109</v>
      </c>
      <c r="V592" s="0" t="n">
        <f aca="false">1/(1+EXP(U592))</f>
        <v>1.02398657819672E-008</v>
      </c>
      <c r="W592" s="0" t="n">
        <f aca="true">RAND()</f>
        <v>0.705489022233246</v>
      </c>
      <c r="X592" s="0" t="n">
        <f aca="false">IF(W592&lt;V592,1,0)</f>
        <v>0</v>
      </c>
      <c r="Y592" s="0" t="n">
        <f aca="false">(M592*(1-X592)+N592*X592)*D592+M592*E592</f>
        <v>6048.82985076217</v>
      </c>
      <c r="Z592" s="0" t="n">
        <f aca="false">((1-X592)*O592+X592*P592)*D592+E592*O592</f>
        <v>594.422764416278</v>
      </c>
      <c r="AA592" s="0" t="n">
        <f aca="false">IF(D592*X592&gt;0,AA591,Q592)</f>
        <v>59</v>
      </c>
      <c r="AB592" s="0" t="n">
        <f aca="false">(X592*D592)</f>
        <v>0</v>
      </c>
      <c r="AC592" s="0" t="n">
        <f aca="false">SUM(AB$10:AB591)/K592</f>
        <v>0</v>
      </c>
      <c r="AD592" s="0" t="n">
        <f aca="false">R592*E592+D592*(X592*S592+(1-X592)*T592)</f>
        <v>-1.70517616892699</v>
      </c>
      <c r="AE592" s="0" t="n">
        <f aca="false">Z592</f>
        <v>594.422764416278</v>
      </c>
      <c r="AF592" s="0" t="n">
        <f aca="false">E592*O592</f>
        <v>594.422764416278</v>
      </c>
      <c r="AG592" s="0" t="n">
        <f aca="false">((1-X592)*O592+X592*P592)*D592</f>
        <v>0</v>
      </c>
      <c r="AH592" s="0" t="n">
        <f aca="false">D592*(LN(EXP(S592)+EXP(T592)))</f>
        <v>-0</v>
      </c>
      <c r="AJ592" s="0" t="n">
        <f aca="false">$J$5</f>
        <v>10</v>
      </c>
      <c r="AK592" s="4" t="n">
        <f aca="false">AJ592+MAX(K592,AK$10:AK591)</f>
        <v>6048.82985076217</v>
      </c>
      <c r="AL592" s="5" t="n">
        <f aca="false">AK592-K592</f>
        <v>594.422764416278</v>
      </c>
      <c r="AM592" s="0" t="n">
        <f aca="false">-G592*AL592/3600</f>
        <v>-1.70517616892699</v>
      </c>
      <c r="AN592" s="0" t="n">
        <f aca="false">-H592*AL592/3600</f>
        <v>-1.10302268558915</v>
      </c>
      <c r="AO592" s="0" t="n">
        <f aca="false">AM592*E592+AN592*D592</f>
        <v>-1.70517616892699</v>
      </c>
      <c r="AP592" s="0" t="n">
        <f aca="false">AL592*D592</f>
        <v>0</v>
      </c>
      <c r="AR592" s="0" t="n">
        <f aca="false">AN592*D592</f>
        <v>-0</v>
      </c>
      <c r="AS592" s="0" t="n">
        <f aca="false">AH592-AR592</f>
        <v>0</v>
      </c>
    </row>
    <row r="593" customFormat="false" ht="12" hidden="false" customHeight="false" outlineLevel="0" collapsed="false">
      <c r="A593" s="3" t="n">
        <f aca="false">A592+1</f>
        <v>584</v>
      </c>
      <c r="B593" s="3" t="n">
        <f aca="false">IF(A593&lt;$N$4/3,0.1,(IF(A593&gt;2*$N$4/3,0.05,0.12)))</f>
        <v>0.12</v>
      </c>
      <c r="C593" s="4" t="n">
        <f aca="true">RAND()</f>
        <v>0.673112940101859</v>
      </c>
      <c r="D593" s="0" t="n">
        <f aca="false">IF((C593&gt;$M$2),1,0)</f>
        <v>0</v>
      </c>
      <c r="E593" s="0" t="n">
        <f aca="false">1-D593</f>
        <v>1</v>
      </c>
      <c r="F593" s="0" t="n">
        <f aca="true">RAND()</f>
        <v>0.0969555193946084</v>
      </c>
      <c r="G593" s="0" t="n">
        <f aca="false">7.75+F593*10</f>
        <v>8.71955519394608</v>
      </c>
      <c r="H593" s="0" t="n">
        <f aca="false">LOGINV(F593,2.64,1.139)</f>
        <v>3.19098559271029</v>
      </c>
      <c r="I593" s="0" t="n">
        <v>19.5</v>
      </c>
      <c r="J593" s="4" t="n">
        <f aca="true">-LN(RAND())/B593</f>
        <v>0.930190536574665</v>
      </c>
      <c r="K593" s="4" t="n">
        <f aca="false">K592+J593</f>
        <v>5455.33727688247</v>
      </c>
      <c r="L593" s="4" t="n">
        <f aca="false">(1/$J$4)*(1+AB592)</f>
        <v>10</v>
      </c>
      <c r="M593" s="4" t="n">
        <f aca="false">L593+MAX(K593,Y$10:Y592)</f>
        <v>6058.82985076217</v>
      </c>
      <c r="N593" s="4" t="n">
        <f aca="false">K593</f>
        <v>5455.33727688247</v>
      </c>
      <c r="O593" s="4" t="n">
        <f aca="false">M593-K593</f>
        <v>603.492573879704</v>
      </c>
      <c r="P593" s="4" t="n">
        <f aca="false">N593-K593</f>
        <v>0</v>
      </c>
      <c r="Q593" s="4" t="n">
        <f aca="false">A593-MATCH(K593,$M$9:M592,1)</f>
        <v>60</v>
      </c>
      <c r="R593" s="0" t="n">
        <f aca="false">-G593*(O593/3600)</f>
        <v>-1.46171855752241</v>
      </c>
      <c r="S593" s="0" t="n">
        <f aca="false">-1*I593-(H593*(P593/3600))</f>
        <v>-19.5</v>
      </c>
      <c r="T593" s="0" t="n">
        <f aca="false">-H593*(O593/3600)</f>
        <v>-0.534926696821607</v>
      </c>
      <c r="U593" s="0" t="n">
        <f aca="false">T593-S593</f>
        <v>18.9650733031784</v>
      </c>
      <c r="V593" s="0" t="n">
        <f aca="false">1/(1+EXP(U593))</f>
        <v>5.80194106513167E-009</v>
      </c>
      <c r="W593" s="0" t="n">
        <f aca="true">RAND()</f>
        <v>0.000326035925905192</v>
      </c>
      <c r="X593" s="0" t="n">
        <f aca="false">IF(W593&lt;V593,1,0)</f>
        <v>0</v>
      </c>
      <c r="Y593" s="0" t="n">
        <f aca="false">(M593*(1-X593)+N593*X593)*D593+M593*E593</f>
        <v>6058.82985076217</v>
      </c>
      <c r="Z593" s="0" t="n">
        <f aca="false">((1-X593)*O593+X593*P593)*D593+E593*O593</f>
        <v>603.492573879704</v>
      </c>
      <c r="AA593" s="0" t="n">
        <f aca="false">IF(D593*X593&gt;0,AA592,Q593)</f>
        <v>60</v>
      </c>
      <c r="AB593" s="0" t="n">
        <f aca="false">(X593*D593)</f>
        <v>0</v>
      </c>
      <c r="AC593" s="0" t="n">
        <f aca="false">SUM(AB$10:AB592)/K593</f>
        <v>0</v>
      </c>
      <c r="AD593" s="0" t="n">
        <f aca="false">R593*E593+D593*(X593*S593+(1-X593)*T593)</f>
        <v>-1.46171855752241</v>
      </c>
      <c r="AE593" s="0" t="n">
        <f aca="false">Z593</f>
        <v>603.492573879704</v>
      </c>
      <c r="AF593" s="0" t="n">
        <f aca="false">E593*O593</f>
        <v>603.492573879704</v>
      </c>
      <c r="AG593" s="0" t="n">
        <f aca="false">((1-X593)*O593+X593*P593)*D593</f>
        <v>0</v>
      </c>
      <c r="AH593" s="0" t="n">
        <f aca="false">D593*(LN(EXP(S593)+EXP(T593)))</f>
        <v>-0</v>
      </c>
      <c r="AJ593" s="0" t="n">
        <f aca="false">$J$5</f>
        <v>10</v>
      </c>
      <c r="AK593" s="4" t="n">
        <f aca="false">AJ593+MAX(K593,AK$10:AK592)</f>
        <v>6058.82985076217</v>
      </c>
      <c r="AL593" s="5" t="n">
        <f aca="false">AK593-K593</f>
        <v>603.492573879704</v>
      </c>
      <c r="AM593" s="0" t="n">
        <f aca="false">-G593*AL593/3600</f>
        <v>-1.46171855752241</v>
      </c>
      <c r="AN593" s="0" t="n">
        <f aca="false">-H593*AL593/3600</f>
        <v>-0.534926696821607</v>
      </c>
      <c r="AO593" s="0" t="n">
        <f aca="false">AM593*E593+AN593*D593</f>
        <v>-1.46171855752241</v>
      </c>
      <c r="AP593" s="0" t="n">
        <f aca="false">AL593*D593</f>
        <v>0</v>
      </c>
      <c r="AR593" s="0" t="n">
        <f aca="false">AN593*D593</f>
        <v>-0</v>
      </c>
      <c r="AS593" s="0" t="n">
        <f aca="false">AH593-AR593</f>
        <v>0</v>
      </c>
    </row>
    <row r="594" customFormat="false" ht="12" hidden="false" customHeight="false" outlineLevel="0" collapsed="false">
      <c r="A594" s="3" t="n">
        <f aca="false">A593+1</f>
        <v>585</v>
      </c>
      <c r="B594" s="3" t="n">
        <f aca="false">IF(A594&lt;$N$4/3,0.1,(IF(A594&gt;2*$N$4/3,0.05,0.12)))</f>
        <v>0.12</v>
      </c>
      <c r="C594" s="4" t="n">
        <f aca="true">RAND()</f>
        <v>0.674073276903656</v>
      </c>
      <c r="D594" s="0" t="n">
        <f aca="false">IF((C594&gt;$M$2),1,0)</f>
        <v>0</v>
      </c>
      <c r="E594" s="0" t="n">
        <f aca="false">1-D594</f>
        <v>1</v>
      </c>
      <c r="F594" s="0" t="n">
        <f aca="true">RAND()</f>
        <v>0.17571691440939</v>
      </c>
      <c r="G594" s="0" t="n">
        <f aca="false">7.75+F594*10</f>
        <v>9.5071691440939</v>
      </c>
      <c r="H594" s="0" t="n">
        <f aca="false">LOGINV(F594,2.64,1.139)</f>
        <v>4.84848572037502</v>
      </c>
      <c r="I594" s="0" t="n">
        <v>19.5</v>
      </c>
      <c r="J594" s="4" t="n">
        <f aca="true">-LN(RAND())/B594</f>
        <v>7.37320707898423</v>
      </c>
      <c r="K594" s="4" t="n">
        <f aca="false">K593+J594</f>
        <v>5462.71048396145</v>
      </c>
      <c r="L594" s="4" t="n">
        <f aca="false">(1/$J$4)*(1+AB593)</f>
        <v>10</v>
      </c>
      <c r="M594" s="4" t="n">
        <f aca="false">L594+MAX(K594,Y$10:Y593)</f>
        <v>6068.82985076217</v>
      </c>
      <c r="N594" s="4" t="n">
        <f aca="false">K594</f>
        <v>5462.71048396145</v>
      </c>
      <c r="O594" s="4" t="n">
        <f aca="false">M594-K594</f>
        <v>606.11936680072</v>
      </c>
      <c r="P594" s="4" t="n">
        <f aca="false">N594-K594</f>
        <v>0</v>
      </c>
      <c r="Q594" s="4" t="n">
        <f aca="false">A594-MATCH(K594,$M$9:M593,1)</f>
        <v>60</v>
      </c>
      <c r="R594" s="0" t="n">
        <f aca="false">-G594*(O594/3600)</f>
        <v>-1.60068870602376</v>
      </c>
      <c r="S594" s="0" t="n">
        <f aca="false">-1*I594-(H594*(P594/3600))</f>
        <v>-19.5</v>
      </c>
      <c r="T594" s="0" t="n">
        <f aca="false">-H594*(O594/3600)</f>
        <v>-0.816322526326678</v>
      </c>
      <c r="U594" s="0" t="n">
        <f aca="false">T594-S594</f>
        <v>18.6836774736733</v>
      </c>
      <c r="V594" s="0" t="n">
        <f aca="false">1/(1+EXP(U594))</f>
        <v>7.68744405406109E-009</v>
      </c>
      <c r="W594" s="0" t="n">
        <f aca="true">RAND()</f>
        <v>0.5626937413867</v>
      </c>
      <c r="X594" s="0" t="n">
        <f aca="false">IF(W594&lt;V594,1,0)</f>
        <v>0</v>
      </c>
      <c r="Y594" s="0" t="n">
        <f aca="false">(M594*(1-X594)+N594*X594)*D594+M594*E594</f>
        <v>6068.82985076217</v>
      </c>
      <c r="Z594" s="0" t="n">
        <f aca="false">((1-X594)*O594+X594*P594)*D594+E594*O594</f>
        <v>606.11936680072</v>
      </c>
      <c r="AA594" s="0" t="n">
        <f aca="false">IF(D594*X594&gt;0,AA593,Q594)</f>
        <v>60</v>
      </c>
      <c r="AB594" s="0" t="n">
        <f aca="false">(X594*D594)</f>
        <v>0</v>
      </c>
      <c r="AC594" s="0" t="n">
        <f aca="false">SUM(AB$10:AB593)/K594</f>
        <v>0</v>
      </c>
      <c r="AD594" s="0" t="n">
        <f aca="false">R594*E594+D594*(X594*S594+(1-X594)*T594)</f>
        <v>-1.60068870602376</v>
      </c>
      <c r="AE594" s="0" t="n">
        <f aca="false">Z594</f>
        <v>606.11936680072</v>
      </c>
      <c r="AF594" s="0" t="n">
        <f aca="false">E594*O594</f>
        <v>606.11936680072</v>
      </c>
      <c r="AG594" s="0" t="n">
        <f aca="false">((1-X594)*O594+X594*P594)*D594</f>
        <v>0</v>
      </c>
      <c r="AH594" s="0" t="n">
        <f aca="false">D594*(LN(EXP(S594)+EXP(T594)))</f>
        <v>-0</v>
      </c>
      <c r="AJ594" s="0" t="n">
        <f aca="false">$J$5</f>
        <v>10</v>
      </c>
      <c r="AK594" s="4" t="n">
        <f aca="false">AJ594+MAX(K594,AK$10:AK593)</f>
        <v>6068.82985076217</v>
      </c>
      <c r="AL594" s="5" t="n">
        <f aca="false">AK594-K594</f>
        <v>606.11936680072</v>
      </c>
      <c r="AM594" s="0" t="n">
        <f aca="false">-G594*AL594/3600</f>
        <v>-1.60068870602376</v>
      </c>
      <c r="AN594" s="0" t="n">
        <f aca="false">-H594*AL594/3600</f>
        <v>-0.816322526326678</v>
      </c>
      <c r="AO594" s="0" t="n">
        <f aca="false">AM594*E594+AN594*D594</f>
        <v>-1.60068870602376</v>
      </c>
      <c r="AP594" s="0" t="n">
        <f aca="false">AL594*D594</f>
        <v>0</v>
      </c>
      <c r="AR594" s="0" t="n">
        <f aca="false">AN594*D594</f>
        <v>-0</v>
      </c>
      <c r="AS594" s="0" t="n">
        <f aca="false">AH594-AR594</f>
        <v>0</v>
      </c>
    </row>
    <row r="595" customFormat="false" ht="12" hidden="false" customHeight="false" outlineLevel="0" collapsed="false">
      <c r="A595" s="3" t="n">
        <f aca="false">A594+1</f>
        <v>586</v>
      </c>
      <c r="B595" s="3" t="n">
        <f aca="false">IF(A595&lt;$N$4/3,0.1,(IF(A595&gt;2*$N$4/3,0.05,0.12)))</f>
        <v>0.12</v>
      </c>
      <c r="C595" s="4" t="n">
        <f aca="true">RAND()</f>
        <v>0.110627245662489</v>
      </c>
      <c r="D595" s="0" t="n">
        <f aca="false">IF((C595&gt;$M$2),1,0)</f>
        <v>0</v>
      </c>
      <c r="E595" s="0" t="n">
        <f aca="false">1-D595</f>
        <v>1</v>
      </c>
      <c r="F595" s="0" t="n">
        <f aca="true">RAND()</f>
        <v>0.851822612462201</v>
      </c>
      <c r="G595" s="0" t="n">
        <f aca="false">7.75+F595*10</f>
        <v>16.268226124622</v>
      </c>
      <c r="H595" s="0" t="n">
        <f aca="false">LOGINV(F595,2.64,1.139)</f>
        <v>46.0366399395601</v>
      </c>
      <c r="I595" s="0" t="n">
        <v>19.5</v>
      </c>
      <c r="J595" s="4" t="n">
        <f aca="true">-LN(RAND())/B595</f>
        <v>5.54576966088193</v>
      </c>
      <c r="K595" s="4" t="n">
        <f aca="false">K594+J595</f>
        <v>5468.25625362233</v>
      </c>
      <c r="L595" s="4" t="n">
        <f aca="false">(1/$J$4)*(1+AB594)</f>
        <v>10</v>
      </c>
      <c r="M595" s="4" t="n">
        <f aca="false">L595+MAX(K595,Y$10:Y594)</f>
        <v>6078.82985076217</v>
      </c>
      <c r="N595" s="4" t="n">
        <f aca="false">K595</f>
        <v>5468.25625362233</v>
      </c>
      <c r="O595" s="4" t="n">
        <f aca="false">M595-K595</f>
        <v>610.573597139838</v>
      </c>
      <c r="P595" s="4" t="n">
        <f aca="false">N595-K595</f>
        <v>0</v>
      </c>
      <c r="Q595" s="4" t="n">
        <f aca="false">A595-MATCH(K595,$M$9:M594,1)</f>
        <v>61</v>
      </c>
      <c r="R595" s="0" t="n">
        <f aca="false">-G595*(O595/3600)</f>
        <v>-2.7591525955541</v>
      </c>
      <c r="S595" s="0" t="n">
        <f aca="false">-1*I595-(H595*(P595/3600))</f>
        <v>-19.5</v>
      </c>
      <c r="T595" s="0" t="n">
        <f aca="false">-H595*(O595/3600)</f>
        <v>-7.8079880133691</v>
      </c>
      <c r="U595" s="0" t="n">
        <f aca="false">T595-S595</f>
        <v>11.6920119866309</v>
      </c>
      <c r="V595" s="0" t="n">
        <f aca="false">1/(1+EXP(U595))</f>
        <v>8.36026571792854E-006</v>
      </c>
      <c r="W595" s="0" t="n">
        <f aca="true">RAND()</f>
        <v>0.016502984286917</v>
      </c>
      <c r="X595" s="0" t="n">
        <f aca="false">IF(W595&lt;V595,1,0)</f>
        <v>0</v>
      </c>
      <c r="Y595" s="0" t="n">
        <f aca="false">(M595*(1-X595)+N595*X595)*D595+M595*E595</f>
        <v>6078.82985076217</v>
      </c>
      <c r="Z595" s="0" t="n">
        <f aca="false">((1-X595)*O595+X595*P595)*D595+E595*O595</f>
        <v>610.573597139838</v>
      </c>
      <c r="AA595" s="0" t="n">
        <f aca="false">IF(D595*X595&gt;0,AA594,Q595)</f>
        <v>61</v>
      </c>
      <c r="AB595" s="0" t="n">
        <f aca="false">(X595*D595)</f>
        <v>0</v>
      </c>
      <c r="AC595" s="0" t="n">
        <f aca="false">SUM(AB$10:AB594)/K595</f>
        <v>0</v>
      </c>
      <c r="AD595" s="0" t="n">
        <f aca="false">R595*E595+D595*(X595*S595+(1-X595)*T595)</f>
        <v>-2.7591525955541</v>
      </c>
      <c r="AE595" s="0" t="n">
        <f aca="false">Z595</f>
        <v>610.573597139838</v>
      </c>
      <c r="AF595" s="0" t="n">
        <f aca="false">E595*O595</f>
        <v>610.573597139838</v>
      </c>
      <c r="AG595" s="0" t="n">
        <f aca="false">((1-X595)*O595+X595*P595)*D595</f>
        <v>0</v>
      </c>
      <c r="AH595" s="0" t="n">
        <f aca="false">D595*(LN(EXP(S595)+EXP(T595)))</f>
        <v>-0</v>
      </c>
      <c r="AJ595" s="0" t="n">
        <f aca="false">$J$5</f>
        <v>10</v>
      </c>
      <c r="AK595" s="4" t="n">
        <f aca="false">AJ595+MAX(K595,AK$10:AK594)</f>
        <v>6078.82985076217</v>
      </c>
      <c r="AL595" s="5" t="n">
        <f aca="false">AK595-K595</f>
        <v>610.573597139838</v>
      </c>
      <c r="AM595" s="0" t="n">
        <f aca="false">-G595*AL595/3600</f>
        <v>-2.7591525955541</v>
      </c>
      <c r="AN595" s="0" t="n">
        <f aca="false">-H595*AL595/3600</f>
        <v>-7.8079880133691</v>
      </c>
      <c r="AO595" s="0" t="n">
        <f aca="false">AM595*E595+AN595*D595</f>
        <v>-2.7591525955541</v>
      </c>
      <c r="AP595" s="0" t="n">
        <f aca="false">AL595*D595</f>
        <v>0</v>
      </c>
      <c r="AR595" s="0" t="n">
        <f aca="false">AN595*D595</f>
        <v>-0</v>
      </c>
      <c r="AS595" s="0" t="n">
        <f aca="false">AH595-AR595</f>
        <v>0</v>
      </c>
    </row>
    <row r="596" customFormat="false" ht="12" hidden="false" customHeight="false" outlineLevel="0" collapsed="false">
      <c r="A596" s="3" t="n">
        <f aca="false">A595+1</f>
        <v>587</v>
      </c>
      <c r="B596" s="3" t="n">
        <f aca="false">IF(A596&lt;$N$4/3,0.1,(IF(A596&gt;2*$N$4/3,0.05,0.12)))</f>
        <v>0.12</v>
      </c>
      <c r="C596" s="4" t="n">
        <f aca="true">RAND()</f>
        <v>0.0420053949376338</v>
      </c>
      <c r="D596" s="0" t="n">
        <f aca="false">IF((C596&gt;$M$2),1,0)</f>
        <v>0</v>
      </c>
      <c r="E596" s="0" t="n">
        <f aca="false">1-D596</f>
        <v>1</v>
      </c>
      <c r="F596" s="0" t="n">
        <f aca="true">RAND()</f>
        <v>0.186068374269201</v>
      </c>
      <c r="G596" s="0" t="n">
        <f aca="false">7.75+F596*10</f>
        <v>9.61068374269201</v>
      </c>
      <c r="H596" s="0" t="n">
        <f aca="false">LOGINV(F596,2.64,1.139)</f>
        <v>5.0706422798088</v>
      </c>
      <c r="I596" s="0" t="n">
        <v>19.5</v>
      </c>
      <c r="J596" s="4" t="n">
        <f aca="true">-LN(RAND())/B596</f>
        <v>30.7531148945591</v>
      </c>
      <c r="K596" s="4" t="n">
        <f aca="false">K595+J596</f>
        <v>5499.00936851689</v>
      </c>
      <c r="L596" s="4" t="n">
        <f aca="false">(1/$J$4)*(1+AB595)</f>
        <v>10</v>
      </c>
      <c r="M596" s="4" t="n">
        <f aca="false">L596+MAX(K596,Y$10:Y595)</f>
        <v>6088.82985076217</v>
      </c>
      <c r="N596" s="4" t="n">
        <f aca="false">K596</f>
        <v>5499.00936851689</v>
      </c>
      <c r="O596" s="4" t="n">
        <f aca="false">M596-K596</f>
        <v>589.820482245279</v>
      </c>
      <c r="P596" s="4" t="n">
        <f aca="false">N596-K596</f>
        <v>0</v>
      </c>
      <c r="Q596" s="4" t="n">
        <f aca="false">A596-MATCH(K596,$M$9:M595,1)</f>
        <v>58</v>
      </c>
      <c r="R596" s="0" t="n">
        <f aca="false">-G596*(O596/3600)</f>
        <v>-1.57460503328374</v>
      </c>
      <c r="S596" s="0" t="n">
        <f aca="false">-1*I596-(H596*(P596/3600))</f>
        <v>-19.5</v>
      </c>
      <c r="T596" s="0" t="n">
        <f aca="false">-H596*(O596/3600)</f>
        <v>-0.830769076325036</v>
      </c>
      <c r="U596" s="0" t="n">
        <f aca="false">T596-S596</f>
        <v>18.669230923675</v>
      </c>
      <c r="V596" s="0" t="n">
        <f aca="false">1/(1+EXP(U596))</f>
        <v>7.7993071706293E-009</v>
      </c>
      <c r="W596" s="0" t="n">
        <f aca="true">RAND()</f>
        <v>0.575190485174639</v>
      </c>
      <c r="X596" s="0" t="n">
        <f aca="false">IF(W596&lt;V596,1,0)</f>
        <v>0</v>
      </c>
      <c r="Y596" s="0" t="n">
        <f aca="false">(M596*(1-X596)+N596*X596)*D596+M596*E596</f>
        <v>6088.82985076217</v>
      </c>
      <c r="Z596" s="0" t="n">
        <f aca="false">((1-X596)*O596+X596*P596)*D596+E596*O596</f>
        <v>589.820482245279</v>
      </c>
      <c r="AA596" s="0" t="n">
        <f aca="false">IF(D596*X596&gt;0,AA595,Q596)</f>
        <v>58</v>
      </c>
      <c r="AB596" s="0" t="n">
        <f aca="false">(X596*D596)</f>
        <v>0</v>
      </c>
      <c r="AC596" s="0" t="n">
        <f aca="false">SUM(AB$10:AB595)/K596</f>
        <v>0</v>
      </c>
      <c r="AD596" s="0" t="n">
        <f aca="false">R596*E596+D596*(X596*S596+(1-X596)*T596)</f>
        <v>-1.57460503328374</v>
      </c>
      <c r="AE596" s="0" t="n">
        <f aca="false">Z596</f>
        <v>589.820482245279</v>
      </c>
      <c r="AF596" s="0" t="n">
        <f aca="false">E596*O596</f>
        <v>589.820482245279</v>
      </c>
      <c r="AG596" s="0" t="n">
        <f aca="false">((1-X596)*O596+X596*P596)*D596</f>
        <v>0</v>
      </c>
      <c r="AH596" s="0" t="n">
        <f aca="false">D596*(LN(EXP(S596)+EXP(T596)))</f>
        <v>-0</v>
      </c>
      <c r="AJ596" s="0" t="n">
        <f aca="false">$J$5</f>
        <v>10</v>
      </c>
      <c r="AK596" s="4" t="n">
        <f aca="false">AJ596+MAX(K596,AK$10:AK595)</f>
        <v>6088.82985076217</v>
      </c>
      <c r="AL596" s="5" t="n">
        <f aca="false">AK596-K596</f>
        <v>589.820482245279</v>
      </c>
      <c r="AM596" s="0" t="n">
        <f aca="false">-G596*AL596/3600</f>
        <v>-1.57460503328374</v>
      </c>
      <c r="AN596" s="0" t="n">
        <f aca="false">-H596*AL596/3600</f>
        <v>-0.830769076325036</v>
      </c>
      <c r="AO596" s="0" t="n">
        <f aca="false">AM596*E596+AN596*D596</f>
        <v>-1.57460503328374</v>
      </c>
      <c r="AP596" s="0" t="n">
        <f aca="false">AL596*D596</f>
        <v>0</v>
      </c>
      <c r="AR596" s="0" t="n">
        <f aca="false">AN596*D596</f>
        <v>-0</v>
      </c>
      <c r="AS596" s="0" t="n">
        <f aca="false">AH596-AR596</f>
        <v>0</v>
      </c>
    </row>
    <row r="597" customFormat="false" ht="12" hidden="false" customHeight="false" outlineLevel="0" collapsed="false">
      <c r="A597" s="3" t="n">
        <f aca="false">A596+1</f>
        <v>588</v>
      </c>
      <c r="B597" s="3" t="n">
        <f aca="false">IF(A597&lt;$N$4/3,0.1,(IF(A597&gt;2*$N$4/3,0.05,0.12)))</f>
        <v>0.12</v>
      </c>
      <c r="C597" s="4" t="n">
        <f aca="true">RAND()</f>
        <v>0.440400423573642</v>
      </c>
      <c r="D597" s="0" t="n">
        <f aca="false">IF((C597&gt;$M$2),1,0)</f>
        <v>0</v>
      </c>
      <c r="E597" s="0" t="n">
        <f aca="false">1-D597</f>
        <v>1</v>
      </c>
      <c r="F597" s="0" t="n">
        <f aca="true">RAND()</f>
        <v>0.247457187023457</v>
      </c>
      <c r="G597" s="0" t="n">
        <f aca="false">7.75+F597*10</f>
        <v>10.2245718702346</v>
      </c>
      <c r="H597" s="0" t="n">
        <f aca="false">LOGINV(F597,2.64,1.139)</f>
        <v>6.44057125309528</v>
      </c>
      <c r="I597" s="0" t="n">
        <v>19.5</v>
      </c>
      <c r="J597" s="4" t="n">
        <f aca="true">-LN(RAND())/B597</f>
        <v>3.95498519917109</v>
      </c>
      <c r="K597" s="4" t="n">
        <f aca="false">K596+J597</f>
        <v>5502.96435371606</v>
      </c>
      <c r="L597" s="4" t="n">
        <f aca="false">(1/$J$4)*(1+AB596)</f>
        <v>10</v>
      </c>
      <c r="M597" s="4" t="n">
        <f aca="false">L597+MAX(K597,Y$10:Y596)</f>
        <v>6098.82985076217</v>
      </c>
      <c r="N597" s="4" t="n">
        <f aca="false">K597</f>
        <v>5502.96435371606</v>
      </c>
      <c r="O597" s="4" t="n">
        <f aca="false">M597-K597</f>
        <v>595.865497046108</v>
      </c>
      <c r="P597" s="4" t="n">
        <f aca="false">N597-K597</f>
        <v>0</v>
      </c>
      <c r="Q597" s="4" t="n">
        <f aca="false">A597-MATCH(K597,$M$9:M596,1)</f>
        <v>59</v>
      </c>
      <c r="R597" s="0" t="n">
        <f aca="false">-G597*(O597/3600)</f>
        <v>-1.69235266653916</v>
      </c>
      <c r="S597" s="0" t="n">
        <f aca="false">-1*I597-(H597*(P597/3600))</f>
        <v>-19.5</v>
      </c>
      <c r="T597" s="0" t="n">
        <f aca="false">-H597*(O597/3600)</f>
        <v>-1.06603171971847</v>
      </c>
      <c r="U597" s="0" t="n">
        <f aca="false">T597-S597</f>
        <v>18.4339682802815</v>
      </c>
      <c r="V597" s="0" t="n">
        <f aca="false">1/(1+EXP(U597))</f>
        <v>9.86800343534515E-009</v>
      </c>
      <c r="W597" s="0" t="n">
        <f aca="true">RAND()</f>
        <v>0.856667170726696</v>
      </c>
      <c r="X597" s="0" t="n">
        <f aca="false">IF(W597&lt;V597,1,0)</f>
        <v>0</v>
      </c>
      <c r="Y597" s="0" t="n">
        <f aca="false">(M597*(1-X597)+N597*X597)*D597+M597*E597</f>
        <v>6098.82985076217</v>
      </c>
      <c r="Z597" s="0" t="n">
        <f aca="false">((1-X597)*O597+X597*P597)*D597+E597*O597</f>
        <v>595.865497046108</v>
      </c>
      <c r="AA597" s="0" t="n">
        <f aca="false">IF(D597*X597&gt;0,AA596,Q597)</f>
        <v>59</v>
      </c>
      <c r="AB597" s="0" t="n">
        <f aca="false">(X597*D597)</f>
        <v>0</v>
      </c>
      <c r="AC597" s="0" t="n">
        <f aca="false">SUM(AB$10:AB596)/K597</f>
        <v>0</v>
      </c>
      <c r="AD597" s="0" t="n">
        <f aca="false">R597*E597+D597*(X597*S597+(1-X597)*T597)</f>
        <v>-1.69235266653916</v>
      </c>
      <c r="AE597" s="0" t="n">
        <f aca="false">Z597</f>
        <v>595.865497046108</v>
      </c>
      <c r="AF597" s="0" t="n">
        <f aca="false">E597*O597</f>
        <v>595.865497046108</v>
      </c>
      <c r="AG597" s="0" t="n">
        <f aca="false">((1-X597)*O597+X597*P597)*D597</f>
        <v>0</v>
      </c>
      <c r="AH597" s="0" t="n">
        <f aca="false">D597*(LN(EXP(S597)+EXP(T597)))</f>
        <v>-0</v>
      </c>
      <c r="AJ597" s="0" t="n">
        <f aca="false">$J$5</f>
        <v>10</v>
      </c>
      <c r="AK597" s="4" t="n">
        <f aca="false">AJ597+MAX(K597,AK$10:AK596)</f>
        <v>6098.82985076217</v>
      </c>
      <c r="AL597" s="5" t="n">
        <f aca="false">AK597-K597</f>
        <v>595.865497046108</v>
      </c>
      <c r="AM597" s="0" t="n">
        <f aca="false">-G597*AL597/3600</f>
        <v>-1.69235266653916</v>
      </c>
      <c r="AN597" s="0" t="n">
        <f aca="false">-H597*AL597/3600</f>
        <v>-1.06603171971847</v>
      </c>
      <c r="AO597" s="0" t="n">
        <f aca="false">AM597*E597+AN597*D597</f>
        <v>-1.69235266653916</v>
      </c>
      <c r="AP597" s="0" t="n">
        <f aca="false">AL597*D597</f>
        <v>0</v>
      </c>
      <c r="AR597" s="0" t="n">
        <f aca="false">AN597*D597</f>
        <v>-0</v>
      </c>
      <c r="AS597" s="0" t="n">
        <f aca="false">AH597-AR597</f>
        <v>0</v>
      </c>
    </row>
    <row r="598" customFormat="false" ht="12" hidden="false" customHeight="false" outlineLevel="0" collapsed="false">
      <c r="A598" s="3" t="n">
        <f aca="false">A597+1</f>
        <v>589</v>
      </c>
      <c r="B598" s="3" t="n">
        <f aca="false">IF(A598&lt;$N$4/3,0.1,(IF(A598&gt;2*$N$4/3,0.05,0.12)))</f>
        <v>0.12</v>
      </c>
      <c r="C598" s="4" t="n">
        <f aca="true">RAND()</f>
        <v>0.83315786838493</v>
      </c>
      <c r="D598" s="0" t="n">
        <f aca="false">IF((C598&gt;$M$2),1,0)</f>
        <v>0</v>
      </c>
      <c r="E598" s="0" t="n">
        <f aca="false">1-D598</f>
        <v>1</v>
      </c>
      <c r="F598" s="0" t="n">
        <f aca="true">RAND()</f>
        <v>0.0560750029860769</v>
      </c>
      <c r="G598" s="0" t="n">
        <f aca="false">7.75+F598*10</f>
        <v>8.31075002986077</v>
      </c>
      <c r="H598" s="0" t="n">
        <f aca="false">LOGINV(F598,2.64,1.139)</f>
        <v>2.29465145063493</v>
      </c>
      <c r="I598" s="0" t="n">
        <v>19.5</v>
      </c>
      <c r="J598" s="4" t="n">
        <f aca="true">-LN(RAND())/B598</f>
        <v>0.00900793210663613</v>
      </c>
      <c r="K598" s="4" t="n">
        <f aca="false">K597+J598</f>
        <v>5502.97336164817</v>
      </c>
      <c r="L598" s="4" t="n">
        <f aca="false">(1/$J$4)*(1+AB597)</f>
        <v>10</v>
      </c>
      <c r="M598" s="4" t="n">
        <f aca="false">L598+MAX(K598,Y$10:Y597)</f>
        <v>6108.82985076217</v>
      </c>
      <c r="N598" s="4" t="n">
        <f aca="false">K598</f>
        <v>5502.97336164817</v>
      </c>
      <c r="O598" s="4" t="n">
        <f aca="false">M598-K598</f>
        <v>605.856489114001</v>
      </c>
      <c r="P598" s="4" t="n">
        <f aca="false">N598-K598</f>
        <v>0</v>
      </c>
      <c r="Q598" s="4" t="n">
        <f aca="false">A598-MATCH(K598,$M$9:M597,1)</f>
        <v>60</v>
      </c>
      <c r="R598" s="0" t="n">
        <f aca="false">-G598*(O598/3600)</f>
        <v>-1.39864495416542</v>
      </c>
      <c r="S598" s="0" t="n">
        <f aca="false">-1*I598-(H598*(P598/3600))</f>
        <v>-19.5</v>
      </c>
      <c r="T598" s="0" t="n">
        <f aca="false">-H598*(O598/3600)</f>
        <v>-0.386174853228341</v>
      </c>
      <c r="U598" s="0" t="n">
        <f aca="false">T598-S598</f>
        <v>19.1138251467717</v>
      </c>
      <c r="V598" s="0" t="n">
        <f aca="false">1/(1+EXP(U598))</f>
        <v>5.00001386372241E-009</v>
      </c>
      <c r="W598" s="0" t="n">
        <f aca="true">RAND()</f>
        <v>0.696882999002892</v>
      </c>
      <c r="X598" s="0" t="n">
        <f aca="false">IF(W598&lt;V598,1,0)</f>
        <v>0</v>
      </c>
      <c r="Y598" s="0" t="n">
        <f aca="false">(M598*(1-X598)+N598*X598)*D598+M598*E598</f>
        <v>6108.82985076217</v>
      </c>
      <c r="Z598" s="0" t="n">
        <f aca="false">((1-X598)*O598+X598*P598)*D598+E598*O598</f>
        <v>605.856489114001</v>
      </c>
      <c r="AA598" s="0" t="n">
        <f aca="false">IF(D598*X598&gt;0,AA597,Q598)</f>
        <v>60</v>
      </c>
      <c r="AB598" s="0" t="n">
        <f aca="false">(X598*D598)</f>
        <v>0</v>
      </c>
      <c r="AC598" s="0" t="n">
        <f aca="false">SUM(AB$10:AB597)/K598</f>
        <v>0</v>
      </c>
      <c r="AD598" s="0" t="n">
        <f aca="false">R598*E598+D598*(X598*S598+(1-X598)*T598)</f>
        <v>-1.39864495416542</v>
      </c>
      <c r="AE598" s="0" t="n">
        <f aca="false">Z598</f>
        <v>605.856489114001</v>
      </c>
      <c r="AF598" s="0" t="n">
        <f aca="false">E598*O598</f>
        <v>605.856489114001</v>
      </c>
      <c r="AG598" s="0" t="n">
        <f aca="false">((1-X598)*O598+X598*P598)*D598</f>
        <v>0</v>
      </c>
      <c r="AH598" s="0" t="n">
        <f aca="false">D598*(LN(EXP(S598)+EXP(T598)))</f>
        <v>-0</v>
      </c>
      <c r="AJ598" s="0" t="n">
        <f aca="false">$J$5</f>
        <v>10</v>
      </c>
      <c r="AK598" s="4" t="n">
        <f aca="false">AJ598+MAX(K598,AK$10:AK597)</f>
        <v>6108.82985076217</v>
      </c>
      <c r="AL598" s="5" t="n">
        <f aca="false">AK598-K598</f>
        <v>605.856489114001</v>
      </c>
      <c r="AM598" s="0" t="n">
        <f aca="false">-G598*AL598/3600</f>
        <v>-1.39864495416542</v>
      </c>
      <c r="AN598" s="0" t="n">
        <f aca="false">-H598*AL598/3600</f>
        <v>-0.386174853228341</v>
      </c>
      <c r="AO598" s="0" t="n">
        <f aca="false">AM598*E598+AN598*D598</f>
        <v>-1.39864495416542</v>
      </c>
      <c r="AP598" s="0" t="n">
        <f aca="false">AL598*D598</f>
        <v>0</v>
      </c>
      <c r="AR598" s="0" t="n">
        <f aca="false">AN598*D598</f>
        <v>-0</v>
      </c>
      <c r="AS598" s="0" t="n">
        <f aca="false">AH598-AR598</f>
        <v>0</v>
      </c>
    </row>
    <row r="599" customFormat="false" ht="12" hidden="false" customHeight="false" outlineLevel="0" collapsed="false">
      <c r="A599" s="3" t="n">
        <f aca="false">A598+1</f>
        <v>590</v>
      </c>
      <c r="B599" s="3" t="n">
        <f aca="false">IF(A599&lt;$N$4/3,0.1,(IF(A599&gt;2*$N$4/3,0.05,0.12)))</f>
        <v>0.12</v>
      </c>
      <c r="C599" s="4" t="n">
        <f aca="true">RAND()</f>
        <v>0.220701683013186</v>
      </c>
      <c r="D599" s="0" t="n">
        <f aca="false">IF((C599&gt;$M$2),1,0)</f>
        <v>0</v>
      </c>
      <c r="E599" s="0" t="n">
        <f aca="false">1-D599</f>
        <v>1</v>
      </c>
      <c r="F599" s="0" t="n">
        <f aca="true">RAND()</f>
        <v>0.979461876772745</v>
      </c>
      <c r="G599" s="0" t="n">
        <f aca="false">7.75+F599*10</f>
        <v>17.5446187677275</v>
      </c>
      <c r="H599" s="0" t="n">
        <f aca="false">LOGINV(F599,2.64,1.139)</f>
        <v>143.552831203912</v>
      </c>
      <c r="I599" s="0" t="n">
        <v>19.5</v>
      </c>
      <c r="J599" s="4" t="n">
        <f aca="true">-LN(RAND())/B599</f>
        <v>11.8879274817086</v>
      </c>
      <c r="K599" s="4" t="n">
        <f aca="false">K598+J599</f>
        <v>5514.86128912988</v>
      </c>
      <c r="L599" s="4" t="n">
        <f aca="false">(1/$J$4)*(1+AB598)</f>
        <v>10</v>
      </c>
      <c r="M599" s="4" t="n">
        <f aca="false">L599+MAX(K599,Y$10:Y598)</f>
        <v>6118.82985076217</v>
      </c>
      <c r="N599" s="4" t="n">
        <f aca="false">K599</f>
        <v>5514.86128912988</v>
      </c>
      <c r="O599" s="4" t="n">
        <f aca="false">M599-K599</f>
        <v>603.968561632293</v>
      </c>
      <c r="P599" s="4" t="n">
        <f aca="false">N599-K599</f>
        <v>0</v>
      </c>
      <c r="Q599" s="4" t="n">
        <f aca="false">A599-MATCH(K599,$M$9:M598,1)</f>
        <v>60</v>
      </c>
      <c r="R599" s="0" t="n">
        <f aca="false">-G599*(O599/3600)</f>
        <v>-2.94344393375869</v>
      </c>
      <c r="S599" s="0" t="n">
        <f aca="false">-1*I599-(H599*(P599/3600))</f>
        <v>-19.5</v>
      </c>
      <c r="T599" s="0" t="n">
        <f aca="false">-H599*(O599/3600)</f>
        <v>-24.0837213834639</v>
      </c>
      <c r="U599" s="0" t="n">
        <f aca="false">T599-S599</f>
        <v>-4.58372138346391</v>
      </c>
      <c r="V599" s="0" t="n">
        <f aca="false">1/(1+EXP(U599))</f>
        <v>0.989886522609141</v>
      </c>
      <c r="W599" s="0" t="n">
        <f aca="true">RAND()</f>
        <v>0.793975852143517</v>
      </c>
      <c r="X599" s="0" t="n">
        <f aca="false">IF(W599&lt;V599,1,0)</f>
        <v>1</v>
      </c>
      <c r="Y599" s="0" t="n">
        <f aca="false">(M599*(1-X599)+N599*X599)*D599+M599*E599</f>
        <v>6118.82985076217</v>
      </c>
      <c r="Z599" s="0" t="n">
        <f aca="false">((1-X599)*O599+X599*P599)*D599+E599*O599</f>
        <v>603.968561632293</v>
      </c>
      <c r="AA599" s="0" t="n">
        <f aca="false">IF(D599*X599&gt;0,AA598,Q599)</f>
        <v>60</v>
      </c>
      <c r="AB599" s="0" t="n">
        <f aca="false">(X599*D599)</f>
        <v>0</v>
      </c>
      <c r="AC599" s="0" t="n">
        <f aca="false">SUM(AB$10:AB598)/K599</f>
        <v>0</v>
      </c>
      <c r="AD599" s="0" t="n">
        <f aca="false">R599*E599+D599*(X599*S599+(1-X599)*T599)</f>
        <v>-2.94344393375869</v>
      </c>
      <c r="AE599" s="0" t="n">
        <f aca="false">Z599</f>
        <v>603.968561632293</v>
      </c>
      <c r="AF599" s="0" t="n">
        <f aca="false">E599*O599</f>
        <v>603.968561632293</v>
      </c>
      <c r="AG599" s="0" t="n">
        <f aca="false">((1-X599)*O599+X599*P599)*D599</f>
        <v>0</v>
      </c>
      <c r="AH599" s="0" t="n">
        <f aca="false">D599*(LN(EXP(S599)+EXP(T599)))</f>
        <v>-0</v>
      </c>
      <c r="AJ599" s="0" t="n">
        <f aca="false">$J$5</f>
        <v>10</v>
      </c>
      <c r="AK599" s="4" t="n">
        <f aca="false">AJ599+MAX(K599,AK$10:AK598)</f>
        <v>6118.82985076217</v>
      </c>
      <c r="AL599" s="5" t="n">
        <f aca="false">AK599-K599</f>
        <v>603.968561632293</v>
      </c>
      <c r="AM599" s="0" t="n">
        <f aca="false">-G599*AL599/3600</f>
        <v>-2.94344393375869</v>
      </c>
      <c r="AN599" s="0" t="n">
        <f aca="false">-H599*AL599/3600</f>
        <v>-24.0837213834639</v>
      </c>
      <c r="AO599" s="0" t="n">
        <f aca="false">AM599*E599+AN599*D599</f>
        <v>-2.94344393375869</v>
      </c>
      <c r="AP599" s="0" t="n">
        <f aca="false">AL599*D599</f>
        <v>0</v>
      </c>
      <c r="AR599" s="0" t="n">
        <f aca="false">AN599*D599</f>
        <v>-0</v>
      </c>
      <c r="AS599" s="0" t="n">
        <f aca="false">AH599-AR599</f>
        <v>0</v>
      </c>
    </row>
    <row r="600" customFormat="false" ht="12" hidden="false" customHeight="false" outlineLevel="0" collapsed="false">
      <c r="A600" s="3" t="n">
        <f aca="false">A599+1</f>
        <v>591</v>
      </c>
      <c r="B600" s="3" t="n">
        <f aca="false">IF(A600&lt;$N$4/3,0.1,(IF(A600&gt;2*$N$4/3,0.05,0.12)))</f>
        <v>0.12</v>
      </c>
      <c r="C600" s="4" t="n">
        <f aca="true">RAND()</f>
        <v>0.486550002874409</v>
      </c>
      <c r="D600" s="0" t="n">
        <f aca="false">IF((C600&gt;$M$2),1,0)</f>
        <v>0</v>
      </c>
      <c r="E600" s="0" t="n">
        <f aca="false">1-D600</f>
        <v>1</v>
      </c>
      <c r="F600" s="0" t="n">
        <f aca="true">RAND()</f>
        <v>0.755487153295632</v>
      </c>
      <c r="G600" s="0" t="n">
        <f aca="false">7.75+F600*10</f>
        <v>15.3048715329563</v>
      </c>
      <c r="H600" s="0" t="n">
        <f aca="false">LOGINV(F600,2.64,1.139)</f>
        <v>30.8158060085398</v>
      </c>
      <c r="I600" s="0" t="n">
        <v>19.5</v>
      </c>
      <c r="J600" s="4" t="n">
        <f aca="true">-LN(RAND())/B600</f>
        <v>9.07537210941015</v>
      </c>
      <c r="K600" s="4" t="n">
        <f aca="false">K599+J600</f>
        <v>5523.93666123929</v>
      </c>
      <c r="L600" s="4" t="n">
        <f aca="false">(1/$J$4)*(1+AB599)</f>
        <v>10</v>
      </c>
      <c r="M600" s="4" t="n">
        <f aca="false">L600+MAX(K600,Y$10:Y599)</f>
        <v>6128.82985076217</v>
      </c>
      <c r="N600" s="4" t="n">
        <f aca="false">K600</f>
        <v>5523.93666123929</v>
      </c>
      <c r="O600" s="4" t="n">
        <f aca="false">M600-K600</f>
        <v>604.893189522883</v>
      </c>
      <c r="P600" s="4" t="n">
        <f aca="false">N600-K600</f>
        <v>0</v>
      </c>
      <c r="Q600" s="4" t="n">
        <f aca="false">A600-MATCH(K600,$M$9:M599,1)</f>
        <v>60</v>
      </c>
      <c r="R600" s="0" t="n">
        <f aca="false">-G600*(O600/3600)</f>
        <v>-2.57161459911331</v>
      </c>
      <c r="S600" s="0" t="n">
        <f aca="false">-1*I600-(H600*(P600/3600))</f>
        <v>-19.5</v>
      </c>
      <c r="T600" s="0" t="n">
        <f aca="false">-H600*(O600/3600)</f>
        <v>-5.1778531067289</v>
      </c>
      <c r="U600" s="0" t="n">
        <f aca="false">T600-S600</f>
        <v>14.3221468932711</v>
      </c>
      <c r="V600" s="0" t="n">
        <f aca="false">1/(1+EXP(U600))</f>
        <v>6.02518482448064E-007</v>
      </c>
      <c r="W600" s="0" t="n">
        <f aca="true">RAND()</f>
        <v>0.844631431470771</v>
      </c>
      <c r="X600" s="0" t="n">
        <f aca="false">IF(W600&lt;V600,1,0)</f>
        <v>0</v>
      </c>
      <c r="Y600" s="0" t="n">
        <f aca="false">(M600*(1-X600)+N600*X600)*D600+M600*E600</f>
        <v>6128.82985076217</v>
      </c>
      <c r="Z600" s="0" t="n">
        <f aca="false">((1-X600)*O600+X600*P600)*D600+E600*O600</f>
        <v>604.893189522883</v>
      </c>
      <c r="AA600" s="0" t="n">
        <f aca="false">IF(D600*X600&gt;0,AA599,Q600)</f>
        <v>60</v>
      </c>
      <c r="AB600" s="0" t="n">
        <f aca="false">(X600*D600)</f>
        <v>0</v>
      </c>
      <c r="AC600" s="0" t="n">
        <f aca="false">SUM(AB$10:AB599)/K600</f>
        <v>0</v>
      </c>
      <c r="AD600" s="0" t="n">
        <f aca="false">R600*E600+D600*(X600*S600+(1-X600)*T600)</f>
        <v>-2.57161459911331</v>
      </c>
      <c r="AE600" s="0" t="n">
        <f aca="false">Z600</f>
        <v>604.893189522883</v>
      </c>
      <c r="AF600" s="0" t="n">
        <f aca="false">E600*O600</f>
        <v>604.893189522883</v>
      </c>
      <c r="AG600" s="0" t="n">
        <f aca="false">((1-X600)*O600+X600*P600)*D600</f>
        <v>0</v>
      </c>
      <c r="AH600" s="0" t="n">
        <f aca="false">D600*(LN(EXP(S600)+EXP(T600)))</f>
        <v>-0</v>
      </c>
      <c r="AJ600" s="0" t="n">
        <f aca="false">$J$5</f>
        <v>10</v>
      </c>
      <c r="AK600" s="4" t="n">
        <f aca="false">AJ600+MAX(K600,AK$10:AK599)</f>
        <v>6128.82985076217</v>
      </c>
      <c r="AL600" s="5" t="n">
        <f aca="false">AK600-K600</f>
        <v>604.893189522883</v>
      </c>
      <c r="AM600" s="0" t="n">
        <f aca="false">-G600*AL600/3600</f>
        <v>-2.57161459911331</v>
      </c>
      <c r="AN600" s="0" t="n">
        <f aca="false">-H600*AL600/3600</f>
        <v>-5.1778531067289</v>
      </c>
      <c r="AO600" s="0" t="n">
        <f aca="false">AM600*E600+AN600*D600</f>
        <v>-2.57161459911331</v>
      </c>
      <c r="AP600" s="0" t="n">
        <f aca="false">AL600*D600</f>
        <v>0</v>
      </c>
      <c r="AR600" s="0" t="n">
        <f aca="false">AN600*D600</f>
        <v>-0</v>
      </c>
      <c r="AS600" s="0" t="n">
        <f aca="false">AH600-AR600</f>
        <v>0</v>
      </c>
    </row>
    <row r="601" customFormat="false" ht="12" hidden="false" customHeight="false" outlineLevel="0" collapsed="false">
      <c r="A601" s="3" t="n">
        <f aca="false">A600+1</f>
        <v>592</v>
      </c>
      <c r="B601" s="3" t="n">
        <f aca="false">IF(A601&lt;$N$4/3,0.1,(IF(A601&gt;2*$N$4/3,0.05,0.12)))</f>
        <v>0.12</v>
      </c>
      <c r="C601" s="4" t="n">
        <f aca="true">RAND()</f>
        <v>0.232633259423508</v>
      </c>
      <c r="D601" s="0" t="n">
        <f aca="false">IF((C601&gt;$M$2),1,0)</f>
        <v>0</v>
      </c>
      <c r="E601" s="0" t="n">
        <f aca="false">1-D601</f>
        <v>1</v>
      </c>
      <c r="F601" s="0" t="n">
        <f aca="true">RAND()</f>
        <v>0.473618436173961</v>
      </c>
      <c r="G601" s="0" t="n">
        <f aca="false">7.75+F601*10</f>
        <v>12.4861843617396</v>
      </c>
      <c r="H601" s="0" t="n">
        <f aca="false">LOGINV(F601,2.64,1.139)</f>
        <v>12.9957755380694</v>
      </c>
      <c r="I601" s="0" t="n">
        <v>19.5</v>
      </c>
      <c r="J601" s="4" t="n">
        <f aca="true">-LN(RAND())/B601</f>
        <v>23.4779157353195</v>
      </c>
      <c r="K601" s="4" t="n">
        <f aca="false">K600+J601</f>
        <v>5547.41457697461</v>
      </c>
      <c r="L601" s="4" t="n">
        <f aca="false">(1/$J$4)*(1+AB600)</f>
        <v>10</v>
      </c>
      <c r="M601" s="4" t="n">
        <f aca="false">L601+MAX(K601,Y$10:Y600)</f>
        <v>6138.82985076217</v>
      </c>
      <c r="N601" s="4" t="n">
        <f aca="false">K601</f>
        <v>5547.41457697461</v>
      </c>
      <c r="O601" s="4" t="n">
        <f aca="false">M601-K601</f>
        <v>591.415273787564</v>
      </c>
      <c r="P601" s="4" t="n">
        <f aca="false">N601-K601</f>
        <v>0</v>
      </c>
      <c r="Q601" s="4" t="n">
        <f aca="false">A601-MATCH(K601,$M$9:M600,1)</f>
        <v>59</v>
      </c>
      <c r="R601" s="0" t="n">
        <f aca="false">-G601*(O601/3600)</f>
        <v>-2.05125559523895</v>
      </c>
      <c r="S601" s="0" t="n">
        <f aca="false">-1*I601-(H601*(P601/3600))</f>
        <v>-19.5</v>
      </c>
      <c r="T601" s="0" t="n">
        <f aca="false">-H601*(O601/3600)</f>
        <v>-2.13497226331363</v>
      </c>
      <c r="U601" s="0" t="n">
        <f aca="false">T601-S601</f>
        <v>17.3650277366864</v>
      </c>
      <c r="V601" s="0" t="n">
        <f aca="false">1/(1+EXP(U601))</f>
        <v>2.87385110441935E-008</v>
      </c>
      <c r="W601" s="0" t="n">
        <f aca="true">RAND()</f>
        <v>0.102459806344201</v>
      </c>
      <c r="X601" s="0" t="n">
        <f aca="false">IF(W601&lt;V601,1,0)</f>
        <v>0</v>
      </c>
      <c r="Y601" s="0" t="n">
        <f aca="false">(M601*(1-X601)+N601*X601)*D601+M601*E601</f>
        <v>6138.82985076217</v>
      </c>
      <c r="Z601" s="0" t="n">
        <f aca="false">((1-X601)*O601+X601*P601)*D601+E601*O601</f>
        <v>591.415273787564</v>
      </c>
      <c r="AA601" s="0" t="n">
        <f aca="false">IF(D601*X601&gt;0,AA600,Q601)</f>
        <v>59</v>
      </c>
      <c r="AB601" s="0" t="n">
        <f aca="false">(X601*D601)</f>
        <v>0</v>
      </c>
      <c r="AC601" s="0" t="n">
        <f aca="false">SUM(AB$10:AB600)/K601</f>
        <v>0</v>
      </c>
      <c r="AD601" s="0" t="n">
        <f aca="false">R601*E601+D601*(X601*S601+(1-X601)*T601)</f>
        <v>-2.05125559523895</v>
      </c>
      <c r="AE601" s="0" t="n">
        <f aca="false">Z601</f>
        <v>591.415273787564</v>
      </c>
      <c r="AF601" s="0" t="n">
        <f aca="false">E601*O601</f>
        <v>591.415273787564</v>
      </c>
      <c r="AG601" s="0" t="n">
        <f aca="false">((1-X601)*O601+X601*P601)*D601</f>
        <v>0</v>
      </c>
      <c r="AH601" s="0" t="n">
        <f aca="false">D601*(LN(EXP(S601)+EXP(T601)))</f>
        <v>-0</v>
      </c>
      <c r="AJ601" s="0" t="n">
        <f aca="false">$J$5</f>
        <v>10</v>
      </c>
      <c r="AK601" s="4" t="n">
        <f aca="false">AJ601+MAX(K601,AK$10:AK600)</f>
        <v>6138.82985076217</v>
      </c>
      <c r="AL601" s="5" t="n">
        <f aca="false">AK601-K601</f>
        <v>591.415273787564</v>
      </c>
      <c r="AM601" s="0" t="n">
        <f aca="false">-G601*AL601/3600</f>
        <v>-2.05125559523895</v>
      </c>
      <c r="AN601" s="0" t="n">
        <f aca="false">-H601*AL601/3600</f>
        <v>-2.13497226331363</v>
      </c>
      <c r="AO601" s="0" t="n">
        <f aca="false">AM601*E601+AN601*D601</f>
        <v>-2.05125559523895</v>
      </c>
      <c r="AP601" s="0" t="n">
        <f aca="false">AL601*D601</f>
        <v>0</v>
      </c>
      <c r="AR601" s="0" t="n">
        <f aca="false">AN601*D601</f>
        <v>-0</v>
      </c>
      <c r="AS601" s="0" t="n">
        <f aca="false">AH601-AR601</f>
        <v>0</v>
      </c>
    </row>
    <row r="602" customFormat="false" ht="12" hidden="false" customHeight="false" outlineLevel="0" collapsed="false">
      <c r="A602" s="3" t="n">
        <f aca="false">A601+1</f>
        <v>593</v>
      </c>
      <c r="B602" s="3" t="n">
        <f aca="false">IF(A602&lt;$N$4/3,0.1,(IF(A602&gt;2*$N$4/3,0.05,0.12)))</f>
        <v>0.12</v>
      </c>
      <c r="C602" s="4" t="n">
        <f aca="true">RAND()</f>
        <v>0.0888275653771055</v>
      </c>
      <c r="D602" s="0" t="n">
        <f aca="false">IF((C602&gt;$M$2),1,0)</f>
        <v>0</v>
      </c>
      <c r="E602" s="0" t="n">
        <f aca="false">1-D602</f>
        <v>1</v>
      </c>
      <c r="F602" s="0" t="n">
        <f aca="true">RAND()</f>
        <v>0.399201259336253</v>
      </c>
      <c r="G602" s="0" t="n">
        <f aca="false">7.75+F602*10</f>
        <v>11.7420125933625</v>
      </c>
      <c r="H602" s="0" t="n">
        <f aca="false">LOGINV(F602,2.64,1.139)</f>
        <v>10.4759506391976</v>
      </c>
      <c r="I602" s="0" t="n">
        <v>19.5</v>
      </c>
      <c r="J602" s="4" t="n">
        <f aca="true">-LN(RAND())/B602</f>
        <v>7.80613313284873</v>
      </c>
      <c r="K602" s="4" t="n">
        <f aca="false">K601+J602</f>
        <v>5555.22071010746</v>
      </c>
      <c r="L602" s="4" t="n">
        <f aca="false">(1/$J$4)*(1+AB601)</f>
        <v>10</v>
      </c>
      <c r="M602" s="4" t="n">
        <f aca="false">L602+MAX(K602,Y$10:Y601)</f>
        <v>6148.82985076217</v>
      </c>
      <c r="N602" s="4" t="n">
        <f aca="false">K602</f>
        <v>5555.22071010746</v>
      </c>
      <c r="O602" s="4" t="n">
        <f aca="false">M602-K602</f>
        <v>593.609140654715</v>
      </c>
      <c r="P602" s="4" t="n">
        <f aca="false">N602-K602</f>
        <v>0</v>
      </c>
      <c r="Q602" s="4" t="n">
        <f aca="false">A602-MATCH(K602,$M$9:M601,1)</f>
        <v>59</v>
      </c>
      <c r="R602" s="0" t="n">
        <f aca="false">-G602*(O602/3600)</f>
        <v>-1.93615722363966</v>
      </c>
      <c r="S602" s="0" t="n">
        <f aca="false">-1*I602-(H602*(P602/3600))</f>
        <v>-19.5</v>
      </c>
      <c r="T602" s="0" t="n">
        <f aca="false">-H602*(O602/3600)</f>
        <v>-1.72739446013202</v>
      </c>
      <c r="U602" s="0" t="n">
        <f aca="false">T602-S602</f>
        <v>17.772605539868</v>
      </c>
      <c r="V602" s="0" t="n">
        <f aca="false">1/(1+EXP(U602))</f>
        <v>1.91185731340798E-008</v>
      </c>
      <c r="W602" s="0" t="n">
        <f aca="true">RAND()</f>
        <v>0.116925195062991</v>
      </c>
      <c r="X602" s="0" t="n">
        <f aca="false">IF(W602&lt;V602,1,0)</f>
        <v>0</v>
      </c>
      <c r="Y602" s="0" t="n">
        <f aca="false">(M602*(1-X602)+N602*X602)*D602+M602*E602</f>
        <v>6148.82985076217</v>
      </c>
      <c r="Z602" s="0" t="n">
        <f aca="false">((1-X602)*O602+X602*P602)*D602+E602*O602</f>
        <v>593.609140654715</v>
      </c>
      <c r="AA602" s="0" t="n">
        <f aca="false">IF(D602*X602&gt;0,AA601,Q602)</f>
        <v>59</v>
      </c>
      <c r="AB602" s="0" t="n">
        <f aca="false">(X602*D602)</f>
        <v>0</v>
      </c>
      <c r="AC602" s="0" t="n">
        <f aca="false">SUM(AB$10:AB601)/K602</f>
        <v>0</v>
      </c>
      <c r="AD602" s="0" t="n">
        <f aca="false">R602*E602+D602*(X602*S602+(1-X602)*T602)</f>
        <v>-1.93615722363966</v>
      </c>
      <c r="AE602" s="0" t="n">
        <f aca="false">Z602</f>
        <v>593.609140654715</v>
      </c>
      <c r="AF602" s="0" t="n">
        <f aca="false">E602*O602</f>
        <v>593.609140654715</v>
      </c>
      <c r="AG602" s="0" t="n">
        <f aca="false">((1-X602)*O602+X602*P602)*D602</f>
        <v>0</v>
      </c>
      <c r="AH602" s="0" t="n">
        <f aca="false">D602*(LN(EXP(S602)+EXP(T602)))</f>
        <v>-0</v>
      </c>
      <c r="AJ602" s="0" t="n">
        <f aca="false">$J$5</f>
        <v>10</v>
      </c>
      <c r="AK602" s="4" t="n">
        <f aca="false">AJ602+MAX(K602,AK$10:AK601)</f>
        <v>6148.82985076217</v>
      </c>
      <c r="AL602" s="5" t="n">
        <f aca="false">AK602-K602</f>
        <v>593.609140654715</v>
      </c>
      <c r="AM602" s="0" t="n">
        <f aca="false">-G602*AL602/3600</f>
        <v>-1.93615722363966</v>
      </c>
      <c r="AN602" s="0" t="n">
        <f aca="false">-H602*AL602/3600</f>
        <v>-1.72739446013202</v>
      </c>
      <c r="AO602" s="0" t="n">
        <f aca="false">AM602*E602+AN602*D602</f>
        <v>-1.93615722363966</v>
      </c>
      <c r="AP602" s="0" t="n">
        <f aca="false">AL602*D602</f>
        <v>0</v>
      </c>
      <c r="AR602" s="0" t="n">
        <f aca="false">AN602*D602</f>
        <v>-0</v>
      </c>
      <c r="AS602" s="0" t="n">
        <f aca="false">AH602-AR602</f>
        <v>0</v>
      </c>
    </row>
    <row r="603" customFormat="false" ht="12" hidden="false" customHeight="false" outlineLevel="0" collapsed="false">
      <c r="A603" s="3" t="n">
        <f aca="false">A602+1</f>
        <v>594</v>
      </c>
      <c r="B603" s="3" t="n">
        <f aca="false">IF(A603&lt;$N$4/3,0.1,(IF(A603&gt;2*$N$4/3,0.05,0.12)))</f>
        <v>0.12</v>
      </c>
      <c r="C603" s="4" t="n">
        <f aca="true">RAND()</f>
        <v>0.384273585304847</v>
      </c>
      <c r="D603" s="0" t="n">
        <f aca="false">IF((C603&gt;$M$2),1,0)</f>
        <v>0</v>
      </c>
      <c r="E603" s="0" t="n">
        <f aca="false">1-D603</f>
        <v>1</v>
      </c>
      <c r="F603" s="0" t="n">
        <f aca="true">RAND()</f>
        <v>0.0462626602249732</v>
      </c>
      <c r="G603" s="0" t="n">
        <f aca="false">7.75+F603*10</f>
        <v>8.21262660224973</v>
      </c>
      <c r="H603" s="0" t="n">
        <f aca="false">LOGINV(F603,2.64,1.139)</f>
        <v>2.06255669334798</v>
      </c>
      <c r="I603" s="0" t="n">
        <v>19.5</v>
      </c>
      <c r="J603" s="4" t="n">
        <f aca="true">-LN(RAND())/B603</f>
        <v>3.00551173865228</v>
      </c>
      <c r="K603" s="4" t="n">
        <f aca="false">K602+J603</f>
        <v>5558.22622184611</v>
      </c>
      <c r="L603" s="4" t="n">
        <f aca="false">(1/$J$4)*(1+AB602)</f>
        <v>10</v>
      </c>
      <c r="M603" s="4" t="n">
        <f aca="false">L603+MAX(K603,Y$10:Y602)</f>
        <v>6158.82985076217</v>
      </c>
      <c r="N603" s="4" t="n">
        <f aca="false">K603</f>
        <v>5558.22622184611</v>
      </c>
      <c r="O603" s="4" t="n">
        <f aca="false">M603-K603</f>
        <v>600.603628916063</v>
      </c>
      <c r="P603" s="4" t="n">
        <f aca="false">N603-K603</f>
        <v>0</v>
      </c>
      <c r="Q603" s="4" t="n">
        <f aca="false">A603-MATCH(K603,$M$9:M602,1)</f>
        <v>60</v>
      </c>
      <c r="R603" s="0" t="n">
        <f aca="false">-G603*(O603/3600)</f>
        <v>-1.37014815006772</v>
      </c>
      <c r="S603" s="0" t="n">
        <f aca="false">-1*I603-(H603*(P603/3600))</f>
        <v>-19.5</v>
      </c>
      <c r="T603" s="0" t="n">
        <f aca="false">-H603*(O603/3600)</f>
        <v>-0.344105287463864</v>
      </c>
      <c r="U603" s="0" t="n">
        <f aca="false">T603-S603</f>
        <v>19.1558947125361</v>
      </c>
      <c r="V603" s="0" t="n">
        <f aca="false">1/(1+EXP(U603))</f>
        <v>4.79402868548366E-009</v>
      </c>
      <c r="W603" s="0" t="n">
        <f aca="true">RAND()</f>
        <v>0.500756151359117</v>
      </c>
      <c r="X603" s="0" t="n">
        <f aca="false">IF(W603&lt;V603,1,0)</f>
        <v>0</v>
      </c>
      <c r="Y603" s="0" t="n">
        <f aca="false">(M603*(1-X603)+N603*X603)*D603+M603*E603</f>
        <v>6158.82985076217</v>
      </c>
      <c r="Z603" s="0" t="n">
        <f aca="false">((1-X603)*O603+X603*P603)*D603+E603*O603</f>
        <v>600.603628916063</v>
      </c>
      <c r="AA603" s="0" t="n">
        <f aca="false">IF(D603*X603&gt;0,AA602,Q603)</f>
        <v>60</v>
      </c>
      <c r="AB603" s="0" t="n">
        <f aca="false">(X603*D603)</f>
        <v>0</v>
      </c>
      <c r="AC603" s="0" t="n">
        <f aca="false">SUM(AB$10:AB602)/K603</f>
        <v>0</v>
      </c>
      <c r="AD603" s="0" t="n">
        <f aca="false">R603*E603+D603*(X603*S603+(1-X603)*T603)</f>
        <v>-1.37014815006772</v>
      </c>
      <c r="AE603" s="0" t="n">
        <f aca="false">Z603</f>
        <v>600.603628916063</v>
      </c>
      <c r="AF603" s="0" t="n">
        <f aca="false">E603*O603</f>
        <v>600.603628916063</v>
      </c>
      <c r="AG603" s="0" t="n">
        <f aca="false">((1-X603)*O603+X603*P603)*D603</f>
        <v>0</v>
      </c>
      <c r="AH603" s="0" t="n">
        <f aca="false">D603*(LN(EXP(S603)+EXP(T603)))</f>
        <v>-0</v>
      </c>
      <c r="AJ603" s="0" t="n">
        <f aca="false">$J$5</f>
        <v>10</v>
      </c>
      <c r="AK603" s="4" t="n">
        <f aca="false">AJ603+MAX(K603,AK$10:AK602)</f>
        <v>6158.82985076217</v>
      </c>
      <c r="AL603" s="5" t="n">
        <f aca="false">AK603-K603</f>
        <v>600.603628916063</v>
      </c>
      <c r="AM603" s="0" t="n">
        <f aca="false">-G603*AL603/3600</f>
        <v>-1.37014815006772</v>
      </c>
      <c r="AN603" s="0" t="n">
        <f aca="false">-H603*AL603/3600</f>
        <v>-0.344105287463864</v>
      </c>
      <c r="AO603" s="0" t="n">
        <f aca="false">AM603*E603+AN603*D603</f>
        <v>-1.37014815006772</v>
      </c>
      <c r="AP603" s="0" t="n">
        <f aca="false">AL603*D603</f>
        <v>0</v>
      </c>
      <c r="AR603" s="0" t="n">
        <f aca="false">AN603*D603</f>
        <v>-0</v>
      </c>
      <c r="AS603" s="0" t="n">
        <f aca="false">AH603-AR603</f>
        <v>0</v>
      </c>
    </row>
    <row r="604" customFormat="false" ht="12" hidden="false" customHeight="false" outlineLevel="0" collapsed="false">
      <c r="A604" s="3" t="n">
        <f aca="false">A603+1</f>
        <v>595</v>
      </c>
      <c r="B604" s="3" t="n">
        <f aca="false">IF(A604&lt;$N$4/3,0.1,(IF(A604&gt;2*$N$4/3,0.05,0.12)))</f>
        <v>0.12</v>
      </c>
      <c r="C604" s="4" t="n">
        <f aca="true">RAND()</f>
        <v>0.992152484018276</v>
      </c>
      <c r="D604" s="0" t="n">
        <f aca="false">IF((C604&gt;$M$2),1,0)</f>
        <v>1</v>
      </c>
      <c r="E604" s="0" t="n">
        <f aca="false">1-D604</f>
        <v>0</v>
      </c>
      <c r="F604" s="0" t="n">
        <f aca="true">RAND()</f>
        <v>0.59385456490807</v>
      </c>
      <c r="G604" s="0" t="n">
        <f aca="false">7.75+F604*10</f>
        <v>13.6885456490807</v>
      </c>
      <c r="H604" s="0" t="n">
        <f aca="false">LOGINV(F604,2.64,1.139)</f>
        <v>18.3656168709399</v>
      </c>
      <c r="I604" s="0" t="n">
        <v>19.5</v>
      </c>
      <c r="J604" s="4" t="n">
        <f aca="true">-LN(RAND())/B604</f>
        <v>0.744452545457804</v>
      </c>
      <c r="K604" s="4" t="n">
        <f aca="false">K603+J604</f>
        <v>5558.97067439157</v>
      </c>
      <c r="L604" s="4" t="n">
        <f aca="false">(1/$J$4)*(1+AB603)</f>
        <v>10</v>
      </c>
      <c r="M604" s="4" t="n">
        <f aca="false">L604+MAX(K604,Y$10:Y603)</f>
        <v>6168.82985076217</v>
      </c>
      <c r="N604" s="4" t="n">
        <f aca="false">K604</f>
        <v>5558.97067439157</v>
      </c>
      <c r="O604" s="4" t="n">
        <f aca="false">M604-K604</f>
        <v>609.859176370605</v>
      </c>
      <c r="P604" s="4" t="n">
        <f aca="false">N604-K604</f>
        <v>0</v>
      </c>
      <c r="Q604" s="4" t="n">
        <f aca="false">A604-MATCH(K604,$M$9:M603,1)</f>
        <v>60</v>
      </c>
      <c r="R604" s="0" t="n">
        <f aca="false">-G604*(O604/3600)</f>
        <v>-2.31891254868328</v>
      </c>
      <c r="S604" s="0" t="n">
        <f aca="false">-1*I604-(H604*(P604/3600))</f>
        <v>-19.5</v>
      </c>
      <c r="T604" s="0" t="n">
        <f aca="false">-H604*(O604/3600)</f>
        <v>-3.11123332734709</v>
      </c>
      <c r="U604" s="0" t="n">
        <f aca="false">T604-S604</f>
        <v>16.3887666726529</v>
      </c>
      <c r="V604" s="0" t="n">
        <f aca="false">1/(1+EXP(U604))</f>
        <v>7.62867363763334E-008</v>
      </c>
      <c r="W604" s="0" t="n">
        <f aca="true">RAND()</f>
        <v>0.299483602065084</v>
      </c>
      <c r="X604" s="0" t="n">
        <f aca="false">IF(W604&lt;V604,1,0)</f>
        <v>0</v>
      </c>
      <c r="Y604" s="0" t="n">
        <f aca="false">(M604*(1-X604)+N604*X604)*D604+M604*E604</f>
        <v>6168.82985076217</v>
      </c>
      <c r="Z604" s="0" t="n">
        <f aca="false">((1-X604)*O604+X604*P604)*D604+E604*O604</f>
        <v>609.859176370605</v>
      </c>
      <c r="AA604" s="0" t="n">
        <f aca="false">IF(D604*X604&gt;0,AA603,Q604)</f>
        <v>60</v>
      </c>
      <c r="AB604" s="0" t="n">
        <f aca="false">(X604*D604)</f>
        <v>0</v>
      </c>
      <c r="AC604" s="0" t="n">
        <f aca="false">SUM(AB$10:AB603)/K604</f>
        <v>0</v>
      </c>
      <c r="AD604" s="0" t="n">
        <f aca="false">R604*E604+D604*(X604*S604+(1-X604)*T604)</f>
        <v>-3.11123332734709</v>
      </c>
      <c r="AE604" s="0" t="n">
        <f aca="false">Z604</f>
        <v>609.859176370605</v>
      </c>
      <c r="AF604" s="0" t="n">
        <f aca="false">E604*O604</f>
        <v>0</v>
      </c>
      <c r="AG604" s="0" t="n">
        <f aca="false">((1-X604)*O604+X604*P604)*D604</f>
        <v>609.859176370605</v>
      </c>
      <c r="AH604" s="0" t="n">
        <f aca="false">D604*(LN(EXP(S604)+EXP(T604)))</f>
        <v>-3.11123325106035</v>
      </c>
      <c r="AJ604" s="0" t="n">
        <f aca="false">$J$5</f>
        <v>10</v>
      </c>
      <c r="AK604" s="4" t="n">
        <f aca="false">AJ604+MAX(K604,AK$10:AK603)</f>
        <v>6168.82985076217</v>
      </c>
      <c r="AL604" s="5" t="n">
        <f aca="false">AK604-K604</f>
        <v>609.859176370605</v>
      </c>
      <c r="AM604" s="0" t="n">
        <f aca="false">-G604*AL604/3600</f>
        <v>-2.31891254868327</v>
      </c>
      <c r="AN604" s="0" t="n">
        <f aca="false">-H604*AL604/3600</f>
        <v>-3.11123332734709</v>
      </c>
      <c r="AO604" s="0" t="n">
        <f aca="false">AM604*E604+AN604*D604</f>
        <v>-3.11123332734709</v>
      </c>
      <c r="AP604" s="0" t="n">
        <f aca="false">AL604*D604</f>
        <v>609.859176370605</v>
      </c>
      <c r="AR604" s="0" t="n">
        <f aca="false">AN604*D604</f>
        <v>-3.11123332734709</v>
      </c>
      <c r="AS604" s="0" t="n">
        <f aca="false">AH604-AR604</f>
        <v>7.62867387038568E-008</v>
      </c>
    </row>
    <row r="605" customFormat="false" ht="12" hidden="false" customHeight="false" outlineLevel="0" collapsed="false">
      <c r="A605" s="3" t="n">
        <f aca="false">A604+1</f>
        <v>596</v>
      </c>
      <c r="B605" s="3" t="n">
        <f aca="false">IF(A605&lt;$N$4/3,0.1,(IF(A605&gt;2*$N$4/3,0.05,0.12)))</f>
        <v>0.12</v>
      </c>
      <c r="C605" s="4" t="n">
        <f aca="true">RAND()</f>
        <v>0.303943782685089</v>
      </c>
      <c r="D605" s="0" t="n">
        <f aca="false">IF((C605&gt;$M$2),1,0)</f>
        <v>0</v>
      </c>
      <c r="E605" s="0" t="n">
        <f aca="false">1-D605</f>
        <v>1</v>
      </c>
      <c r="F605" s="0" t="n">
        <f aca="true">RAND()</f>
        <v>0.64147397555993</v>
      </c>
      <c r="G605" s="0" t="n">
        <f aca="false">7.75+F605*10</f>
        <v>14.1647397555993</v>
      </c>
      <c r="H605" s="0" t="n">
        <f aca="false">LOGINV(F605,2.64,1.139)</f>
        <v>21.1740264385138</v>
      </c>
      <c r="I605" s="0" t="n">
        <v>19.5</v>
      </c>
      <c r="J605" s="4" t="n">
        <f aca="true">-LN(RAND())/B605</f>
        <v>7.80101674219853</v>
      </c>
      <c r="K605" s="4" t="n">
        <f aca="false">K604+J605</f>
        <v>5566.77169113377</v>
      </c>
      <c r="L605" s="4" t="n">
        <f aca="false">(1/$J$4)*(1+AB604)</f>
        <v>10</v>
      </c>
      <c r="M605" s="4" t="n">
        <f aca="false">L605+MAX(K605,Y$10:Y604)</f>
        <v>6178.82985076217</v>
      </c>
      <c r="N605" s="4" t="n">
        <f aca="false">K605</f>
        <v>5566.77169113377</v>
      </c>
      <c r="O605" s="4" t="n">
        <f aca="false">M605-K605</f>
        <v>612.058159628406</v>
      </c>
      <c r="P605" s="4" t="n">
        <f aca="false">N605-K605</f>
        <v>0</v>
      </c>
      <c r="Q605" s="4" t="n">
        <f aca="false">A605-MATCH(K605,$M$9:M604,1)</f>
        <v>61</v>
      </c>
      <c r="R605" s="0" t="n">
        <f aca="false">-G605*(O605/3600)</f>
        <v>-2.40823459622984</v>
      </c>
      <c r="S605" s="0" t="n">
        <f aca="false">-1*I605-(H605*(P605/3600))</f>
        <v>-19.5</v>
      </c>
      <c r="T605" s="0" t="n">
        <f aca="false">-H605*(O605/3600)</f>
        <v>-3.59992657052221</v>
      </c>
      <c r="U605" s="0" t="n">
        <f aca="false">T605-S605</f>
        <v>15.9000734294778</v>
      </c>
      <c r="V605" s="0" t="n">
        <f aca="false">1/(1+EXP(U605))</f>
        <v>1.24361454761418E-007</v>
      </c>
      <c r="W605" s="0" t="n">
        <f aca="true">RAND()</f>
        <v>0.750189057026987</v>
      </c>
      <c r="X605" s="0" t="n">
        <f aca="false">IF(W605&lt;V605,1,0)</f>
        <v>0</v>
      </c>
      <c r="Y605" s="0" t="n">
        <f aca="false">(M605*(1-X605)+N605*X605)*D605+M605*E605</f>
        <v>6178.82985076217</v>
      </c>
      <c r="Z605" s="0" t="n">
        <f aca="false">((1-X605)*O605+X605*P605)*D605+E605*O605</f>
        <v>612.058159628406</v>
      </c>
      <c r="AA605" s="0" t="n">
        <f aca="false">IF(D605*X605&gt;0,AA604,Q605)</f>
        <v>61</v>
      </c>
      <c r="AB605" s="0" t="n">
        <f aca="false">(X605*D605)</f>
        <v>0</v>
      </c>
      <c r="AC605" s="0" t="n">
        <f aca="false">SUM(AB$10:AB604)/K605</f>
        <v>0</v>
      </c>
      <c r="AD605" s="0" t="n">
        <f aca="false">R605*E605+D605*(X605*S605+(1-X605)*T605)</f>
        <v>-2.40823459622984</v>
      </c>
      <c r="AE605" s="0" t="n">
        <f aca="false">Z605</f>
        <v>612.058159628406</v>
      </c>
      <c r="AF605" s="0" t="n">
        <f aca="false">E605*O605</f>
        <v>612.058159628406</v>
      </c>
      <c r="AG605" s="0" t="n">
        <f aca="false">((1-X605)*O605+X605*P605)*D605</f>
        <v>0</v>
      </c>
      <c r="AH605" s="0" t="n">
        <f aca="false">D605*(LN(EXP(S605)+EXP(T605)))</f>
        <v>-0</v>
      </c>
      <c r="AJ605" s="0" t="n">
        <f aca="false">$J$5</f>
        <v>10</v>
      </c>
      <c r="AK605" s="4" t="n">
        <f aca="false">AJ605+MAX(K605,AK$10:AK604)</f>
        <v>6178.82985076217</v>
      </c>
      <c r="AL605" s="5" t="n">
        <f aca="false">AK605-K605</f>
        <v>612.058159628406</v>
      </c>
      <c r="AM605" s="0" t="n">
        <f aca="false">-G605*AL605/3600</f>
        <v>-2.40823459622984</v>
      </c>
      <c r="AN605" s="0" t="n">
        <f aca="false">-H605*AL605/3600</f>
        <v>-3.59992657052221</v>
      </c>
      <c r="AO605" s="0" t="n">
        <f aca="false">AM605*E605+AN605*D605</f>
        <v>-2.40823459622984</v>
      </c>
      <c r="AP605" s="0" t="n">
        <f aca="false">AL605*D605</f>
        <v>0</v>
      </c>
      <c r="AR605" s="0" t="n">
        <f aca="false">AN605*D605</f>
        <v>-0</v>
      </c>
      <c r="AS605" s="0" t="n">
        <f aca="false">AH605-AR605</f>
        <v>0</v>
      </c>
    </row>
    <row r="606" customFormat="false" ht="12" hidden="false" customHeight="false" outlineLevel="0" collapsed="false">
      <c r="A606" s="3" t="n">
        <f aca="false">A605+1</f>
        <v>597</v>
      </c>
      <c r="B606" s="3" t="n">
        <f aca="false">IF(A606&lt;$N$4/3,0.1,(IF(A606&gt;2*$N$4/3,0.05,0.12)))</f>
        <v>0.12</v>
      </c>
      <c r="C606" s="4" t="n">
        <f aca="true">RAND()</f>
        <v>0.198453962127446</v>
      </c>
      <c r="D606" s="0" t="n">
        <f aca="false">IF((C606&gt;$M$2),1,0)</f>
        <v>0</v>
      </c>
      <c r="E606" s="0" t="n">
        <f aca="false">1-D606</f>
        <v>1</v>
      </c>
      <c r="F606" s="0" t="n">
        <f aca="true">RAND()</f>
        <v>0.248812439391401</v>
      </c>
      <c r="G606" s="0" t="n">
        <f aca="false">7.75+F606*10</f>
        <v>10.238124393914</v>
      </c>
      <c r="H606" s="0" t="n">
        <f aca="false">LOGINV(F606,2.64,1.139)</f>
        <v>6.47205865117273</v>
      </c>
      <c r="I606" s="0" t="n">
        <v>19.5</v>
      </c>
      <c r="J606" s="4" t="n">
        <f aca="true">-LN(RAND())/B606</f>
        <v>2.97573700179245</v>
      </c>
      <c r="K606" s="4" t="n">
        <f aca="false">K605+J606</f>
        <v>5569.74742813556</v>
      </c>
      <c r="L606" s="4" t="n">
        <f aca="false">(1/$J$4)*(1+AB605)</f>
        <v>10</v>
      </c>
      <c r="M606" s="4" t="n">
        <f aca="false">L606+MAX(K606,Y$10:Y605)</f>
        <v>6188.82985076217</v>
      </c>
      <c r="N606" s="4" t="n">
        <f aca="false">K606</f>
        <v>5569.74742813556</v>
      </c>
      <c r="O606" s="4" t="n">
        <f aca="false">M606-K606</f>
        <v>619.082422626614</v>
      </c>
      <c r="P606" s="4" t="n">
        <f aca="false">N606-K606</f>
        <v>0</v>
      </c>
      <c r="Q606" s="4" t="n">
        <f aca="false">A606-MATCH(K606,$M$9:M605,1)</f>
        <v>61</v>
      </c>
      <c r="R606" s="0" t="n">
        <f aca="false">-G606*(O606/3600)</f>
        <v>-1.7606230147047</v>
      </c>
      <c r="S606" s="0" t="n">
        <f aca="false">-1*I606-(H606*(P606/3600))</f>
        <v>-19.5</v>
      </c>
      <c r="T606" s="0" t="n">
        <f aca="false">-H606*(O606/3600)</f>
        <v>-1.1129827080971</v>
      </c>
      <c r="U606" s="0" t="n">
        <f aca="false">T606-S606</f>
        <v>18.3870172919029</v>
      </c>
      <c r="V606" s="0" t="n">
        <f aca="false">1/(1+EXP(U606))</f>
        <v>1.03423646728691E-008</v>
      </c>
      <c r="W606" s="0" t="n">
        <f aca="true">RAND()</f>
        <v>0.571875121162701</v>
      </c>
      <c r="X606" s="0" t="n">
        <f aca="false">IF(W606&lt;V606,1,0)</f>
        <v>0</v>
      </c>
      <c r="Y606" s="0" t="n">
        <f aca="false">(M606*(1-X606)+N606*X606)*D606+M606*E606</f>
        <v>6188.82985076217</v>
      </c>
      <c r="Z606" s="0" t="n">
        <f aca="false">((1-X606)*O606+X606*P606)*D606+E606*O606</f>
        <v>619.082422626614</v>
      </c>
      <c r="AA606" s="0" t="n">
        <f aca="false">IF(D606*X606&gt;0,AA605,Q606)</f>
        <v>61</v>
      </c>
      <c r="AB606" s="0" t="n">
        <f aca="false">(X606*D606)</f>
        <v>0</v>
      </c>
      <c r="AC606" s="0" t="n">
        <f aca="false">SUM(AB$10:AB605)/K606</f>
        <v>0</v>
      </c>
      <c r="AD606" s="0" t="n">
        <f aca="false">R606*E606+D606*(X606*S606+(1-X606)*T606)</f>
        <v>-1.7606230147047</v>
      </c>
      <c r="AE606" s="0" t="n">
        <f aca="false">Z606</f>
        <v>619.082422626614</v>
      </c>
      <c r="AF606" s="0" t="n">
        <f aca="false">E606*O606</f>
        <v>619.082422626614</v>
      </c>
      <c r="AG606" s="0" t="n">
        <f aca="false">((1-X606)*O606+X606*P606)*D606</f>
        <v>0</v>
      </c>
      <c r="AH606" s="0" t="n">
        <f aca="false">D606*(LN(EXP(S606)+EXP(T606)))</f>
        <v>-0</v>
      </c>
      <c r="AJ606" s="0" t="n">
        <f aca="false">$J$5</f>
        <v>10</v>
      </c>
      <c r="AK606" s="4" t="n">
        <f aca="false">AJ606+MAX(K606,AK$10:AK605)</f>
        <v>6188.82985076217</v>
      </c>
      <c r="AL606" s="5" t="n">
        <f aca="false">AK606-K606</f>
        <v>619.082422626614</v>
      </c>
      <c r="AM606" s="0" t="n">
        <f aca="false">-G606*AL606/3600</f>
        <v>-1.7606230147047</v>
      </c>
      <c r="AN606" s="0" t="n">
        <f aca="false">-H606*AL606/3600</f>
        <v>-1.1129827080971</v>
      </c>
      <c r="AO606" s="0" t="n">
        <f aca="false">AM606*E606+AN606*D606</f>
        <v>-1.7606230147047</v>
      </c>
      <c r="AP606" s="0" t="n">
        <f aca="false">AL606*D606</f>
        <v>0</v>
      </c>
      <c r="AR606" s="0" t="n">
        <f aca="false">AN606*D606</f>
        <v>-0</v>
      </c>
      <c r="AS606" s="0" t="n">
        <f aca="false">AH606-AR606</f>
        <v>0</v>
      </c>
    </row>
    <row r="607" customFormat="false" ht="12" hidden="false" customHeight="false" outlineLevel="0" collapsed="false">
      <c r="A607" s="3" t="n">
        <f aca="false">A606+1</f>
        <v>598</v>
      </c>
      <c r="B607" s="3" t="n">
        <f aca="false">IF(A607&lt;$N$4/3,0.1,(IF(A607&gt;2*$N$4/3,0.05,0.12)))</f>
        <v>0.12</v>
      </c>
      <c r="C607" s="4" t="n">
        <f aca="true">RAND()</f>
        <v>0.155013910569112</v>
      </c>
      <c r="D607" s="0" t="n">
        <f aca="false">IF((C607&gt;$M$2),1,0)</f>
        <v>0</v>
      </c>
      <c r="E607" s="0" t="n">
        <f aca="false">1-D607</f>
        <v>1</v>
      </c>
      <c r="F607" s="0" t="n">
        <f aca="true">RAND()</f>
        <v>0.287006224615469</v>
      </c>
      <c r="G607" s="0" t="n">
        <f aca="false">7.75+F607*10</f>
        <v>10.6200622461547</v>
      </c>
      <c r="H607" s="0" t="n">
        <f aca="false">LOGINV(F607,2.64,1.139)</f>
        <v>7.38690509475448</v>
      </c>
      <c r="I607" s="0" t="n">
        <v>19.5</v>
      </c>
      <c r="J607" s="4" t="n">
        <f aca="true">-LN(RAND())/B607</f>
        <v>5.23867811152906</v>
      </c>
      <c r="K607" s="4" t="n">
        <f aca="false">K606+J607</f>
        <v>5574.98610624709</v>
      </c>
      <c r="L607" s="4" t="n">
        <f aca="false">(1/$J$4)*(1+AB606)</f>
        <v>10</v>
      </c>
      <c r="M607" s="4" t="n">
        <f aca="false">L607+MAX(K607,Y$10:Y606)</f>
        <v>6198.82985076217</v>
      </c>
      <c r="N607" s="4" t="n">
        <f aca="false">K607</f>
        <v>5574.98610624709</v>
      </c>
      <c r="O607" s="4" t="n">
        <f aca="false">M607-K607</f>
        <v>623.843744515085</v>
      </c>
      <c r="P607" s="4" t="n">
        <f aca="false">N607-K607</f>
        <v>0</v>
      </c>
      <c r="Q607" s="4" t="n">
        <f aca="false">A607-MATCH(K607,$M$9:M606,1)</f>
        <v>62</v>
      </c>
      <c r="R607" s="0" t="n">
        <f aca="false">-G607*(O607/3600)</f>
        <v>-1.84034983295123</v>
      </c>
      <c r="S607" s="0" t="n">
        <f aca="false">-1*I607-(H607*(P607/3600))</f>
        <v>-19.5</v>
      </c>
      <c r="T607" s="0" t="n">
        <f aca="false">-H607*(O607/3600)</f>
        <v>-1.28007625963589</v>
      </c>
      <c r="U607" s="0" t="n">
        <f aca="false">T607-S607</f>
        <v>18.2199237403641</v>
      </c>
      <c r="V607" s="0" t="n">
        <f aca="false">1/(1+EXP(U607))</f>
        <v>1.22232769954341E-008</v>
      </c>
      <c r="W607" s="0" t="n">
        <f aca="true">RAND()</f>
        <v>0.164868643163678</v>
      </c>
      <c r="X607" s="0" t="n">
        <f aca="false">IF(W607&lt;V607,1,0)</f>
        <v>0</v>
      </c>
      <c r="Y607" s="0" t="n">
        <f aca="false">(M607*(1-X607)+N607*X607)*D607+M607*E607</f>
        <v>6198.82985076217</v>
      </c>
      <c r="Z607" s="0" t="n">
        <f aca="false">((1-X607)*O607+X607*P607)*D607+E607*O607</f>
        <v>623.843744515085</v>
      </c>
      <c r="AA607" s="0" t="n">
        <f aca="false">IF(D607*X607&gt;0,AA606,Q607)</f>
        <v>62</v>
      </c>
      <c r="AB607" s="0" t="n">
        <f aca="false">(X607*D607)</f>
        <v>0</v>
      </c>
      <c r="AC607" s="0" t="n">
        <f aca="false">SUM(AB$10:AB606)/K607</f>
        <v>0</v>
      </c>
      <c r="AD607" s="0" t="n">
        <f aca="false">R607*E607+D607*(X607*S607+(1-X607)*T607)</f>
        <v>-1.84034983295123</v>
      </c>
      <c r="AE607" s="0" t="n">
        <f aca="false">Z607</f>
        <v>623.843744515085</v>
      </c>
      <c r="AF607" s="0" t="n">
        <f aca="false">E607*O607</f>
        <v>623.843744515085</v>
      </c>
      <c r="AG607" s="0" t="n">
        <f aca="false">((1-X607)*O607+X607*P607)*D607</f>
        <v>0</v>
      </c>
      <c r="AH607" s="0" t="n">
        <f aca="false">D607*(LN(EXP(S607)+EXP(T607)))</f>
        <v>-0</v>
      </c>
      <c r="AJ607" s="0" t="n">
        <f aca="false">$J$5</f>
        <v>10</v>
      </c>
      <c r="AK607" s="4" t="n">
        <f aca="false">AJ607+MAX(K607,AK$10:AK606)</f>
        <v>6198.82985076217</v>
      </c>
      <c r="AL607" s="5" t="n">
        <f aca="false">AK607-K607</f>
        <v>623.843744515085</v>
      </c>
      <c r="AM607" s="0" t="n">
        <f aca="false">-G607*AL607/3600</f>
        <v>-1.84034983295123</v>
      </c>
      <c r="AN607" s="0" t="n">
        <f aca="false">-H607*AL607/3600</f>
        <v>-1.28007625963589</v>
      </c>
      <c r="AO607" s="0" t="n">
        <f aca="false">AM607*E607+AN607*D607</f>
        <v>-1.84034983295123</v>
      </c>
      <c r="AP607" s="0" t="n">
        <f aca="false">AL607*D607</f>
        <v>0</v>
      </c>
      <c r="AR607" s="0" t="n">
        <f aca="false">AN607*D607</f>
        <v>-0</v>
      </c>
      <c r="AS607" s="0" t="n">
        <f aca="false">AH607-AR607</f>
        <v>0</v>
      </c>
    </row>
    <row r="608" customFormat="false" ht="12" hidden="false" customHeight="false" outlineLevel="0" collapsed="false">
      <c r="A608" s="3" t="n">
        <f aca="false">A607+1</f>
        <v>599</v>
      </c>
      <c r="B608" s="3" t="n">
        <f aca="false">IF(A608&lt;$N$4/3,0.1,(IF(A608&gt;2*$N$4/3,0.05,0.12)))</f>
        <v>0.12</v>
      </c>
      <c r="C608" s="4" t="n">
        <f aca="true">RAND()</f>
        <v>0.702245647426498</v>
      </c>
      <c r="D608" s="0" t="n">
        <f aca="false">IF((C608&gt;$M$2),1,0)</f>
        <v>0</v>
      </c>
      <c r="E608" s="0" t="n">
        <f aca="false">1-D608</f>
        <v>1</v>
      </c>
      <c r="F608" s="0" t="n">
        <f aca="true">RAND()</f>
        <v>0.310295877155614</v>
      </c>
      <c r="G608" s="0" t="n">
        <f aca="false">7.75+F608*10</f>
        <v>10.8529587715561</v>
      </c>
      <c r="H608" s="0" t="n">
        <f aca="false">LOGINV(F608,2.64,1.139)</f>
        <v>7.97396213541014</v>
      </c>
      <c r="I608" s="0" t="n">
        <v>19.5</v>
      </c>
      <c r="J608" s="4" t="n">
        <f aca="true">-LN(RAND())/B608</f>
        <v>9.08313100366154</v>
      </c>
      <c r="K608" s="4" t="n">
        <f aca="false">K607+J608</f>
        <v>5584.06923725075</v>
      </c>
      <c r="L608" s="4" t="n">
        <f aca="false">(1/$J$4)*(1+AB607)</f>
        <v>10</v>
      </c>
      <c r="M608" s="4" t="n">
        <f aca="false">L608+MAX(K608,Y$10:Y607)</f>
        <v>6208.82985076217</v>
      </c>
      <c r="N608" s="4" t="n">
        <f aca="false">K608</f>
        <v>5584.06923725075</v>
      </c>
      <c r="O608" s="4" t="n">
        <f aca="false">M608-K608</f>
        <v>624.760613511423</v>
      </c>
      <c r="P608" s="4" t="n">
        <f aca="false">N608-K608</f>
        <v>0</v>
      </c>
      <c r="Q608" s="4" t="n">
        <f aca="false">A608-MATCH(K608,$M$9:M607,1)</f>
        <v>62</v>
      </c>
      <c r="R608" s="0" t="n">
        <f aca="false">-G608*(O608/3600)</f>
        <v>-1.88347255014766</v>
      </c>
      <c r="S608" s="0" t="n">
        <f aca="false">-1*I608-(H608*(P608/3600))</f>
        <v>-19.5</v>
      </c>
      <c r="T608" s="0" t="n">
        <f aca="false">-H608*(O608/3600)</f>
        <v>-1.38383818773214</v>
      </c>
      <c r="U608" s="0" t="n">
        <f aca="false">T608-S608</f>
        <v>18.1161618122679</v>
      </c>
      <c r="V608" s="0" t="n">
        <f aca="false">1/(1+EXP(U608))</f>
        <v>1.35597251226912E-008</v>
      </c>
      <c r="W608" s="0" t="n">
        <f aca="true">RAND()</f>
        <v>0.845594869597147</v>
      </c>
      <c r="X608" s="0" t="n">
        <f aca="false">IF(W608&lt;V608,1,0)</f>
        <v>0</v>
      </c>
      <c r="Y608" s="0" t="n">
        <f aca="false">(M608*(1-X608)+N608*X608)*D608+M608*E608</f>
        <v>6208.82985076217</v>
      </c>
      <c r="Z608" s="0" t="n">
        <f aca="false">((1-X608)*O608+X608*P608)*D608+E608*O608</f>
        <v>624.760613511423</v>
      </c>
      <c r="AA608" s="0" t="n">
        <f aca="false">IF(D608*X608&gt;0,AA607,Q608)</f>
        <v>62</v>
      </c>
      <c r="AB608" s="0" t="n">
        <f aca="false">(X608*D608)</f>
        <v>0</v>
      </c>
      <c r="AC608" s="0" t="n">
        <f aca="false">SUM(AB$10:AB607)/K608</f>
        <v>0</v>
      </c>
      <c r="AD608" s="0" t="n">
        <f aca="false">R608*E608+D608*(X608*S608+(1-X608)*T608)</f>
        <v>-1.88347255014766</v>
      </c>
      <c r="AE608" s="0" t="n">
        <f aca="false">Z608</f>
        <v>624.760613511423</v>
      </c>
      <c r="AF608" s="0" t="n">
        <f aca="false">E608*O608</f>
        <v>624.760613511423</v>
      </c>
      <c r="AG608" s="0" t="n">
        <f aca="false">((1-X608)*O608+X608*P608)*D608</f>
        <v>0</v>
      </c>
      <c r="AH608" s="0" t="n">
        <f aca="false">D608*(LN(EXP(S608)+EXP(T608)))</f>
        <v>-0</v>
      </c>
      <c r="AJ608" s="0" t="n">
        <f aca="false">$J$5</f>
        <v>10</v>
      </c>
      <c r="AK608" s="4" t="n">
        <f aca="false">AJ608+MAX(K608,AK$10:AK607)</f>
        <v>6208.82985076217</v>
      </c>
      <c r="AL608" s="5" t="n">
        <f aca="false">AK608-K608</f>
        <v>624.760613511423</v>
      </c>
      <c r="AM608" s="0" t="n">
        <f aca="false">-G608*AL608/3600</f>
        <v>-1.88347255014766</v>
      </c>
      <c r="AN608" s="0" t="n">
        <f aca="false">-H608*AL608/3600</f>
        <v>-1.38383818773214</v>
      </c>
      <c r="AO608" s="0" t="n">
        <f aca="false">AM608*E608+AN608*D608</f>
        <v>-1.88347255014766</v>
      </c>
      <c r="AP608" s="0" t="n">
        <f aca="false">AL608*D608</f>
        <v>0</v>
      </c>
      <c r="AR608" s="0" t="n">
        <f aca="false">AN608*D608</f>
        <v>-0</v>
      </c>
      <c r="AS608" s="0" t="n">
        <f aca="false">AH608-AR608</f>
        <v>0</v>
      </c>
    </row>
    <row r="609" customFormat="false" ht="12" hidden="false" customHeight="false" outlineLevel="0" collapsed="false">
      <c r="A609" s="3" t="n">
        <f aca="false">A608+1</f>
        <v>600</v>
      </c>
      <c r="B609" s="3" t="n">
        <f aca="false">IF(A609&lt;$N$4/3,0.1,(IF(A609&gt;2*$N$4/3,0.05,0.12)))</f>
        <v>0.12</v>
      </c>
      <c r="C609" s="4" t="n">
        <f aca="true">RAND()</f>
        <v>0.832874654013554</v>
      </c>
      <c r="D609" s="0" t="n">
        <f aca="false">IF((C609&gt;$M$2),1,0)</f>
        <v>0</v>
      </c>
      <c r="E609" s="0" t="n">
        <f aca="false">1-D609</f>
        <v>1</v>
      </c>
      <c r="F609" s="0" t="n">
        <f aca="true">RAND()</f>
        <v>0.482253921281643</v>
      </c>
      <c r="G609" s="0" t="n">
        <f aca="false">7.75+F609*10</f>
        <v>12.5725392128164</v>
      </c>
      <c r="H609" s="0" t="n">
        <f aca="false">LOGINV(F609,2.64,1.139)</f>
        <v>13.3206750655381</v>
      </c>
      <c r="I609" s="0" t="n">
        <v>19.5</v>
      </c>
      <c r="J609" s="4" t="n">
        <f aca="true">-LN(RAND())/B609</f>
        <v>2.36890497363552</v>
      </c>
      <c r="K609" s="4" t="n">
        <f aca="false">K608+J609</f>
        <v>5586.43814222438</v>
      </c>
      <c r="L609" s="4" t="n">
        <f aca="false">(1/$J$4)*(1+AB608)</f>
        <v>10</v>
      </c>
      <c r="M609" s="4" t="n">
        <f aca="false">L609+MAX(K609,Y$10:Y608)</f>
        <v>6218.82985076217</v>
      </c>
      <c r="N609" s="4" t="n">
        <f aca="false">K609</f>
        <v>5586.43814222438</v>
      </c>
      <c r="O609" s="4" t="n">
        <f aca="false">M609-K609</f>
        <v>632.391708537787</v>
      </c>
      <c r="P609" s="4" t="n">
        <f aca="false">N609-K609</f>
        <v>0</v>
      </c>
      <c r="Q609" s="4" t="n">
        <f aca="false">A609-MATCH(K609,$M$9:M608,1)</f>
        <v>63</v>
      </c>
      <c r="R609" s="0" t="n">
        <f aca="false">-G609*(O609/3600)</f>
        <v>-2.20854709818092</v>
      </c>
      <c r="S609" s="0" t="n">
        <f aca="false">-1*I609-(H609*(P609/3600))</f>
        <v>-19.5</v>
      </c>
      <c r="T609" s="0" t="n">
        <f aca="false">-H609*(O609/3600)</f>
        <v>-2.33996790654787</v>
      </c>
      <c r="U609" s="0" t="n">
        <f aca="false">T609-S609</f>
        <v>17.1600320934521</v>
      </c>
      <c r="V609" s="0" t="n">
        <f aca="false">1/(1+EXP(U609))</f>
        <v>3.52770887114587E-008</v>
      </c>
      <c r="W609" s="0" t="n">
        <f aca="true">RAND()</f>
        <v>0.716875203384498</v>
      </c>
      <c r="X609" s="0" t="n">
        <f aca="false">IF(W609&lt;V609,1,0)</f>
        <v>0</v>
      </c>
      <c r="Y609" s="0" t="n">
        <f aca="false">(M609*(1-X609)+N609*X609)*D609+M609*E609</f>
        <v>6218.82985076217</v>
      </c>
      <c r="Z609" s="0" t="n">
        <f aca="false">((1-X609)*O609+X609*P609)*D609+E609*O609</f>
        <v>632.391708537787</v>
      </c>
      <c r="AA609" s="0" t="n">
        <f aca="false">IF(D609*X609&gt;0,AA608,Q609)</f>
        <v>63</v>
      </c>
      <c r="AB609" s="0" t="n">
        <f aca="false">(X609*D609)</f>
        <v>0</v>
      </c>
      <c r="AC609" s="0" t="n">
        <f aca="false">SUM(AB$10:AB608)/K609</f>
        <v>0</v>
      </c>
      <c r="AD609" s="0" t="n">
        <f aca="false">R609*E609+D609*(X609*S609+(1-X609)*T609)</f>
        <v>-2.20854709818092</v>
      </c>
      <c r="AE609" s="0" t="n">
        <f aca="false">Z609</f>
        <v>632.391708537787</v>
      </c>
      <c r="AF609" s="0" t="n">
        <f aca="false">E609*O609</f>
        <v>632.391708537787</v>
      </c>
      <c r="AG609" s="0" t="n">
        <f aca="false">((1-X609)*O609+X609*P609)*D609</f>
        <v>0</v>
      </c>
      <c r="AH609" s="0" t="n">
        <f aca="false">D609*(LN(EXP(S609)+EXP(T609)))</f>
        <v>-0</v>
      </c>
      <c r="AJ609" s="0" t="n">
        <f aca="false">$J$5</f>
        <v>10</v>
      </c>
      <c r="AK609" s="4" t="n">
        <f aca="false">AJ609+MAX(K609,AK$10:AK608)</f>
        <v>6218.82985076217</v>
      </c>
      <c r="AL609" s="5" t="n">
        <f aca="false">AK609-K609</f>
        <v>632.391708537787</v>
      </c>
      <c r="AM609" s="0" t="n">
        <f aca="false">-G609*AL609/3600</f>
        <v>-2.20854709818092</v>
      </c>
      <c r="AN609" s="0" t="n">
        <f aca="false">-H609*AL609/3600</f>
        <v>-2.33996790654787</v>
      </c>
      <c r="AO609" s="0" t="n">
        <f aca="false">AM609*E609+AN609*D609</f>
        <v>-2.20854709818092</v>
      </c>
      <c r="AP609" s="0" t="n">
        <f aca="false">AL609*D609</f>
        <v>0</v>
      </c>
      <c r="AR609" s="0" t="n">
        <f aca="false">AN609*D609</f>
        <v>-0</v>
      </c>
      <c r="AS609" s="0" t="n">
        <f aca="false">AH609-AR609</f>
        <v>0</v>
      </c>
    </row>
    <row r="610" customFormat="false" ht="12" hidden="false" customHeight="false" outlineLevel="0" collapsed="false">
      <c r="A610" s="3" t="n">
        <f aca="false">A609+1</f>
        <v>601</v>
      </c>
      <c r="B610" s="3" t="n">
        <f aca="false">IF(A610&lt;$N$4/3,0.1,(IF(A610&gt;2*$N$4/3,0.05,0.12)))</f>
        <v>0.12</v>
      </c>
      <c r="C610" s="4" t="n">
        <f aca="true">RAND()</f>
        <v>0.940470909416177</v>
      </c>
      <c r="D610" s="0" t="n">
        <f aca="false">IF((C610&gt;$M$2),1,0)</f>
        <v>1</v>
      </c>
      <c r="E610" s="0" t="n">
        <f aca="false">1-D610</f>
        <v>0</v>
      </c>
      <c r="F610" s="0" t="n">
        <f aca="true">RAND()</f>
        <v>0.832489913611087</v>
      </c>
      <c r="G610" s="0" t="n">
        <f aca="false">7.75+F610*10</f>
        <v>16.0748991361109</v>
      </c>
      <c r="H610" s="0" t="n">
        <f aca="false">LOGINV(F610,2.64,1.139)</f>
        <v>42.0161684944049</v>
      </c>
      <c r="I610" s="0" t="n">
        <v>19.5</v>
      </c>
      <c r="J610" s="4" t="n">
        <f aca="true">-LN(RAND())/B610</f>
        <v>26.311781380084</v>
      </c>
      <c r="K610" s="4" t="n">
        <f aca="false">K609+J610</f>
        <v>5612.74992360447</v>
      </c>
      <c r="L610" s="4" t="n">
        <f aca="false">(1/$J$4)*(1+AB609)</f>
        <v>10</v>
      </c>
      <c r="M610" s="4" t="n">
        <f aca="false">L610+MAX(K610,Y$10:Y609)</f>
        <v>6228.82985076217</v>
      </c>
      <c r="N610" s="4" t="n">
        <f aca="false">K610</f>
        <v>5612.74992360447</v>
      </c>
      <c r="O610" s="4" t="n">
        <f aca="false">M610-K610</f>
        <v>616.079927157703</v>
      </c>
      <c r="P610" s="4" t="n">
        <f aca="false">N610-K610</f>
        <v>0</v>
      </c>
      <c r="Q610" s="4" t="n">
        <f aca="false">A610-MATCH(K610,$M$9:M609,1)</f>
        <v>61</v>
      </c>
      <c r="R610" s="0" t="n">
        <f aca="false">-G610*(O610/3600)</f>
        <v>-2.75095074690073</v>
      </c>
      <c r="S610" s="0" t="n">
        <f aca="false">-1*I610-(H610*(P610/3600))</f>
        <v>-19.5</v>
      </c>
      <c r="T610" s="0" t="n">
        <f aca="false">-H610*(O610/3600)</f>
        <v>-7.19036611818855</v>
      </c>
      <c r="U610" s="0" t="n">
        <f aca="false">T610-S610</f>
        <v>12.3096338818115</v>
      </c>
      <c r="V610" s="0" t="n">
        <f aca="false">1/(1+EXP(U610))</f>
        <v>4.50808372281884E-006</v>
      </c>
      <c r="W610" s="0" t="n">
        <f aca="true">RAND()</f>
        <v>0.533961962992495</v>
      </c>
      <c r="X610" s="0" t="n">
        <f aca="false">IF(W610&lt;V610,1,0)</f>
        <v>0</v>
      </c>
      <c r="Y610" s="0" t="n">
        <f aca="false">(M610*(1-X610)+N610*X610)*D610+M610*E610</f>
        <v>6228.82985076217</v>
      </c>
      <c r="Z610" s="0" t="n">
        <f aca="false">((1-X610)*O610+X610*P610)*D610+E610*O610</f>
        <v>616.079927157703</v>
      </c>
      <c r="AA610" s="0" t="n">
        <f aca="false">IF(D610*X610&gt;0,AA609,Q610)</f>
        <v>61</v>
      </c>
      <c r="AB610" s="0" t="n">
        <f aca="false">(X610*D610)</f>
        <v>0</v>
      </c>
      <c r="AC610" s="0" t="n">
        <f aca="false">SUM(AB$10:AB609)/K610</f>
        <v>0</v>
      </c>
      <c r="AD610" s="0" t="n">
        <f aca="false">R610*E610+D610*(X610*S610+(1-X610)*T610)</f>
        <v>-7.19036611818855</v>
      </c>
      <c r="AE610" s="0" t="n">
        <f aca="false">Z610</f>
        <v>616.079927157703</v>
      </c>
      <c r="AF610" s="0" t="n">
        <f aca="false">E610*O610</f>
        <v>0</v>
      </c>
      <c r="AG610" s="0" t="n">
        <f aca="false">((1-X610)*O610+X610*P610)*D610</f>
        <v>616.079927157703</v>
      </c>
      <c r="AH610" s="0" t="n">
        <f aca="false">D610*(LN(EXP(S610)+EXP(T610)))</f>
        <v>-7.19036161009467</v>
      </c>
      <c r="AJ610" s="0" t="n">
        <f aca="false">$J$5</f>
        <v>10</v>
      </c>
      <c r="AK610" s="4" t="n">
        <f aca="false">AJ610+MAX(K610,AK$10:AK609)</f>
        <v>6228.82985076217</v>
      </c>
      <c r="AL610" s="5" t="n">
        <f aca="false">AK610-K610</f>
        <v>616.079927157703</v>
      </c>
      <c r="AM610" s="0" t="n">
        <f aca="false">-G610*AL610/3600</f>
        <v>-2.75095074690073</v>
      </c>
      <c r="AN610" s="0" t="n">
        <f aca="false">-H610*AL610/3600</f>
        <v>-7.19036611818855</v>
      </c>
      <c r="AO610" s="0" t="n">
        <f aca="false">AM610*E610+AN610*D610</f>
        <v>-7.19036611818855</v>
      </c>
      <c r="AP610" s="0" t="n">
        <f aca="false">AL610*D610</f>
        <v>616.079927157703</v>
      </c>
      <c r="AR610" s="0" t="n">
        <f aca="false">AN610*D610</f>
        <v>-7.19036611818855</v>
      </c>
      <c r="AS610" s="0" t="n">
        <f aca="false">AH610-AR610</f>
        <v>4.50809388308215E-006</v>
      </c>
    </row>
    <row r="611" customFormat="false" ht="12" hidden="false" customHeight="false" outlineLevel="0" collapsed="false">
      <c r="A611" s="3" t="n">
        <f aca="false">A610+1</f>
        <v>602</v>
      </c>
      <c r="B611" s="3" t="n">
        <f aca="false">IF(A611&lt;$N$4/3,0.1,(IF(A611&gt;2*$N$4/3,0.05,0.12)))</f>
        <v>0.12</v>
      </c>
      <c r="C611" s="4" t="n">
        <f aca="true">RAND()</f>
        <v>0.839072289935605</v>
      </c>
      <c r="D611" s="0" t="n">
        <f aca="false">IF((C611&gt;$M$2),1,0)</f>
        <v>0</v>
      </c>
      <c r="E611" s="0" t="n">
        <f aca="false">1-D611</f>
        <v>1</v>
      </c>
      <c r="F611" s="0" t="n">
        <f aca="true">RAND()</f>
        <v>0.430974983165335</v>
      </c>
      <c r="G611" s="0" t="n">
        <f aca="false">7.75+F611*10</f>
        <v>12.0597498316534</v>
      </c>
      <c r="H611" s="0" t="n">
        <f aca="false">LOGINV(F611,2.64,1.139)</f>
        <v>11.4952794738926</v>
      </c>
      <c r="I611" s="0" t="n">
        <v>19.5</v>
      </c>
      <c r="J611" s="4" t="n">
        <f aca="true">-LN(RAND())/B611</f>
        <v>1.81379667944701</v>
      </c>
      <c r="K611" s="4" t="n">
        <f aca="false">K610+J611</f>
        <v>5614.56372028391</v>
      </c>
      <c r="L611" s="4" t="n">
        <f aca="false">(1/$J$4)*(1+AB610)</f>
        <v>10</v>
      </c>
      <c r="M611" s="4" t="n">
        <f aca="false">L611+MAX(K611,Y$10:Y610)</f>
        <v>6238.82985076217</v>
      </c>
      <c r="N611" s="4" t="n">
        <f aca="false">K611</f>
        <v>5614.56372028391</v>
      </c>
      <c r="O611" s="4" t="n">
        <f aca="false">M611-K611</f>
        <v>624.266130478257</v>
      </c>
      <c r="P611" s="4" t="n">
        <f aca="false">N611-K611</f>
        <v>0</v>
      </c>
      <c r="Q611" s="4" t="n">
        <f aca="false">A611-MATCH(K611,$M$9:M610,1)</f>
        <v>62</v>
      </c>
      <c r="R611" s="0" t="n">
        <f aca="false">-G611*(O611/3600)</f>
        <v>-2.09124815609501</v>
      </c>
      <c r="S611" s="0" t="n">
        <f aca="false">-1*I611-(H611*(P611/3600))</f>
        <v>-19.5</v>
      </c>
      <c r="T611" s="0" t="n">
        <f aca="false">-H611*(O611/3600)</f>
        <v>-1.99336489887029</v>
      </c>
      <c r="U611" s="0" t="n">
        <f aca="false">T611-S611</f>
        <v>17.5066351011297</v>
      </c>
      <c r="V611" s="0" t="n">
        <f aca="false">1/(1+EXP(U611))</f>
        <v>2.49439351096988E-008</v>
      </c>
      <c r="W611" s="0" t="n">
        <f aca="true">RAND()</f>
        <v>0.433141167333474</v>
      </c>
      <c r="X611" s="0" t="n">
        <f aca="false">IF(W611&lt;V611,1,0)</f>
        <v>0</v>
      </c>
      <c r="Y611" s="0" t="n">
        <f aca="false">(M611*(1-X611)+N611*X611)*D611+M611*E611</f>
        <v>6238.82985076217</v>
      </c>
      <c r="Z611" s="0" t="n">
        <f aca="false">((1-X611)*O611+X611*P611)*D611+E611*O611</f>
        <v>624.266130478257</v>
      </c>
      <c r="AA611" s="0" t="n">
        <f aca="false">IF(D611*X611&gt;0,AA610,Q611)</f>
        <v>62</v>
      </c>
      <c r="AB611" s="0" t="n">
        <f aca="false">(X611*D611)</f>
        <v>0</v>
      </c>
      <c r="AC611" s="0" t="n">
        <f aca="false">SUM(AB$10:AB610)/K611</f>
        <v>0</v>
      </c>
      <c r="AD611" s="0" t="n">
        <f aca="false">R611*E611+D611*(X611*S611+(1-X611)*T611)</f>
        <v>-2.09124815609501</v>
      </c>
      <c r="AE611" s="0" t="n">
        <f aca="false">Z611</f>
        <v>624.266130478257</v>
      </c>
      <c r="AF611" s="0" t="n">
        <f aca="false">E611*O611</f>
        <v>624.266130478257</v>
      </c>
      <c r="AG611" s="0" t="n">
        <f aca="false">((1-X611)*O611+X611*P611)*D611</f>
        <v>0</v>
      </c>
      <c r="AH611" s="0" t="n">
        <f aca="false">D611*(LN(EXP(S611)+EXP(T611)))</f>
        <v>-0</v>
      </c>
      <c r="AJ611" s="0" t="n">
        <f aca="false">$J$5</f>
        <v>10</v>
      </c>
      <c r="AK611" s="4" t="n">
        <f aca="false">AJ611+MAX(K611,AK$10:AK610)</f>
        <v>6238.82985076217</v>
      </c>
      <c r="AL611" s="5" t="n">
        <f aca="false">AK611-K611</f>
        <v>624.266130478257</v>
      </c>
      <c r="AM611" s="0" t="n">
        <f aca="false">-G611*AL611/3600</f>
        <v>-2.09124815609501</v>
      </c>
      <c r="AN611" s="0" t="n">
        <f aca="false">-H611*AL611/3600</f>
        <v>-1.99336489887029</v>
      </c>
      <c r="AO611" s="0" t="n">
        <f aca="false">AM611*E611+AN611*D611</f>
        <v>-2.09124815609501</v>
      </c>
      <c r="AP611" s="0" t="n">
        <f aca="false">AL611*D611</f>
        <v>0</v>
      </c>
      <c r="AR611" s="0" t="n">
        <f aca="false">AN611*D611</f>
        <v>-0</v>
      </c>
      <c r="AS611" s="0" t="n">
        <f aca="false">AH611-AR611</f>
        <v>0</v>
      </c>
    </row>
    <row r="612" customFormat="false" ht="12" hidden="false" customHeight="false" outlineLevel="0" collapsed="false">
      <c r="A612" s="3" t="n">
        <f aca="false">A611+1</f>
        <v>603</v>
      </c>
      <c r="B612" s="3" t="n">
        <f aca="false">IF(A612&lt;$N$4/3,0.1,(IF(A612&gt;2*$N$4/3,0.05,0.12)))</f>
        <v>0.12</v>
      </c>
      <c r="C612" s="4" t="n">
        <f aca="true">RAND()</f>
        <v>0.179584454945605</v>
      </c>
      <c r="D612" s="0" t="n">
        <f aca="false">IF((C612&gt;$M$2),1,0)</f>
        <v>0</v>
      </c>
      <c r="E612" s="0" t="n">
        <f aca="false">1-D612</f>
        <v>1</v>
      </c>
      <c r="F612" s="0" t="n">
        <f aca="true">RAND()</f>
        <v>0.800827809763553</v>
      </c>
      <c r="G612" s="0" t="n">
        <f aca="false">7.75+F612*10</f>
        <v>15.7582780976355</v>
      </c>
      <c r="H612" s="0" t="n">
        <f aca="false">LOGINV(F612,2.64,1.139)</f>
        <v>36.6707215007248</v>
      </c>
      <c r="I612" s="0" t="n">
        <v>19.5</v>
      </c>
      <c r="J612" s="4" t="n">
        <f aca="true">-LN(RAND())/B612</f>
        <v>7.69692972988273</v>
      </c>
      <c r="K612" s="4" t="n">
        <f aca="false">K611+J612</f>
        <v>5622.2606500138</v>
      </c>
      <c r="L612" s="4" t="n">
        <f aca="false">(1/$J$4)*(1+AB611)</f>
        <v>10</v>
      </c>
      <c r="M612" s="4" t="n">
        <f aca="false">L612+MAX(K612,Y$10:Y611)</f>
        <v>6248.82985076217</v>
      </c>
      <c r="N612" s="4" t="n">
        <f aca="false">K612</f>
        <v>5622.2606500138</v>
      </c>
      <c r="O612" s="4" t="n">
        <f aca="false">M612-K612</f>
        <v>626.569200748374</v>
      </c>
      <c r="P612" s="4" t="n">
        <f aca="false">N612-K612</f>
        <v>0</v>
      </c>
      <c r="Q612" s="4" t="n">
        <f aca="false">A612-MATCH(K612,$M$9:M611,1)</f>
        <v>62</v>
      </c>
      <c r="R612" s="0" t="n">
        <f aca="false">-G612*(O612/3600)</f>
        <v>-2.74268103133503</v>
      </c>
      <c r="S612" s="0" t="n">
        <f aca="false">-1*I612-(H612*(P612/3600))</f>
        <v>-19.5</v>
      </c>
      <c r="T612" s="0" t="n">
        <f aca="false">-H612*(O612/3600)</f>
        <v>-6.38242907265981</v>
      </c>
      <c r="U612" s="0" t="n">
        <f aca="false">T612-S612</f>
        <v>13.1175709273402</v>
      </c>
      <c r="V612" s="0" t="n">
        <f aca="false">1/(1+EXP(U612))</f>
        <v>2.00960386592441E-006</v>
      </c>
      <c r="W612" s="0" t="n">
        <f aca="true">RAND()</f>
        <v>0.625575094479958</v>
      </c>
      <c r="X612" s="0" t="n">
        <f aca="false">IF(W612&lt;V612,1,0)</f>
        <v>0</v>
      </c>
      <c r="Y612" s="0" t="n">
        <f aca="false">(M612*(1-X612)+N612*X612)*D612+M612*E612</f>
        <v>6248.82985076217</v>
      </c>
      <c r="Z612" s="0" t="n">
        <f aca="false">((1-X612)*O612+X612*P612)*D612+E612*O612</f>
        <v>626.569200748374</v>
      </c>
      <c r="AA612" s="0" t="n">
        <f aca="false">IF(D612*X612&gt;0,AA611,Q612)</f>
        <v>62</v>
      </c>
      <c r="AB612" s="0" t="n">
        <f aca="false">(X612*D612)</f>
        <v>0</v>
      </c>
      <c r="AC612" s="0" t="n">
        <f aca="false">SUM(AB$10:AB611)/K612</f>
        <v>0</v>
      </c>
      <c r="AD612" s="0" t="n">
        <f aca="false">R612*E612+D612*(X612*S612+(1-X612)*T612)</f>
        <v>-2.74268103133503</v>
      </c>
      <c r="AE612" s="0" t="n">
        <f aca="false">Z612</f>
        <v>626.569200748374</v>
      </c>
      <c r="AF612" s="0" t="n">
        <f aca="false">E612*O612</f>
        <v>626.569200748374</v>
      </c>
      <c r="AG612" s="0" t="n">
        <f aca="false">((1-X612)*O612+X612*P612)*D612</f>
        <v>0</v>
      </c>
      <c r="AH612" s="0" t="n">
        <f aca="false">D612*(LN(EXP(S612)+EXP(T612)))</f>
        <v>-0</v>
      </c>
      <c r="AJ612" s="0" t="n">
        <f aca="false">$J$5</f>
        <v>10</v>
      </c>
      <c r="AK612" s="4" t="n">
        <f aca="false">AJ612+MAX(K612,AK$10:AK611)</f>
        <v>6248.82985076217</v>
      </c>
      <c r="AL612" s="5" t="n">
        <f aca="false">AK612-K612</f>
        <v>626.569200748374</v>
      </c>
      <c r="AM612" s="0" t="n">
        <f aca="false">-G612*AL612/3600</f>
        <v>-2.74268103133503</v>
      </c>
      <c r="AN612" s="0" t="n">
        <f aca="false">-H612*AL612/3600</f>
        <v>-6.38242907265981</v>
      </c>
      <c r="AO612" s="0" t="n">
        <f aca="false">AM612*E612+AN612*D612</f>
        <v>-2.74268103133503</v>
      </c>
      <c r="AP612" s="0" t="n">
        <f aca="false">AL612*D612</f>
        <v>0</v>
      </c>
      <c r="AR612" s="0" t="n">
        <f aca="false">AN612*D612</f>
        <v>-0</v>
      </c>
      <c r="AS612" s="0" t="n">
        <f aca="false">AH612-AR612</f>
        <v>0</v>
      </c>
    </row>
    <row r="613" customFormat="false" ht="12" hidden="false" customHeight="false" outlineLevel="0" collapsed="false">
      <c r="A613" s="3" t="n">
        <f aca="false">A612+1</f>
        <v>604</v>
      </c>
      <c r="B613" s="3" t="n">
        <f aca="false">IF(A613&lt;$N$4/3,0.1,(IF(A613&gt;2*$N$4/3,0.05,0.12)))</f>
        <v>0.12</v>
      </c>
      <c r="C613" s="4" t="n">
        <f aca="true">RAND()</f>
        <v>0.0469332042975103</v>
      </c>
      <c r="D613" s="0" t="n">
        <f aca="false">IF((C613&gt;$M$2),1,0)</f>
        <v>0</v>
      </c>
      <c r="E613" s="0" t="n">
        <f aca="false">1-D613</f>
        <v>1</v>
      </c>
      <c r="F613" s="0" t="n">
        <f aca="true">RAND()</f>
        <v>0.214592377531063</v>
      </c>
      <c r="G613" s="0" t="n">
        <f aca="false">7.75+F613*10</f>
        <v>9.89592377531063</v>
      </c>
      <c r="H613" s="0" t="n">
        <f aca="false">LOGINV(F613,2.64,1.139)</f>
        <v>5.69461425159623</v>
      </c>
      <c r="I613" s="0" t="n">
        <v>19.5</v>
      </c>
      <c r="J613" s="4" t="n">
        <f aca="true">-LN(RAND())/B613</f>
        <v>5.29866889568429</v>
      </c>
      <c r="K613" s="4" t="n">
        <f aca="false">K612+J613</f>
        <v>5627.55931890948</v>
      </c>
      <c r="L613" s="4" t="n">
        <f aca="false">(1/$J$4)*(1+AB612)</f>
        <v>10</v>
      </c>
      <c r="M613" s="4" t="n">
        <f aca="false">L613+MAX(K613,Y$10:Y612)</f>
        <v>6258.82985076217</v>
      </c>
      <c r="N613" s="4" t="n">
        <f aca="false">K613</f>
        <v>5627.55931890948</v>
      </c>
      <c r="O613" s="4" t="n">
        <f aca="false">M613-K613</f>
        <v>631.27053185269</v>
      </c>
      <c r="P613" s="4" t="n">
        <f aca="false">N613-K613</f>
        <v>0</v>
      </c>
      <c r="Q613" s="4" t="n">
        <f aca="false">A613-MATCH(K613,$M$9:M612,1)</f>
        <v>63</v>
      </c>
      <c r="R613" s="0" t="n">
        <f aca="false">-G613*(O613/3600)</f>
        <v>-1.73527918467056</v>
      </c>
      <c r="S613" s="0" t="n">
        <f aca="false">-1*I613-(H613*(P613/3600))</f>
        <v>-19.5</v>
      </c>
      <c r="T613" s="0" t="n">
        <f aca="false">-H613*(O613/3600)</f>
        <v>-0.998567268694738</v>
      </c>
      <c r="U613" s="0" t="n">
        <f aca="false">T613-S613</f>
        <v>18.5014327313053</v>
      </c>
      <c r="V613" s="0" t="n">
        <f aca="false">1/(1+EXP(U613))</f>
        <v>9.22422426999073E-009</v>
      </c>
      <c r="W613" s="0" t="n">
        <f aca="true">RAND()</f>
        <v>0.373428334395686</v>
      </c>
      <c r="X613" s="0" t="n">
        <f aca="false">IF(W613&lt;V613,1,0)</f>
        <v>0</v>
      </c>
      <c r="Y613" s="0" t="n">
        <f aca="false">(M613*(1-X613)+N613*X613)*D613+M613*E613</f>
        <v>6258.82985076217</v>
      </c>
      <c r="Z613" s="0" t="n">
        <f aca="false">((1-X613)*O613+X613*P613)*D613+E613*O613</f>
        <v>631.27053185269</v>
      </c>
      <c r="AA613" s="0" t="n">
        <f aca="false">IF(D613*X613&gt;0,AA612,Q613)</f>
        <v>63</v>
      </c>
      <c r="AB613" s="0" t="n">
        <f aca="false">(X613*D613)</f>
        <v>0</v>
      </c>
      <c r="AC613" s="0" t="n">
        <f aca="false">SUM(AB$10:AB612)/K613</f>
        <v>0</v>
      </c>
      <c r="AD613" s="0" t="n">
        <f aca="false">R613*E613+D613*(X613*S613+(1-X613)*T613)</f>
        <v>-1.73527918467056</v>
      </c>
      <c r="AE613" s="0" t="n">
        <f aca="false">Z613</f>
        <v>631.27053185269</v>
      </c>
      <c r="AF613" s="0" t="n">
        <f aca="false">E613*O613</f>
        <v>631.27053185269</v>
      </c>
      <c r="AG613" s="0" t="n">
        <f aca="false">((1-X613)*O613+X613*P613)*D613</f>
        <v>0</v>
      </c>
      <c r="AH613" s="0" t="n">
        <f aca="false">D613*(LN(EXP(S613)+EXP(T613)))</f>
        <v>-0</v>
      </c>
      <c r="AJ613" s="0" t="n">
        <f aca="false">$J$5</f>
        <v>10</v>
      </c>
      <c r="AK613" s="4" t="n">
        <f aca="false">AJ613+MAX(K613,AK$10:AK612)</f>
        <v>6258.82985076217</v>
      </c>
      <c r="AL613" s="5" t="n">
        <f aca="false">AK613-K613</f>
        <v>631.27053185269</v>
      </c>
      <c r="AM613" s="0" t="n">
        <f aca="false">-G613*AL613/3600</f>
        <v>-1.73527918467056</v>
      </c>
      <c r="AN613" s="0" t="n">
        <f aca="false">-H613*AL613/3600</f>
        <v>-0.998567268694738</v>
      </c>
      <c r="AO613" s="0" t="n">
        <f aca="false">AM613*E613+AN613*D613</f>
        <v>-1.73527918467056</v>
      </c>
      <c r="AP613" s="0" t="n">
        <f aca="false">AL613*D613</f>
        <v>0</v>
      </c>
      <c r="AR613" s="0" t="n">
        <f aca="false">AN613*D613</f>
        <v>-0</v>
      </c>
      <c r="AS613" s="0" t="n">
        <f aca="false">AH613-AR613</f>
        <v>0</v>
      </c>
    </row>
    <row r="614" customFormat="false" ht="12" hidden="false" customHeight="false" outlineLevel="0" collapsed="false">
      <c r="A614" s="3" t="n">
        <f aca="false">A613+1</f>
        <v>605</v>
      </c>
      <c r="B614" s="3" t="n">
        <f aca="false">IF(A614&lt;$N$4/3,0.1,(IF(A614&gt;2*$N$4/3,0.05,0.12)))</f>
        <v>0.12</v>
      </c>
      <c r="C614" s="4" t="n">
        <f aca="true">RAND()</f>
        <v>0.722463028096508</v>
      </c>
      <c r="D614" s="0" t="n">
        <f aca="false">IF((C614&gt;$M$2),1,0)</f>
        <v>0</v>
      </c>
      <c r="E614" s="0" t="n">
        <f aca="false">1-D614</f>
        <v>1</v>
      </c>
      <c r="F614" s="0" t="n">
        <f aca="true">RAND()</f>
        <v>0.469374871691942</v>
      </c>
      <c r="G614" s="0" t="n">
        <f aca="false">7.75+F614*10</f>
        <v>12.4437487169194</v>
      </c>
      <c r="H614" s="0" t="n">
        <f aca="false">LOGINV(F614,2.64,1.139)</f>
        <v>12.8388750964799</v>
      </c>
      <c r="I614" s="0" t="n">
        <v>19.5</v>
      </c>
      <c r="J614" s="4" t="n">
        <f aca="true">-LN(RAND())/B614</f>
        <v>25.834290160516</v>
      </c>
      <c r="K614" s="4" t="n">
        <f aca="false">K613+J614</f>
        <v>5653.39360907</v>
      </c>
      <c r="L614" s="4" t="n">
        <f aca="false">(1/$J$4)*(1+AB613)</f>
        <v>10</v>
      </c>
      <c r="M614" s="4" t="n">
        <f aca="false">L614+MAX(K614,Y$10:Y613)</f>
        <v>6268.82985076217</v>
      </c>
      <c r="N614" s="4" t="n">
        <f aca="false">K614</f>
        <v>5653.39360907</v>
      </c>
      <c r="O614" s="4" t="n">
        <f aca="false">M614-K614</f>
        <v>615.436241692174</v>
      </c>
      <c r="P614" s="4" t="n">
        <f aca="false">N614-K614</f>
        <v>0</v>
      </c>
      <c r="Q614" s="4" t="n">
        <f aca="false">A614-MATCH(K614,$M$9:M613,1)</f>
        <v>61</v>
      </c>
      <c r="R614" s="0" t="n">
        <f aca="false">-G614*(O614/3600)</f>
        <v>-2.12731498413964</v>
      </c>
      <c r="S614" s="0" t="n">
        <f aca="false">-1*I614-(H614*(P614/3600))</f>
        <v>-19.5</v>
      </c>
      <c r="T614" s="0" t="n">
        <f aca="false">-H614*(O614/3600)</f>
        <v>-2.19486362137023</v>
      </c>
      <c r="U614" s="0" t="n">
        <f aca="false">T614-S614</f>
        <v>17.3051363786298</v>
      </c>
      <c r="V614" s="0" t="n">
        <f aca="false">1/(1+EXP(U614))</f>
        <v>3.05122861717513E-008</v>
      </c>
      <c r="W614" s="0" t="n">
        <f aca="true">RAND()</f>
        <v>0.15572005228879</v>
      </c>
      <c r="X614" s="0" t="n">
        <f aca="false">IF(W614&lt;V614,1,0)</f>
        <v>0</v>
      </c>
      <c r="Y614" s="0" t="n">
        <f aca="false">(M614*(1-X614)+N614*X614)*D614+M614*E614</f>
        <v>6268.82985076217</v>
      </c>
      <c r="Z614" s="0" t="n">
        <f aca="false">((1-X614)*O614+X614*P614)*D614+E614*O614</f>
        <v>615.436241692174</v>
      </c>
      <c r="AA614" s="0" t="n">
        <f aca="false">IF(D614*X614&gt;0,AA613,Q614)</f>
        <v>61</v>
      </c>
      <c r="AB614" s="0" t="n">
        <f aca="false">(X614*D614)</f>
        <v>0</v>
      </c>
      <c r="AC614" s="0" t="n">
        <f aca="false">SUM(AB$10:AB613)/K614</f>
        <v>0</v>
      </c>
      <c r="AD614" s="0" t="n">
        <f aca="false">R614*E614+D614*(X614*S614+(1-X614)*T614)</f>
        <v>-2.12731498413964</v>
      </c>
      <c r="AE614" s="0" t="n">
        <f aca="false">Z614</f>
        <v>615.436241692174</v>
      </c>
      <c r="AF614" s="0" t="n">
        <f aca="false">E614*O614</f>
        <v>615.436241692174</v>
      </c>
      <c r="AG614" s="0" t="n">
        <f aca="false">((1-X614)*O614+X614*P614)*D614</f>
        <v>0</v>
      </c>
      <c r="AH614" s="0" t="n">
        <f aca="false">D614*(LN(EXP(S614)+EXP(T614)))</f>
        <v>-0</v>
      </c>
      <c r="AJ614" s="0" t="n">
        <f aca="false">$J$5</f>
        <v>10</v>
      </c>
      <c r="AK614" s="4" t="n">
        <f aca="false">AJ614+MAX(K614,AK$10:AK613)</f>
        <v>6268.82985076217</v>
      </c>
      <c r="AL614" s="5" t="n">
        <f aca="false">AK614-K614</f>
        <v>615.436241692174</v>
      </c>
      <c r="AM614" s="0" t="n">
        <f aca="false">-G614*AL614/3600</f>
        <v>-2.12731498413964</v>
      </c>
      <c r="AN614" s="0" t="n">
        <f aca="false">-H614*AL614/3600</f>
        <v>-2.19486362137023</v>
      </c>
      <c r="AO614" s="0" t="n">
        <f aca="false">AM614*E614+AN614*D614</f>
        <v>-2.12731498413964</v>
      </c>
      <c r="AP614" s="0" t="n">
        <f aca="false">AL614*D614</f>
        <v>0</v>
      </c>
      <c r="AR614" s="0" t="n">
        <f aca="false">AN614*D614</f>
        <v>-0</v>
      </c>
      <c r="AS614" s="0" t="n">
        <f aca="false">AH614-AR614</f>
        <v>0</v>
      </c>
    </row>
    <row r="615" customFormat="false" ht="12" hidden="false" customHeight="false" outlineLevel="0" collapsed="false">
      <c r="A615" s="3" t="n">
        <f aca="false">A614+1</f>
        <v>606</v>
      </c>
      <c r="B615" s="3" t="n">
        <f aca="false">IF(A615&lt;$N$4/3,0.1,(IF(A615&gt;2*$N$4/3,0.05,0.12)))</f>
        <v>0.12</v>
      </c>
      <c r="C615" s="4" t="n">
        <f aca="true">RAND()</f>
        <v>0.0816758783169504</v>
      </c>
      <c r="D615" s="0" t="n">
        <f aca="false">IF((C615&gt;$M$2),1,0)</f>
        <v>0</v>
      </c>
      <c r="E615" s="0" t="n">
        <f aca="false">1-D615</f>
        <v>1</v>
      </c>
      <c r="F615" s="0" t="n">
        <f aca="true">RAND()</f>
        <v>0.279000395997094</v>
      </c>
      <c r="G615" s="0" t="n">
        <f aca="false">7.75+F615*10</f>
        <v>10.5400039599709</v>
      </c>
      <c r="H615" s="0" t="n">
        <f aca="false">LOGINV(F615,2.64,1.139)</f>
        <v>7.19048284179201</v>
      </c>
      <c r="I615" s="0" t="n">
        <v>19.5</v>
      </c>
      <c r="J615" s="4" t="n">
        <f aca="true">-LN(RAND())/B615</f>
        <v>12.3264917229637</v>
      </c>
      <c r="K615" s="4" t="n">
        <f aca="false">K614+J615</f>
        <v>5665.72010079296</v>
      </c>
      <c r="L615" s="4" t="n">
        <f aca="false">(1/$J$4)*(1+AB614)</f>
        <v>10</v>
      </c>
      <c r="M615" s="4" t="n">
        <f aca="false">L615+MAX(K615,Y$10:Y614)</f>
        <v>6278.82985076217</v>
      </c>
      <c r="N615" s="4" t="n">
        <f aca="false">K615</f>
        <v>5665.72010079296</v>
      </c>
      <c r="O615" s="4" t="n">
        <f aca="false">M615-K615</f>
        <v>613.109749969211</v>
      </c>
      <c r="P615" s="4" t="n">
        <f aca="false">N615-K615</f>
        <v>0</v>
      </c>
      <c r="Q615" s="4" t="n">
        <f aca="false">A615-MATCH(K615,$M$9:M614,1)</f>
        <v>61</v>
      </c>
      <c r="R615" s="0" t="n">
        <f aca="false">-G615*(O615/3600)</f>
        <v>-1.79504977571452</v>
      </c>
      <c r="S615" s="0" t="n">
        <f aca="false">-1*I615-(H615*(P615/3600))</f>
        <v>-19.5</v>
      </c>
      <c r="T615" s="0" t="n">
        <f aca="false">-H615*(O615/3600)</f>
        <v>-1.22459864924694</v>
      </c>
      <c r="U615" s="0" t="n">
        <f aca="false">T615-S615</f>
        <v>18.2754013507531</v>
      </c>
      <c r="V615" s="0" t="n">
        <f aca="false">1/(1+EXP(U615))</f>
        <v>1.15636259161509E-008</v>
      </c>
      <c r="W615" s="0" t="n">
        <f aca="true">RAND()</f>
        <v>0.255390531705787</v>
      </c>
      <c r="X615" s="0" t="n">
        <f aca="false">IF(W615&lt;V615,1,0)</f>
        <v>0</v>
      </c>
      <c r="Y615" s="0" t="n">
        <f aca="false">(M615*(1-X615)+N615*X615)*D615+M615*E615</f>
        <v>6278.82985076217</v>
      </c>
      <c r="Z615" s="0" t="n">
        <f aca="false">((1-X615)*O615+X615*P615)*D615+E615*O615</f>
        <v>613.109749969211</v>
      </c>
      <c r="AA615" s="0" t="n">
        <f aca="false">IF(D615*X615&gt;0,AA614,Q615)</f>
        <v>61</v>
      </c>
      <c r="AB615" s="0" t="n">
        <f aca="false">(X615*D615)</f>
        <v>0</v>
      </c>
      <c r="AC615" s="0" t="n">
        <f aca="false">SUM(AB$10:AB614)/K615</f>
        <v>0</v>
      </c>
      <c r="AD615" s="0" t="n">
        <f aca="false">R615*E615+D615*(X615*S615+(1-X615)*T615)</f>
        <v>-1.79504977571452</v>
      </c>
      <c r="AE615" s="0" t="n">
        <f aca="false">Z615</f>
        <v>613.109749969211</v>
      </c>
      <c r="AF615" s="0" t="n">
        <f aca="false">E615*O615</f>
        <v>613.109749969211</v>
      </c>
      <c r="AG615" s="0" t="n">
        <f aca="false">((1-X615)*O615+X615*P615)*D615</f>
        <v>0</v>
      </c>
      <c r="AH615" s="0" t="n">
        <f aca="false">D615*(LN(EXP(S615)+EXP(T615)))</f>
        <v>-0</v>
      </c>
      <c r="AJ615" s="0" t="n">
        <f aca="false">$J$5</f>
        <v>10</v>
      </c>
      <c r="AK615" s="4" t="n">
        <f aca="false">AJ615+MAX(K615,AK$10:AK614)</f>
        <v>6278.82985076217</v>
      </c>
      <c r="AL615" s="5" t="n">
        <f aca="false">AK615-K615</f>
        <v>613.109749969211</v>
      </c>
      <c r="AM615" s="0" t="n">
        <f aca="false">-G615*AL615/3600</f>
        <v>-1.79504977571452</v>
      </c>
      <c r="AN615" s="0" t="n">
        <f aca="false">-H615*AL615/3600</f>
        <v>-1.22459864924694</v>
      </c>
      <c r="AO615" s="0" t="n">
        <f aca="false">AM615*E615+AN615*D615</f>
        <v>-1.79504977571452</v>
      </c>
      <c r="AP615" s="0" t="n">
        <f aca="false">AL615*D615</f>
        <v>0</v>
      </c>
      <c r="AR615" s="0" t="n">
        <f aca="false">AN615*D615</f>
        <v>-0</v>
      </c>
      <c r="AS615" s="0" t="n">
        <f aca="false">AH615-AR615</f>
        <v>0</v>
      </c>
    </row>
    <row r="616" customFormat="false" ht="12" hidden="false" customHeight="false" outlineLevel="0" collapsed="false">
      <c r="A616" s="3" t="n">
        <f aca="false">A615+1</f>
        <v>607</v>
      </c>
      <c r="B616" s="3" t="n">
        <f aca="false">IF(A616&lt;$N$4/3,0.1,(IF(A616&gt;2*$N$4/3,0.05,0.12)))</f>
        <v>0.12</v>
      </c>
      <c r="C616" s="4" t="n">
        <f aca="true">RAND()</f>
        <v>0.0182046713496183</v>
      </c>
      <c r="D616" s="0" t="n">
        <f aca="false">IF((C616&gt;$M$2),1,0)</f>
        <v>0</v>
      </c>
      <c r="E616" s="0" t="n">
        <f aca="false">1-D616</f>
        <v>1</v>
      </c>
      <c r="F616" s="0" t="n">
        <f aca="true">RAND()</f>
        <v>0.121118750469529</v>
      </c>
      <c r="G616" s="0" t="n">
        <f aca="false">7.75+F616*10</f>
        <v>8.96118750469529</v>
      </c>
      <c r="H616" s="0" t="n">
        <f aca="false">LOGINV(F616,2.64,1.139)</f>
        <v>3.69891388880201</v>
      </c>
      <c r="I616" s="0" t="n">
        <v>19.5</v>
      </c>
      <c r="J616" s="4" t="n">
        <f aca="true">-LN(RAND())/B616</f>
        <v>7.95396686826682</v>
      </c>
      <c r="K616" s="4" t="n">
        <f aca="false">K615+J616</f>
        <v>5673.67406766123</v>
      </c>
      <c r="L616" s="4" t="n">
        <f aca="false">(1/$J$4)*(1+AB615)</f>
        <v>10</v>
      </c>
      <c r="M616" s="4" t="n">
        <f aca="false">L616+MAX(K616,Y$10:Y615)</f>
        <v>6288.82985076217</v>
      </c>
      <c r="N616" s="4" t="n">
        <f aca="false">K616</f>
        <v>5673.67406766123</v>
      </c>
      <c r="O616" s="4" t="n">
        <f aca="false">M616-K616</f>
        <v>615.155783100944</v>
      </c>
      <c r="P616" s="4" t="n">
        <f aca="false">N616-K616</f>
        <v>0</v>
      </c>
      <c r="Q616" s="4" t="n">
        <f aca="false">A616-MATCH(K616,$M$9:M615,1)</f>
        <v>61</v>
      </c>
      <c r="R616" s="0" t="n">
        <f aca="false">-G616*(O616/3600)</f>
        <v>-1.53125731026812</v>
      </c>
      <c r="S616" s="0" t="n">
        <f aca="false">-1*I616-(H616*(P616/3600))</f>
        <v>-19.5</v>
      </c>
      <c r="T616" s="0" t="n">
        <f aca="false">-H616*(O616/3600)</f>
        <v>-0.632057852746934</v>
      </c>
      <c r="U616" s="0" t="n">
        <f aca="false">T616-S616</f>
        <v>18.8679421472531</v>
      </c>
      <c r="V616" s="0" t="n">
        <f aca="false">1/(1+EXP(U616))</f>
        <v>6.3937674714686E-009</v>
      </c>
      <c r="W616" s="0" t="n">
        <f aca="true">RAND()</f>
        <v>0.0888260290255791</v>
      </c>
      <c r="X616" s="0" t="n">
        <f aca="false">IF(W616&lt;V616,1,0)</f>
        <v>0</v>
      </c>
      <c r="Y616" s="0" t="n">
        <f aca="false">(M616*(1-X616)+N616*X616)*D616+M616*E616</f>
        <v>6288.82985076217</v>
      </c>
      <c r="Z616" s="0" t="n">
        <f aca="false">((1-X616)*O616+X616*P616)*D616+E616*O616</f>
        <v>615.155783100944</v>
      </c>
      <c r="AA616" s="0" t="n">
        <f aca="false">IF(D616*X616&gt;0,AA615,Q616)</f>
        <v>61</v>
      </c>
      <c r="AB616" s="0" t="n">
        <f aca="false">(X616*D616)</f>
        <v>0</v>
      </c>
      <c r="AC616" s="0" t="n">
        <f aca="false">SUM(AB$10:AB615)/K616</f>
        <v>0</v>
      </c>
      <c r="AD616" s="0" t="n">
        <f aca="false">R616*E616+D616*(X616*S616+(1-X616)*T616)</f>
        <v>-1.53125731026812</v>
      </c>
      <c r="AE616" s="0" t="n">
        <f aca="false">Z616</f>
        <v>615.155783100944</v>
      </c>
      <c r="AF616" s="0" t="n">
        <f aca="false">E616*O616</f>
        <v>615.155783100944</v>
      </c>
      <c r="AG616" s="0" t="n">
        <f aca="false">((1-X616)*O616+X616*P616)*D616</f>
        <v>0</v>
      </c>
      <c r="AH616" s="0" t="n">
        <f aca="false">D616*(LN(EXP(S616)+EXP(T616)))</f>
        <v>-0</v>
      </c>
      <c r="AJ616" s="0" t="n">
        <f aca="false">$J$5</f>
        <v>10</v>
      </c>
      <c r="AK616" s="4" t="n">
        <f aca="false">AJ616+MAX(K616,AK$10:AK615)</f>
        <v>6288.82985076217</v>
      </c>
      <c r="AL616" s="5" t="n">
        <f aca="false">AK616-K616</f>
        <v>615.155783100944</v>
      </c>
      <c r="AM616" s="0" t="n">
        <f aca="false">-G616*AL616/3600</f>
        <v>-1.53125731026812</v>
      </c>
      <c r="AN616" s="0" t="n">
        <f aca="false">-H616*AL616/3600</f>
        <v>-0.632057852746934</v>
      </c>
      <c r="AO616" s="0" t="n">
        <f aca="false">AM616*E616+AN616*D616</f>
        <v>-1.53125731026812</v>
      </c>
      <c r="AP616" s="0" t="n">
        <f aca="false">AL616*D616</f>
        <v>0</v>
      </c>
      <c r="AR616" s="0" t="n">
        <f aca="false">AN616*D616</f>
        <v>-0</v>
      </c>
      <c r="AS616" s="0" t="n">
        <f aca="false">AH616-AR616</f>
        <v>0</v>
      </c>
    </row>
    <row r="617" customFormat="false" ht="12" hidden="false" customHeight="false" outlineLevel="0" collapsed="false">
      <c r="A617" s="3" t="n">
        <f aca="false">A616+1</f>
        <v>608</v>
      </c>
      <c r="B617" s="3" t="n">
        <f aca="false">IF(A617&lt;$N$4/3,0.1,(IF(A617&gt;2*$N$4/3,0.05,0.12)))</f>
        <v>0.12</v>
      </c>
      <c r="C617" s="4" t="n">
        <f aca="true">RAND()</f>
        <v>0.816909817960511</v>
      </c>
      <c r="D617" s="0" t="n">
        <f aca="false">IF((C617&gt;$M$2),1,0)</f>
        <v>0</v>
      </c>
      <c r="E617" s="0" t="n">
        <f aca="false">1-D617</f>
        <v>1</v>
      </c>
      <c r="F617" s="0" t="n">
        <f aca="true">RAND()</f>
        <v>0.170463715748671</v>
      </c>
      <c r="G617" s="0" t="n">
        <f aca="false">7.75+F617*10</f>
        <v>9.45463715748671</v>
      </c>
      <c r="H617" s="0" t="n">
        <f aca="false">LOGINV(F617,2.64,1.139)</f>
        <v>4.73646535037895</v>
      </c>
      <c r="I617" s="0" t="n">
        <v>19.5</v>
      </c>
      <c r="J617" s="4" t="n">
        <f aca="true">-LN(RAND())/B617</f>
        <v>14.9748692555341</v>
      </c>
      <c r="K617" s="4" t="n">
        <f aca="false">K616+J617</f>
        <v>5688.64893691676</v>
      </c>
      <c r="L617" s="4" t="n">
        <f aca="false">(1/$J$4)*(1+AB616)</f>
        <v>10</v>
      </c>
      <c r="M617" s="4" t="n">
        <f aca="false">L617+MAX(K617,Y$10:Y616)</f>
        <v>6298.82985076217</v>
      </c>
      <c r="N617" s="4" t="n">
        <f aca="false">K617</f>
        <v>5688.64893691676</v>
      </c>
      <c r="O617" s="4" t="n">
        <f aca="false">M617-K617</f>
        <v>610.18091384541</v>
      </c>
      <c r="P617" s="4" t="n">
        <f aca="false">N617-K617</f>
        <v>0</v>
      </c>
      <c r="Q617" s="4" t="n">
        <f aca="false">A617-MATCH(K617,$M$9:M616,1)</f>
        <v>61</v>
      </c>
      <c r="R617" s="0" t="n">
        <f aca="false">-G617*(O617/3600)</f>
        <v>-1.60251087245334</v>
      </c>
      <c r="S617" s="0" t="n">
        <f aca="false">-1*I617-(H617*(P617/3600))</f>
        <v>-19.5</v>
      </c>
      <c r="T617" s="0" t="n">
        <f aca="false">-H617*(O617/3600)</f>
        <v>-0.802805765525374</v>
      </c>
      <c r="U617" s="0" t="n">
        <f aca="false">T617-S617</f>
        <v>18.6971942344746</v>
      </c>
      <c r="V617" s="0" t="n">
        <f aca="false">1/(1+EXP(U617))</f>
        <v>7.58423381783003E-009</v>
      </c>
      <c r="W617" s="0" t="n">
        <f aca="true">RAND()</f>
        <v>0.198148363818032</v>
      </c>
      <c r="X617" s="0" t="n">
        <f aca="false">IF(W617&lt;V617,1,0)</f>
        <v>0</v>
      </c>
      <c r="Y617" s="0" t="n">
        <f aca="false">(M617*(1-X617)+N617*X617)*D617+M617*E617</f>
        <v>6298.82985076217</v>
      </c>
      <c r="Z617" s="0" t="n">
        <f aca="false">((1-X617)*O617+X617*P617)*D617+E617*O617</f>
        <v>610.18091384541</v>
      </c>
      <c r="AA617" s="0" t="n">
        <f aca="false">IF(D617*X617&gt;0,AA616,Q617)</f>
        <v>61</v>
      </c>
      <c r="AB617" s="0" t="n">
        <f aca="false">(X617*D617)</f>
        <v>0</v>
      </c>
      <c r="AC617" s="0" t="n">
        <f aca="false">SUM(AB$10:AB616)/K617</f>
        <v>0</v>
      </c>
      <c r="AD617" s="0" t="n">
        <f aca="false">R617*E617+D617*(X617*S617+(1-X617)*T617)</f>
        <v>-1.60251087245334</v>
      </c>
      <c r="AE617" s="0" t="n">
        <f aca="false">Z617</f>
        <v>610.18091384541</v>
      </c>
      <c r="AF617" s="0" t="n">
        <f aca="false">E617*O617</f>
        <v>610.18091384541</v>
      </c>
      <c r="AG617" s="0" t="n">
        <f aca="false">((1-X617)*O617+X617*P617)*D617</f>
        <v>0</v>
      </c>
      <c r="AH617" s="0" t="n">
        <f aca="false">D617*(LN(EXP(S617)+EXP(T617)))</f>
        <v>-0</v>
      </c>
      <c r="AJ617" s="0" t="n">
        <f aca="false">$J$5</f>
        <v>10</v>
      </c>
      <c r="AK617" s="4" t="n">
        <f aca="false">AJ617+MAX(K617,AK$10:AK616)</f>
        <v>6298.82985076217</v>
      </c>
      <c r="AL617" s="5" t="n">
        <f aca="false">AK617-K617</f>
        <v>610.18091384541</v>
      </c>
      <c r="AM617" s="0" t="n">
        <f aca="false">-G617*AL617/3600</f>
        <v>-1.60251087245334</v>
      </c>
      <c r="AN617" s="0" t="n">
        <f aca="false">-H617*AL617/3600</f>
        <v>-0.802805765525374</v>
      </c>
      <c r="AO617" s="0" t="n">
        <f aca="false">AM617*E617+AN617*D617</f>
        <v>-1.60251087245334</v>
      </c>
      <c r="AP617" s="0" t="n">
        <f aca="false">AL617*D617</f>
        <v>0</v>
      </c>
      <c r="AR617" s="0" t="n">
        <f aca="false">AN617*D617</f>
        <v>-0</v>
      </c>
      <c r="AS617" s="0" t="n">
        <f aca="false">AH617-AR617</f>
        <v>0</v>
      </c>
    </row>
    <row r="618" customFormat="false" ht="12" hidden="false" customHeight="false" outlineLevel="0" collapsed="false">
      <c r="A618" s="3" t="n">
        <f aca="false">A617+1</f>
        <v>609</v>
      </c>
      <c r="B618" s="3" t="n">
        <f aca="false">IF(A618&lt;$N$4/3,0.1,(IF(A618&gt;2*$N$4/3,0.05,0.12)))</f>
        <v>0.12</v>
      </c>
      <c r="C618" s="4" t="n">
        <f aca="true">RAND()</f>
        <v>0.155290337893744</v>
      </c>
      <c r="D618" s="0" t="n">
        <f aca="false">IF((C618&gt;$M$2),1,0)</f>
        <v>0</v>
      </c>
      <c r="E618" s="0" t="n">
        <f aca="false">1-D618</f>
        <v>1</v>
      </c>
      <c r="F618" s="0" t="n">
        <f aca="true">RAND()</f>
        <v>0.211513954179907</v>
      </c>
      <c r="G618" s="0" t="n">
        <f aca="false">7.75+F618*10</f>
        <v>9.86513954179907</v>
      </c>
      <c r="H618" s="0" t="n">
        <f aca="false">LOGINV(F618,2.64,1.139)</f>
        <v>5.62632730821218</v>
      </c>
      <c r="I618" s="0" t="n">
        <v>19.5</v>
      </c>
      <c r="J618" s="4" t="n">
        <f aca="true">-LN(RAND())/B618</f>
        <v>5.33484287158882</v>
      </c>
      <c r="K618" s="4" t="n">
        <f aca="false">K617+J618</f>
        <v>5693.98377978835</v>
      </c>
      <c r="L618" s="4" t="n">
        <f aca="false">(1/$J$4)*(1+AB617)</f>
        <v>10</v>
      </c>
      <c r="M618" s="4" t="n">
        <f aca="false">L618+MAX(K618,Y$10:Y617)</f>
        <v>6308.82985076217</v>
      </c>
      <c r="N618" s="4" t="n">
        <f aca="false">K618</f>
        <v>5693.98377978835</v>
      </c>
      <c r="O618" s="4" t="n">
        <f aca="false">M618-K618</f>
        <v>614.846070973821</v>
      </c>
      <c r="P618" s="4" t="n">
        <f aca="false">N618-K618</f>
        <v>0</v>
      </c>
      <c r="Q618" s="4" t="n">
        <f aca="false">A618-MATCH(K618,$M$9:M617,1)</f>
        <v>61</v>
      </c>
      <c r="R618" s="0" t="n">
        <f aca="false">-G618*(O618/3600)</f>
        <v>-1.68487285746768</v>
      </c>
      <c r="S618" s="0" t="n">
        <f aca="false">-1*I618-(H618*(P618/3600))</f>
        <v>-19.5</v>
      </c>
      <c r="T618" s="0" t="n">
        <f aca="false">-H618*(O618/3600)</f>
        <v>-0.960923677629714</v>
      </c>
      <c r="U618" s="0" t="n">
        <f aca="false">T618-S618</f>
        <v>18.5390763223703</v>
      </c>
      <c r="V618" s="0" t="n">
        <f aca="false">1/(1+EXP(U618))</f>
        <v>8.88344565267979E-009</v>
      </c>
      <c r="W618" s="0" t="n">
        <f aca="true">RAND()</f>
        <v>0.452055636392807</v>
      </c>
      <c r="X618" s="0" t="n">
        <f aca="false">IF(W618&lt;V618,1,0)</f>
        <v>0</v>
      </c>
      <c r="Y618" s="0" t="n">
        <f aca="false">(M618*(1-X618)+N618*X618)*D618+M618*E618</f>
        <v>6308.82985076217</v>
      </c>
      <c r="Z618" s="0" t="n">
        <f aca="false">((1-X618)*O618+X618*P618)*D618+E618*O618</f>
        <v>614.846070973821</v>
      </c>
      <c r="AA618" s="0" t="n">
        <f aca="false">IF(D618*X618&gt;0,AA617,Q618)</f>
        <v>61</v>
      </c>
      <c r="AB618" s="0" t="n">
        <f aca="false">(X618*D618)</f>
        <v>0</v>
      </c>
      <c r="AC618" s="0" t="n">
        <f aca="false">SUM(AB$10:AB617)/K618</f>
        <v>0</v>
      </c>
      <c r="AD618" s="0" t="n">
        <f aca="false">R618*E618+D618*(X618*S618+(1-X618)*T618)</f>
        <v>-1.68487285746768</v>
      </c>
      <c r="AE618" s="0" t="n">
        <f aca="false">Z618</f>
        <v>614.846070973821</v>
      </c>
      <c r="AF618" s="0" t="n">
        <f aca="false">E618*O618</f>
        <v>614.846070973821</v>
      </c>
      <c r="AG618" s="0" t="n">
        <f aca="false">((1-X618)*O618+X618*P618)*D618</f>
        <v>0</v>
      </c>
      <c r="AH618" s="0" t="n">
        <f aca="false">D618*(LN(EXP(S618)+EXP(T618)))</f>
        <v>-0</v>
      </c>
      <c r="AJ618" s="0" t="n">
        <f aca="false">$J$5</f>
        <v>10</v>
      </c>
      <c r="AK618" s="4" t="n">
        <f aca="false">AJ618+MAX(K618,AK$10:AK617)</f>
        <v>6308.82985076217</v>
      </c>
      <c r="AL618" s="5" t="n">
        <f aca="false">AK618-K618</f>
        <v>614.846070973821</v>
      </c>
      <c r="AM618" s="0" t="n">
        <f aca="false">-G618*AL618/3600</f>
        <v>-1.68487285746768</v>
      </c>
      <c r="AN618" s="0" t="n">
        <f aca="false">-H618*AL618/3600</f>
        <v>-0.960923677629714</v>
      </c>
      <c r="AO618" s="0" t="n">
        <f aca="false">AM618*E618+AN618*D618</f>
        <v>-1.68487285746768</v>
      </c>
      <c r="AP618" s="0" t="n">
        <f aca="false">AL618*D618</f>
        <v>0</v>
      </c>
      <c r="AR618" s="0" t="n">
        <f aca="false">AN618*D618</f>
        <v>-0</v>
      </c>
      <c r="AS618" s="0" t="n">
        <f aca="false">AH618-AR618</f>
        <v>0</v>
      </c>
    </row>
    <row r="619" customFormat="false" ht="12" hidden="false" customHeight="false" outlineLevel="0" collapsed="false">
      <c r="A619" s="3" t="n">
        <f aca="false">A618+1</f>
        <v>610</v>
      </c>
      <c r="B619" s="3" t="n">
        <f aca="false">IF(A619&lt;$N$4/3,0.1,(IF(A619&gt;2*$N$4/3,0.05,0.12)))</f>
        <v>0.12</v>
      </c>
      <c r="C619" s="4" t="n">
        <f aca="true">RAND()</f>
        <v>0.14865255883</v>
      </c>
      <c r="D619" s="0" t="n">
        <f aca="false">IF((C619&gt;$M$2),1,0)</f>
        <v>0</v>
      </c>
      <c r="E619" s="0" t="n">
        <f aca="false">1-D619</f>
        <v>1</v>
      </c>
      <c r="F619" s="0" t="n">
        <f aca="true">RAND()</f>
        <v>0.1974643661232</v>
      </c>
      <c r="G619" s="0" t="n">
        <f aca="false">7.75+F619*10</f>
        <v>9.724643661232</v>
      </c>
      <c r="H619" s="0" t="n">
        <f aca="false">LOGINV(F619,2.64,1.139)</f>
        <v>5.31768338334943</v>
      </c>
      <c r="I619" s="0" t="n">
        <v>19.5</v>
      </c>
      <c r="J619" s="4" t="n">
        <f aca="true">-LN(RAND())/B619</f>
        <v>3.55569312898189</v>
      </c>
      <c r="K619" s="4" t="n">
        <f aca="false">K618+J619</f>
        <v>5697.53947291733</v>
      </c>
      <c r="L619" s="4" t="n">
        <f aca="false">(1/$J$4)*(1+AB618)</f>
        <v>10</v>
      </c>
      <c r="M619" s="4" t="n">
        <f aca="false">L619+MAX(K619,Y$10:Y618)</f>
        <v>6318.82985076217</v>
      </c>
      <c r="N619" s="4" t="n">
        <f aca="false">K619</f>
        <v>5697.53947291733</v>
      </c>
      <c r="O619" s="4" t="n">
        <f aca="false">M619-K619</f>
        <v>621.290377844839</v>
      </c>
      <c r="P619" s="4" t="n">
        <f aca="false">N619-K619</f>
        <v>0</v>
      </c>
      <c r="Q619" s="4" t="n">
        <f aca="false">A619-MATCH(K619,$M$9:M618,1)</f>
        <v>62</v>
      </c>
      <c r="R619" s="0" t="n">
        <f aca="false">-G619*(O619/3600)</f>
        <v>-1.67828542630368</v>
      </c>
      <c r="S619" s="0" t="n">
        <f aca="false">-1*I619-(H619*(P619/3600))</f>
        <v>-19.5</v>
      </c>
      <c r="T619" s="0" t="n">
        <f aca="false">-H619*(O619/3600)</f>
        <v>-0.917729310694552</v>
      </c>
      <c r="U619" s="0" t="n">
        <f aca="false">T619-S619</f>
        <v>18.5822706893055</v>
      </c>
      <c r="V619" s="0" t="n">
        <f aca="false">1/(1+EXP(U619))</f>
        <v>8.5078999617806E-009</v>
      </c>
      <c r="W619" s="0" t="n">
        <f aca="true">RAND()</f>
        <v>0.277520563457384</v>
      </c>
      <c r="X619" s="0" t="n">
        <f aca="false">IF(W619&lt;V619,1,0)</f>
        <v>0</v>
      </c>
      <c r="Y619" s="0" t="n">
        <f aca="false">(M619*(1-X619)+N619*X619)*D619+M619*E619</f>
        <v>6318.82985076217</v>
      </c>
      <c r="Z619" s="0" t="n">
        <f aca="false">((1-X619)*O619+X619*P619)*D619+E619*O619</f>
        <v>621.290377844839</v>
      </c>
      <c r="AA619" s="0" t="n">
        <f aca="false">IF(D619*X619&gt;0,AA618,Q619)</f>
        <v>62</v>
      </c>
      <c r="AB619" s="0" t="n">
        <f aca="false">(X619*D619)</f>
        <v>0</v>
      </c>
      <c r="AC619" s="0" t="n">
        <f aca="false">SUM(AB$10:AB618)/K619</f>
        <v>0</v>
      </c>
      <c r="AD619" s="0" t="n">
        <f aca="false">R619*E619+D619*(X619*S619+(1-X619)*T619)</f>
        <v>-1.67828542630368</v>
      </c>
      <c r="AE619" s="0" t="n">
        <f aca="false">Z619</f>
        <v>621.290377844839</v>
      </c>
      <c r="AF619" s="0" t="n">
        <f aca="false">E619*O619</f>
        <v>621.290377844839</v>
      </c>
      <c r="AG619" s="0" t="n">
        <f aca="false">((1-X619)*O619+X619*P619)*D619</f>
        <v>0</v>
      </c>
      <c r="AH619" s="0" t="n">
        <f aca="false">D619*(LN(EXP(S619)+EXP(T619)))</f>
        <v>-0</v>
      </c>
      <c r="AJ619" s="0" t="n">
        <f aca="false">$J$5</f>
        <v>10</v>
      </c>
      <c r="AK619" s="4" t="n">
        <f aca="false">AJ619+MAX(K619,AK$10:AK618)</f>
        <v>6318.82985076217</v>
      </c>
      <c r="AL619" s="5" t="n">
        <f aca="false">AK619-K619</f>
        <v>621.290377844839</v>
      </c>
      <c r="AM619" s="0" t="n">
        <f aca="false">-G619*AL619/3600</f>
        <v>-1.67828542630368</v>
      </c>
      <c r="AN619" s="0" t="n">
        <f aca="false">-H619*AL619/3600</f>
        <v>-0.917729310694552</v>
      </c>
      <c r="AO619" s="0" t="n">
        <f aca="false">AM619*E619+AN619*D619</f>
        <v>-1.67828542630368</v>
      </c>
      <c r="AP619" s="0" t="n">
        <f aca="false">AL619*D619</f>
        <v>0</v>
      </c>
      <c r="AR619" s="0" t="n">
        <f aca="false">AN619*D619</f>
        <v>-0</v>
      </c>
      <c r="AS619" s="0" t="n">
        <f aca="false">AH619-AR619</f>
        <v>0</v>
      </c>
    </row>
    <row r="620" customFormat="false" ht="12" hidden="false" customHeight="false" outlineLevel="0" collapsed="false">
      <c r="A620" s="3" t="n">
        <f aca="false">A619+1</f>
        <v>611</v>
      </c>
      <c r="B620" s="3" t="n">
        <f aca="false">IF(A620&lt;$N$4/3,0.1,(IF(A620&gt;2*$N$4/3,0.05,0.12)))</f>
        <v>0.12</v>
      </c>
      <c r="C620" s="4" t="n">
        <f aca="true">RAND()</f>
        <v>0.130347894339813</v>
      </c>
      <c r="D620" s="0" t="n">
        <f aca="false">IF((C620&gt;$M$2),1,0)</f>
        <v>0</v>
      </c>
      <c r="E620" s="0" t="n">
        <f aca="false">1-D620</f>
        <v>1</v>
      </c>
      <c r="F620" s="0" t="n">
        <f aca="true">RAND()</f>
        <v>0.684125320126936</v>
      </c>
      <c r="G620" s="0" t="n">
        <f aca="false">7.75+F620*10</f>
        <v>14.5912532012694</v>
      </c>
      <c r="H620" s="0" t="n">
        <f aca="false">LOGINV(F620,2.64,1.139)</f>
        <v>24.1886629237525</v>
      </c>
      <c r="I620" s="0" t="n">
        <v>19.5</v>
      </c>
      <c r="J620" s="4" t="n">
        <f aca="true">-LN(RAND())/B620</f>
        <v>19.193288332016</v>
      </c>
      <c r="K620" s="4" t="n">
        <f aca="false">K619+J620</f>
        <v>5716.73276124935</v>
      </c>
      <c r="L620" s="4" t="n">
        <f aca="false">(1/$J$4)*(1+AB619)</f>
        <v>10</v>
      </c>
      <c r="M620" s="4" t="n">
        <f aca="false">L620+MAX(K620,Y$10:Y619)</f>
        <v>6328.82985076217</v>
      </c>
      <c r="N620" s="4" t="n">
        <f aca="false">K620</f>
        <v>5716.73276124935</v>
      </c>
      <c r="O620" s="4" t="n">
        <f aca="false">M620-K620</f>
        <v>612.097089512823</v>
      </c>
      <c r="P620" s="4" t="n">
        <f aca="false">N620-K620</f>
        <v>0</v>
      </c>
      <c r="Q620" s="4" t="n">
        <f aca="false">A620-MATCH(K620,$M$9:M619,1)</f>
        <v>61</v>
      </c>
      <c r="R620" s="0" t="n">
        <f aca="false">-G620*(O620/3600)</f>
        <v>-2.48090656023379</v>
      </c>
      <c r="S620" s="0" t="n">
        <f aca="false">-1*I620-(H620*(P620/3600))</f>
        <v>-19.5</v>
      </c>
      <c r="T620" s="0" t="n">
        <f aca="false">-H620*(O620/3600)</f>
        <v>-4.11272504856545</v>
      </c>
      <c r="U620" s="0" t="n">
        <f aca="false">T620-S620</f>
        <v>15.3872749514346</v>
      </c>
      <c r="V620" s="0" t="n">
        <f aca="false">1/(1+EXP(U620))</f>
        <v>2.07678389306151E-007</v>
      </c>
      <c r="W620" s="0" t="n">
        <f aca="true">RAND()</f>
        <v>0.220554232716681</v>
      </c>
      <c r="X620" s="0" t="n">
        <f aca="false">IF(W620&lt;V620,1,0)</f>
        <v>0</v>
      </c>
      <c r="Y620" s="0" t="n">
        <f aca="false">(M620*(1-X620)+N620*X620)*D620+M620*E620</f>
        <v>6328.82985076217</v>
      </c>
      <c r="Z620" s="0" t="n">
        <f aca="false">((1-X620)*O620+X620*P620)*D620+E620*O620</f>
        <v>612.097089512823</v>
      </c>
      <c r="AA620" s="0" t="n">
        <f aca="false">IF(D620*X620&gt;0,AA619,Q620)</f>
        <v>61</v>
      </c>
      <c r="AB620" s="0" t="n">
        <f aca="false">(X620*D620)</f>
        <v>0</v>
      </c>
      <c r="AC620" s="0" t="n">
        <f aca="false">SUM(AB$10:AB619)/K620</f>
        <v>0</v>
      </c>
      <c r="AD620" s="0" t="n">
        <f aca="false">R620*E620+D620*(X620*S620+(1-X620)*T620)</f>
        <v>-2.48090656023379</v>
      </c>
      <c r="AE620" s="0" t="n">
        <f aca="false">Z620</f>
        <v>612.097089512823</v>
      </c>
      <c r="AF620" s="0" t="n">
        <f aca="false">E620*O620</f>
        <v>612.097089512823</v>
      </c>
      <c r="AG620" s="0" t="n">
        <f aca="false">((1-X620)*O620+X620*P620)*D620</f>
        <v>0</v>
      </c>
      <c r="AH620" s="0" t="n">
        <f aca="false">D620*(LN(EXP(S620)+EXP(T620)))</f>
        <v>-0</v>
      </c>
      <c r="AJ620" s="0" t="n">
        <f aca="false">$J$5</f>
        <v>10</v>
      </c>
      <c r="AK620" s="4" t="n">
        <f aca="false">AJ620+MAX(K620,AK$10:AK619)</f>
        <v>6328.82985076217</v>
      </c>
      <c r="AL620" s="5" t="n">
        <f aca="false">AK620-K620</f>
        <v>612.097089512823</v>
      </c>
      <c r="AM620" s="0" t="n">
        <f aca="false">-G620*AL620/3600</f>
        <v>-2.48090656023379</v>
      </c>
      <c r="AN620" s="0" t="n">
        <f aca="false">-H620*AL620/3600</f>
        <v>-4.11272504856545</v>
      </c>
      <c r="AO620" s="0" t="n">
        <f aca="false">AM620*E620+AN620*D620</f>
        <v>-2.48090656023379</v>
      </c>
      <c r="AP620" s="0" t="n">
        <f aca="false">AL620*D620</f>
        <v>0</v>
      </c>
      <c r="AR620" s="0" t="n">
        <f aca="false">AN620*D620</f>
        <v>-0</v>
      </c>
      <c r="AS620" s="0" t="n">
        <f aca="false">AH620-AR620</f>
        <v>0</v>
      </c>
    </row>
    <row r="621" customFormat="false" ht="12" hidden="false" customHeight="false" outlineLevel="0" collapsed="false">
      <c r="A621" s="3" t="n">
        <f aca="false">A620+1</f>
        <v>612</v>
      </c>
      <c r="B621" s="3" t="n">
        <f aca="false">IF(A621&lt;$N$4/3,0.1,(IF(A621&gt;2*$N$4/3,0.05,0.12)))</f>
        <v>0.12</v>
      </c>
      <c r="C621" s="4" t="n">
        <f aca="true">RAND()</f>
        <v>0.190369919153083</v>
      </c>
      <c r="D621" s="0" t="n">
        <f aca="false">IF((C621&gt;$M$2),1,0)</f>
        <v>0</v>
      </c>
      <c r="E621" s="0" t="n">
        <f aca="false">1-D621</f>
        <v>1</v>
      </c>
      <c r="F621" s="0" t="n">
        <f aca="true">RAND()</f>
        <v>0.189744272239869</v>
      </c>
      <c r="G621" s="0" t="n">
        <f aca="false">7.75+F621*10</f>
        <v>9.64744272239869</v>
      </c>
      <c r="H621" s="0" t="n">
        <f aca="false">LOGINV(F621,2.64,1.139)</f>
        <v>5.15002882006841</v>
      </c>
      <c r="I621" s="0" t="n">
        <v>19.5</v>
      </c>
      <c r="J621" s="4" t="n">
        <f aca="true">-LN(RAND())/B621</f>
        <v>6.39217439166743</v>
      </c>
      <c r="K621" s="4" t="n">
        <f aca="false">K620+J621</f>
        <v>5723.12493564102</v>
      </c>
      <c r="L621" s="4" t="n">
        <f aca="false">(1/$J$4)*(1+AB620)</f>
        <v>10</v>
      </c>
      <c r="M621" s="4" t="n">
        <f aca="false">L621+MAX(K621,Y$10:Y620)</f>
        <v>6338.82985076217</v>
      </c>
      <c r="N621" s="4" t="n">
        <f aca="false">K621</f>
        <v>5723.12493564102</v>
      </c>
      <c r="O621" s="4" t="n">
        <f aca="false">M621-K621</f>
        <v>615.704915121156</v>
      </c>
      <c r="P621" s="4" t="n">
        <f aca="false">N621-K621</f>
        <v>0</v>
      </c>
      <c r="Q621" s="4" t="n">
        <f aca="false">A621-MATCH(K621,$M$9:M620,1)</f>
        <v>61</v>
      </c>
      <c r="R621" s="0" t="n">
        <f aca="false">-G621*(O621/3600)</f>
        <v>-1.64999386181408</v>
      </c>
      <c r="S621" s="0" t="n">
        <f aca="false">-1*I621-(H621*(P621/3600))</f>
        <v>-19.5</v>
      </c>
      <c r="T621" s="0" t="n">
        <f aca="false">-H621*(O621/3600)</f>
        <v>-0.880805015981035</v>
      </c>
      <c r="U621" s="0" t="n">
        <f aca="false">T621-S621</f>
        <v>18.619194984019</v>
      </c>
      <c r="V621" s="0" t="n">
        <f aca="false">1/(1+EXP(U621))</f>
        <v>8.19948087818648E-009</v>
      </c>
      <c r="W621" s="0" t="n">
        <f aca="true">RAND()</f>
        <v>0.92020988896688</v>
      </c>
      <c r="X621" s="0" t="n">
        <f aca="false">IF(W621&lt;V621,1,0)</f>
        <v>0</v>
      </c>
      <c r="Y621" s="0" t="n">
        <f aca="false">(M621*(1-X621)+N621*X621)*D621+M621*E621</f>
        <v>6338.82985076217</v>
      </c>
      <c r="Z621" s="0" t="n">
        <f aca="false">((1-X621)*O621+X621*P621)*D621+E621*O621</f>
        <v>615.704915121156</v>
      </c>
      <c r="AA621" s="0" t="n">
        <f aca="false">IF(D621*X621&gt;0,AA620,Q621)</f>
        <v>61</v>
      </c>
      <c r="AB621" s="0" t="n">
        <f aca="false">(X621*D621)</f>
        <v>0</v>
      </c>
      <c r="AC621" s="0" t="n">
        <f aca="false">SUM(AB$10:AB620)/K621</f>
        <v>0</v>
      </c>
      <c r="AD621" s="0" t="n">
        <f aca="false">R621*E621+D621*(X621*S621+(1-X621)*T621)</f>
        <v>-1.64999386181408</v>
      </c>
      <c r="AE621" s="0" t="n">
        <f aca="false">Z621</f>
        <v>615.704915121156</v>
      </c>
      <c r="AF621" s="0" t="n">
        <f aca="false">E621*O621</f>
        <v>615.704915121156</v>
      </c>
      <c r="AG621" s="0" t="n">
        <f aca="false">((1-X621)*O621+X621*P621)*D621</f>
        <v>0</v>
      </c>
      <c r="AH621" s="0" t="n">
        <f aca="false">D621*(LN(EXP(S621)+EXP(T621)))</f>
        <v>-0</v>
      </c>
      <c r="AJ621" s="0" t="n">
        <f aca="false">$J$5</f>
        <v>10</v>
      </c>
      <c r="AK621" s="4" t="n">
        <f aca="false">AJ621+MAX(K621,AK$10:AK620)</f>
        <v>6338.82985076217</v>
      </c>
      <c r="AL621" s="5" t="n">
        <f aca="false">AK621-K621</f>
        <v>615.704915121156</v>
      </c>
      <c r="AM621" s="0" t="n">
        <f aca="false">-G621*AL621/3600</f>
        <v>-1.64999386181408</v>
      </c>
      <c r="AN621" s="0" t="n">
        <f aca="false">-H621*AL621/3600</f>
        <v>-0.880805015981035</v>
      </c>
      <c r="AO621" s="0" t="n">
        <f aca="false">AM621*E621+AN621*D621</f>
        <v>-1.64999386181408</v>
      </c>
      <c r="AP621" s="0" t="n">
        <f aca="false">AL621*D621</f>
        <v>0</v>
      </c>
      <c r="AR621" s="0" t="n">
        <f aca="false">AN621*D621</f>
        <v>-0</v>
      </c>
      <c r="AS621" s="0" t="n">
        <f aca="false">AH621-AR621</f>
        <v>0</v>
      </c>
    </row>
    <row r="622" customFormat="false" ht="12" hidden="false" customHeight="false" outlineLevel="0" collapsed="false">
      <c r="A622" s="3" t="n">
        <f aca="false">A621+1</f>
        <v>613</v>
      </c>
      <c r="B622" s="3" t="n">
        <f aca="false">IF(A622&lt;$N$4/3,0.1,(IF(A622&gt;2*$N$4/3,0.05,0.12)))</f>
        <v>0.12</v>
      </c>
      <c r="C622" s="4" t="n">
        <f aca="true">RAND()</f>
        <v>0.279690275967466</v>
      </c>
      <c r="D622" s="0" t="n">
        <f aca="false">IF((C622&gt;$M$2),1,0)</f>
        <v>0</v>
      </c>
      <c r="E622" s="0" t="n">
        <f aca="false">1-D622</f>
        <v>1</v>
      </c>
      <c r="F622" s="0" t="n">
        <f aca="true">RAND()</f>
        <v>0.374386022843655</v>
      </c>
      <c r="G622" s="0" t="n">
        <f aca="false">7.75+F622*10</f>
        <v>11.4938602284365</v>
      </c>
      <c r="H622" s="0" t="n">
        <f aca="false">LOGINV(F622,2.64,1.139)</f>
        <v>9.73010868600018</v>
      </c>
      <c r="I622" s="0" t="n">
        <v>19.5</v>
      </c>
      <c r="J622" s="4" t="n">
        <f aca="true">-LN(RAND())/B622</f>
        <v>18.7788932742038</v>
      </c>
      <c r="K622" s="4" t="n">
        <f aca="false">K621+J622</f>
        <v>5741.90382891522</v>
      </c>
      <c r="L622" s="4" t="n">
        <f aca="false">(1/$J$4)*(1+AB621)</f>
        <v>10</v>
      </c>
      <c r="M622" s="4" t="n">
        <f aca="false">L622+MAX(K622,Y$10:Y621)</f>
        <v>6348.82985076217</v>
      </c>
      <c r="N622" s="4" t="n">
        <f aca="false">K622</f>
        <v>5741.90382891522</v>
      </c>
      <c r="O622" s="4" t="n">
        <f aca="false">M622-K622</f>
        <v>606.926021846952</v>
      </c>
      <c r="P622" s="4" t="n">
        <f aca="false">N622-K622</f>
        <v>0</v>
      </c>
      <c r="Q622" s="4" t="n">
        <f aca="false">A622-MATCH(K622,$M$9:M621,1)</f>
        <v>60</v>
      </c>
      <c r="R622" s="0" t="n">
        <f aca="false">-G622*(O622/3600)</f>
        <v>-1.93775635114164</v>
      </c>
      <c r="S622" s="0" t="n">
        <f aca="false">-1*I622-(H622*(P622/3600))</f>
        <v>-19.5</v>
      </c>
      <c r="T622" s="0" t="n">
        <f aca="false">-H622*(O622/3600)</f>
        <v>-1.64040448803682</v>
      </c>
      <c r="U622" s="0" t="n">
        <f aca="false">T622-S622</f>
        <v>17.8595955119632</v>
      </c>
      <c r="V622" s="0" t="n">
        <f aca="false">1/(1+EXP(U622))</f>
        <v>1.75257338666233E-008</v>
      </c>
      <c r="W622" s="0" t="n">
        <f aca="true">RAND()</f>
        <v>0.101707488886545</v>
      </c>
      <c r="X622" s="0" t="n">
        <f aca="false">IF(W622&lt;V622,1,0)</f>
        <v>0</v>
      </c>
      <c r="Y622" s="0" t="n">
        <f aca="false">(M622*(1-X622)+N622*X622)*D622+M622*E622</f>
        <v>6348.82985076217</v>
      </c>
      <c r="Z622" s="0" t="n">
        <f aca="false">((1-X622)*O622+X622*P622)*D622+E622*O622</f>
        <v>606.926021846952</v>
      </c>
      <c r="AA622" s="0" t="n">
        <f aca="false">IF(D622*X622&gt;0,AA621,Q622)</f>
        <v>60</v>
      </c>
      <c r="AB622" s="0" t="n">
        <f aca="false">(X622*D622)</f>
        <v>0</v>
      </c>
      <c r="AC622" s="0" t="n">
        <f aca="false">SUM(AB$10:AB621)/K622</f>
        <v>0</v>
      </c>
      <c r="AD622" s="0" t="n">
        <f aca="false">R622*E622+D622*(X622*S622+(1-X622)*T622)</f>
        <v>-1.93775635114164</v>
      </c>
      <c r="AE622" s="0" t="n">
        <f aca="false">Z622</f>
        <v>606.926021846952</v>
      </c>
      <c r="AF622" s="0" t="n">
        <f aca="false">E622*O622</f>
        <v>606.926021846952</v>
      </c>
      <c r="AG622" s="0" t="n">
        <f aca="false">((1-X622)*O622+X622*P622)*D622</f>
        <v>0</v>
      </c>
      <c r="AH622" s="0" t="n">
        <f aca="false">D622*(LN(EXP(S622)+EXP(T622)))</f>
        <v>-0</v>
      </c>
      <c r="AJ622" s="0" t="n">
        <f aca="false">$J$5</f>
        <v>10</v>
      </c>
      <c r="AK622" s="4" t="n">
        <f aca="false">AJ622+MAX(K622,AK$10:AK621)</f>
        <v>6348.82985076217</v>
      </c>
      <c r="AL622" s="5" t="n">
        <f aca="false">AK622-K622</f>
        <v>606.926021846952</v>
      </c>
      <c r="AM622" s="0" t="n">
        <f aca="false">-G622*AL622/3600</f>
        <v>-1.93775635114164</v>
      </c>
      <c r="AN622" s="0" t="n">
        <f aca="false">-H622*AL622/3600</f>
        <v>-1.64040448803682</v>
      </c>
      <c r="AO622" s="0" t="n">
        <f aca="false">AM622*E622+AN622*D622</f>
        <v>-1.93775635114164</v>
      </c>
      <c r="AP622" s="0" t="n">
        <f aca="false">AL622*D622</f>
        <v>0</v>
      </c>
      <c r="AR622" s="0" t="n">
        <f aca="false">AN622*D622</f>
        <v>-0</v>
      </c>
      <c r="AS622" s="0" t="n">
        <f aca="false">AH622-AR622</f>
        <v>0</v>
      </c>
    </row>
    <row r="623" customFormat="false" ht="12" hidden="false" customHeight="false" outlineLevel="0" collapsed="false">
      <c r="A623" s="3" t="n">
        <f aca="false">A622+1</f>
        <v>614</v>
      </c>
      <c r="B623" s="3" t="n">
        <f aca="false">IF(A623&lt;$N$4/3,0.1,(IF(A623&gt;2*$N$4/3,0.05,0.12)))</f>
        <v>0.12</v>
      </c>
      <c r="C623" s="4" t="n">
        <f aca="true">RAND()</f>
        <v>0.295088655977717</v>
      </c>
      <c r="D623" s="0" t="n">
        <f aca="false">IF((C623&gt;$M$2),1,0)</f>
        <v>0</v>
      </c>
      <c r="E623" s="0" t="n">
        <f aca="false">1-D623</f>
        <v>1</v>
      </c>
      <c r="F623" s="0" t="n">
        <f aca="true">RAND()</f>
        <v>0.61473142354306</v>
      </c>
      <c r="G623" s="0" t="n">
        <f aca="false">7.75+F623*10</f>
        <v>13.8973142354306</v>
      </c>
      <c r="H623" s="0" t="n">
        <f aca="false">LOGINV(F623,2.64,1.139)</f>
        <v>19.5351382426713</v>
      </c>
      <c r="I623" s="0" t="n">
        <v>19.5</v>
      </c>
      <c r="J623" s="4" t="n">
        <f aca="true">-LN(RAND())/B623</f>
        <v>1.59325097123814</v>
      </c>
      <c r="K623" s="4" t="n">
        <f aca="false">K622+J623</f>
        <v>5743.49707988646</v>
      </c>
      <c r="L623" s="4" t="n">
        <f aca="false">(1/$J$4)*(1+AB622)</f>
        <v>10</v>
      </c>
      <c r="M623" s="4" t="n">
        <f aca="false">L623+MAX(K623,Y$10:Y622)</f>
        <v>6358.82985076217</v>
      </c>
      <c r="N623" s="4" t="n">
        <f aca="false">K623</f>
        <v>5743.49707988646</v>
      </c>
      <c r="O623" s="4" t="n">
        <f aca="false">M623-K623</f>
        <v>615.332770875713</v>
      </c>
      <c r="P623" s="4" t="n">
        <f aca="false">N623-K623</f>
        <v>0</v>
      </c>
      <c r="Q623" s="4" t="n">
        <f aca="false">A623-MATCH(K623,$M$9:M622,1)</f>
        <v>61</v>
      </c>
      <c r="R623" s="0" t="n">
        <f aca="false">-G623*(O623/3600)</f>
        <v>-2.37540913228278</v>
      </c>
      <c r="S623" s="0" t="n">
        <f aca="false">-1*I623-(H623*(P623/3600))</f>
        <v>-19.5</v>
      </c>
      <c r="T623" s="0" t="n">
        <f aca="false">-H623*(O623/3600)</f>
        <v>-3.33905854008419</v>
      </c>
      <c r="U623" s="0" t="n">
        <f aca="false">T623-S623</f>
        <v>16.1609414599158</v>
      </c>
      <c r="V623" s="0" t="n">
        <f aca="false">1/(1+EXP(U623))</f>
        <v>9.58059011022875E-008</v>
      </c>
      <c r="W623" s="0" t="n">
        <f aca="true">RAND()</f>
        <v>0.795052857028376</v>
      </c>
      <c r="X623" s="0" t="n">
        <f aca="false">IF(W623&lt;V623,1,0)</f>
        <v>0</v>
      </c>
      <c r="Y623" s="0" t="n">
        <f aca="false">(M623*(1-X623)+N623*X623)*D623+M623*E623</f>
        <v>6358.82985076217</v>
      </c>
      <c r="Z623" s="0" t="n">
        <f aca="false">((1-X623)*O623+X623*P623)*D623+E623*O623</f>
        <v>615.332770875713</v>
      </c>
      <c r="AA623" s="0" t="n">
        <f aca="false">IF(D623*X623&gt;0,AA622,Q623)</f>
        <v>61</v>
      </c>
      <c r="AB623" s="0" t="n">
        <f aca="false">(X623*D623)</f>
        <v>0</v>
      </c>
      <c r="AC623" s="0" t="n">
        <f aca="false">SUM(AB$10:AB622)/K623</f>
        <v>0</v>
      </c>
      <c r="AD623" s="0" t="n">
        <f aca="false">R623*E623+D623*(X623*S623+(1-X623)*T623)</f>
        <v>-2.37540913228278</v>
      </c>
      <c r="AE623" s="0" t="n">
        <f aca="false">Z623</f>
        <v>615.332770875713</v>
      </c>
      <c r="AF623" s="0" t="n">
        <f aca="false">E623*O623</f>
        <v>615.332770875713</v>
      </c>
      <c r="AG623" s="0" t="n">
        <f aca="false">((1-X623)*O623+X623*P623)*D623</f>
        <v>0</v>
      </c>
      <c r="AH623" s="0" t="n">
        <f aca="false">D623*(LN(EXP(S623)+EXP(T623)))</f>
        <v>-0</v>
      </c>
      <c r="AJ623" s="0" t="n">
        <f aca="false">$J$5</f>
        <v>10</v>
      </c>
      <c r="AK623" s="4" t="n">
        <f aca="false">AJ623+MAX(K623,AK$10:AK622)</f>
        <v>6358.82985076217</v>
      </c>
      <c r="AL623" s="5" t="n">
        <f aca="false">AK623-K623</f>
        <v>615.332770875713</v>
      </c>
      <c r="AM623" s="0" t="n">
        <f aca="false">-G623*AL623/3600</f>
        <v>-2.37540913228278</v>
      </c>
      <c r="AN623" s="0" t="n">
        <f aca="false">-H623*AL623/3600</f>
        <v>-3.33905854008419</v>
      </c>
      <c r="AO623" s="0" t="n">
        <f aca="false">AM623*E623+AN623*D623</f>
        <v>-2.37540913228278</v>
      </c>
      <c r="AP623" s="0" t="n">
        <f aca="false">AL623*D623</f>
        <v>0</v>
      </c>
      <c r="AR623" s="0" t="n">
        <f aca="false">AN623*D623</f>
        <v>-0</v>
      </c>
      <c r="AS623" s="0" t="n">
        <f aca="false">AH623-AR623</f>
        <v>0</v>
      </c>
    </row>
    <row r="624" customFormat="false" ht="12" hidden="false" customHeight="false" outlineLevel="0" collapsed="false">
      <c r="A624" s="3" t="n">
        <f aca="false">A623+1</f>
        <v>615</v>
      </c>
      <c r="B624" s="3" t="n">
        <f aca="false">IF(A624&lt;$N$4/3,0.1,(IF(A624&gt;2*$N$4/3,0.05,0.12)))</f>
        <v>0.12</v>
      </c>
      <c r="C624" s="4" t="n">
        <f aca="true">RAND()</f>
        <v>0.0186773830634766</v>
      </c>
      <c r="D624" s="0" t="n">
        <f aca="false">IF((C624&gt;$M$2),1,0)</f>
        <v>0</v>
      </c>
      <c r="E624" s="0" t="n">
        <f aca="false">1-D624</f>
        <v>1</v>
      </c>
      <c r="F624" s="0" t="n">
        <f aca="true">RAND()</f>
        <v>0.600625098991114</v>
      </c>
      <c r="G624" s="0" t="n">
        <f aca="false">7.75+F624*10</f>
        <v>13.7562509899111</v>
      </c>
      <c r="H624" s="0" t="n">
        <f aca="false">LOGINV(F624,2.64,1.139)</f>
        <v>18.7352283684946</v>
      </c>
      <c r="I624" s="0" t="n">
        <v>19.5</v>
      </c>
      <c r="J624" s="4" t="n">
        <f aca="true">-LN(RAND())/B624</f>
        <v>11.0904719983879</v>
      </c>
      <c r="K624" s="4" t="n">
        <f aca="false">K623+J624</f>
        <v>5754.58755188485</v>
      </c>
      <c r="L624" s="4" t="n">
        <f aca="false">(1/$J$4)*(1+AB623)</f>
        <v>10</v>
      </c>
      <c r="M624" s="4" t="n">
        <f aca="false">L624+MAX(K624,Y$10:Y623)</f>
        <v>6368.82985076217</v>
      </c>
      <c r="N624" s="4" t="n">
        <f aca="false">K624</f>
        <v>5754.58755188485</v>
      </c>
      <c r="O624" s="4" t="n">
        <f aca="false">M624-K624</f>
        <v>614.242298877325</v>
      </c>
      <c r="P624" s="4" t="n">
        <f aca="false">N624-K624</f>
        <v>0</v>
      </c>
      <c r="Q624" s="4" t="n">
        <f aca="false">A624-MATCH(K624,$M$9:M623,1)</f>
        <v>61</v>
      </c>
      <c r="R624" s="0" t="n">
        <f aca="false">-G624*(O624/3600)</f>
        <v>-2.34713089777125</v>
      </c>
      <c r="S624" s="0" t="n">
        <f aca="false">-1*I624-(H624*(P624/3600))</f>
        <v>-19.5</v>
      </c>
      <c r="T624" s="0" t="n">
        <f aca="false">-H624*(O624/3600)</f>
        <v>-3.19665826195994</v>
      </c>
      <c r="U624" s="0" t="n">
        <f aca="false">T624-S624</f>
        <v>16.3033417380401</v>
      </c>
      <c r="V624" s="0" t="n">
        <f aca="false">1/(1+EXP(U624))</f>
        <v>8.30899715948147E-008</v>
      </c>
      <c r="W624" s="0" t="n">
        <f aca="true">RAND()</f>
        <v>0.363421977336825</v>
      </c>
      <c r="X624" s="0" t="n">
        <f aca="false">IF(W624&lt;V624,1,0)</f>
        <v>0</v>
      </c>
      <c r="Y624" s="0" t="n">
        <f aca="false">(M624*(1-X624)+N624*X624)*D624+M624*E624</f>
        <v>6368.82985076217</v>
      </c>
      <c r="Z624" s="0" t="n">
        <f aca="false">((1-X624)*O624+X624*P624)*D624+E624*O624</f>
        <v>614.242298877325</v>
      </c>
      <c r="AA624" s="0" t="n">
        <f aca="false">IF(D624*X624&gt;0,AA623,Q624)</f>
        <v>61</v>
      </c>
      <c r="AB624" s="0" t="n">
        <f aca="false">(X624*D624)</f>
        <v>0</v>
      </c>
      <c r="AC624" s="0" t="n">
        <f aca="false">SUM(AB$10:AB623)/K624</f>
        <v>0</v>
      </c>
      <c r="AD624" s="0" t="n">
        <f aca="false">R624*E624+D624*(X624*S624+(1-X624)*T624)</f>
        <v>-2.34713089777125</v>
      </c>
      <c r="AE624" s="0" t="n">
        <f aca="false">Z624</f>
        <v>614.242298877325</v>
      </c>
      <c r="AF624" s="0" t="n">
        <f aca="false">E624*O624</f>
        <v>614.242298877325</v>
      </c>
      <c r="AG624" s="0" t="n">
        <f aca="false">((1-X624)*O624+X624*P624)*D624</f>
        <v>0</v>
      </c>
      <c r="AH624" s="0" t="n">
        <f aca="false">D624*(LN(EXP(S624)+EXP(T624)))</f>
        <v>-0</v>
      </c>
      <c r="AJ624" s="0" t="n">
        <f aca="false">$J$5</f>
        <v>10</v>
      </c>
      <c r="AK624" s="4" t="n">
        <f aca="false">AJ624+MAX(K624,AK$10:AK623)</f>
        <v>6368.82985076217</v>
      </c>
      <c r="AL624" s="5" t="n">
        <f aca="false">AK624-K624</f>
        <v>614.242298877325</v>
      </c>
      <c r="AM624" s="0" t="n">
        <f aca="false">-G624*AL624/3600</f>
        <v>-2.34713089777125</v>
      </c>
      <c r="AN624" s="0" t="n">
        <f aca="false">-H624*AL624/3600</f>
        <v>-3.19665826195994</v>
      </c>
      <c r="AO624" s="0" t="n">
        <f aca="false">AM624*E624+AN624*D624</f>
        <v>-2.34713089777125</v>
      </c>
      <c r="AP624" s="0" t="n">
        <f aca="false">AL624*D624</f>
        <v>0</v>
      </c>
      <c r="AR624" s="0" t="n">
        <f aca="false">AN624*D624</f>
        <v>-0</v>
      </c>
      <c r="AS624" s="0" t="n">
        <f aca="false">AH624-AR624</f>
        <v>0</v>
      </c>
    </row>
    <row r="625" customFormat="false" ht="12" hidden="false" customHeight="false" outlineLevel="0" collapsed="false">
      <c r="A625" s="3" t="n">
        <f aca="false">A624+1</f>
        <v>616</v>
      </c>
      <c r="B625" s="3" t="n">
        <f aca="false">IF(A625&lt;$N$4/3,0.1,(IF(A625&gt;2*$N$4/3,0.05,0.12)))</f>
        <v>0.12</v>
      </c>
      <c r="C625" s="4" t="n">
        <f aca="true">RAND()</f>
        <v>0.222831899368545</v>
      </c>
      <c r="D625" s="0" t="n">
        <f aca="false">IF((C625&gt;$M$2),1,0)</f>
        <v>0</v>
      </c>
      <c r="E625" s="0" t="n">
        <f aca="false">1-D625</f>
        <v>1</v>
      </c>
      <c r="F625" s="0" t="n">
        <f aca="true">RAND()</f>
        <v>0.615535803727603</v>
      </c>
      <c r="G625" s="0" t="n">
        <f aca="false">7.75+F625*10</f>
        <v>13.905358037276</v>
      </c>
      <c r="H625" s="0" t="n">
        <f aca="false">LOGINV(F625,2.64,1.139)</f>
        <v>19.5820216378807</v>
      </c>
      <c r="I625" s="0" t="n">
        <v>19.5</v>
      </c>
      <c r="J625" s="4" t="n">
        <f aca="true">-LN(RAND())/B625</f>
        <v>10.1246508971679</v>
      </c>
      <c r="K625" s="4" t="n">
        <f aca="false">K624+J625</f>
        <v>5764.71220278201</v>
      </c>
      <c r="L625" s="4" t="n">
        <f aca="false">(1/$J$4)*(1+AB624)</f>
        <v>10</v>
      </c>
      <c r="M625" s="4" t="n">
        <f aca="false">L625+MAX(K625,Y$10:Y624)</f>
        <v>6378.82985076217</v>
      </c>
      <c r="N625" s="4" t="n">
        <f aca="false">K625</f>
        <v>5764.71220278201</v>
      </c>
      <c r="O625" s="4" t="n">
        <f aca="false">M625-K625</f>
        <v>614.117647980157</v>
      </c>
      <c r="P625" s="4" t="n">
        <f aca="false">N625-K625</f>
        <v>0</v>
      </c>
      <c r="Q625" s="4" t="n">
        <f aca="false">A625-MATCH(K625,$M$9:M624,1)</f>
        <v>61</v>
      </c>
      <c r="R625" s="0" t="n">
        <f aca="false">-G625*(O625/3600)</f>
        <v>-2.37209049227054</v>
      </c>
      <c r="S625" s="0" t="n">
        <f aca="false">-1*I625-(H625*(P625/3600))</f>
        <v>-19.5</v>
      </c>
      <c r="T625" s="0" t="n">
        <f aca="false">-H625*(O625/3600)</f>
        <v>-3.34046251970884</v>
      </c>
      <c r="U625" s="0" t="n">
        <f aca="false">T625-S625</f>
        <v>16.1595374802912</v>
      </c>
      <c r="V625" s="0" t="n">
        <f aca="false">1/(1+EXP(U625))</f>
        <v>9.59405050909705E-008</v>
      </c>
      <c r="W625" s="0" t="n">
        <f aca="true">RAND()</f>
        <v>0.833446637959286</v>
      </c>
      <c r="X625" s="0" t="n">
        <f aca="false">IF(W625&lt;V625,1,0)</f>
        <v>0</v>
      </c>
      <c r="Y625" s="0" t="n">
        <f aca="false">(M625*(1-X625)+N625*X625)*D625+M625*E625</f>
        <v>6378.82985076217</v>
      </c>
      <c r="Z625" s="0" t="n">
        <f aca="false">((1-X625)*O625+X625*P625)*D625+E625*O625</f>
        <v>614.117647980157</v>
      </c>
      <c r="AA625" s="0" t="n">
        <f aca="false">IF(D625*X625&gt;0,AA624,Q625)</f>
        <v>61</v>
      </c>
      <c r="AB625" s="0" t="n">
        <f aca="false">(X625*D625)</f>
        <v>0</v>
      </c>
      <c r="AC625" s="0" t="n">
        <f aca="false">SUM(AB$10:AB624)/K625</f>
        <v>0</v>
      </c>
      <c r="AD625" s="0" t="n">
        <f aca="false">R625*E625+D625*(X625*S625+(1-X625)*T625)</f>
        <v>-2.37209049227054</v>
      </c>
      <c r="AE625" s="0" t="n">
        <f aca="false">Z625</f>
        <v>614.117647980157</v>
      </c>
      <c r="AF625" s="0" t="n">
        <f aca="false">E625*O625</f>
        <v>614.117647980157</v>
      </c>
      <c r="AG625" s="0" t="n">
        <f aca="false">((1-X625)*O625+X625*P625)*D625</f>
        <v>0</v>
      </c>
      <c r="AH625" s="0" t="n">
        <f aca="false">D625*(LN(EXP(S625)+EXP(T625)))</f>
        <v>-0</v>
      </c>
      <c r="AJ625" s="0" t="n">
        <f aca="false">$J$5</f>
        <v>10</v>
      </c>
      <c r="AK625" s="4" t="n">
        <f aca="false">AJ625+MAX(K625,AK$10:AK624)</f>
        <v>6378.82985076217</v>
      </c>
      <c r="AL625" s="5" t="n">
        <f aca="false">AK625-K625</f>
        <v>614.117647980157</v>
      </c>
      <c r="AM625" s="0" t="n">
        <f aca="false">-G625*AL625/3600</f>
        <v>-2.37209049227054</v>
      </c>
      <c r="AN625" s="0" t="n">
        <f aca="false">-H625*AL625/3600</f>
        <v>-3.34046251970884</v>
      </c>
      <c r="AO625" s="0" t="n">
        <f aca="false">AM625*E625+AN625*D625</f>
        <v>-2.37209049227054</v>
      </c>
      <c r="AP625" s="0" t="n">
        <f aca="false">AL625*D625</f>
        <v>0</v>
      </c>
      <c r="AR625" s="0" t="n">
        <f aca="false">AN625*D625</f>
        <v>-0</v>
      </c>
      <c r="AS625" s="0" t="n">
        <f aca="false">AH625-AR625</f>
        <v>0</v>
      </c>
    </row>
    <row r="626" customFormat="false" ht="12" hidden="false" customHeight="false" outlineLevel="0" collapsed="false">
      <c r="A626" s="3" t="n">
        <f aca="false">A625+1</f>
        <v>617</v>
      </c>
      <c r="B626" s="3" t="n">
        <f aca="false">IF(A626&lt;$N$4/3,0.1,(IF(A626&gt;2*$N$4/3,0.05,0.12)))</f>
        <v>0.12</v>
      </c>
      <c r="C626" s="4" t="n">
        <f aca="true">RAND()</f>
        <v>0.688908293939426</v>
      </c>
      <c r="D626" s="0" t="n">
        <f aca="false">IF((C626&gt;$M$2),1,0)</f>
        <v>0</v>
      </c>
      <c r="E626" s="0" t="n">
        <f aca="false">1-D626</f>
        <v>1</v>
      </c>
      <c r="F626" s="0" t="n">
        <f aca="true">RAND()</f>
        <v>0.888931640664436</v>
      </c>
      <c r="G626" s="0" t="n">
        <f aca="false">7.75+F626*10</f>
        <v>16.6393164066444</v>
      </c>
      <c r="H626" s="0" t="n">
        <f aca="false">LOGINV(F626,2.64,1.139)</f>
        <v>56.2927919108853</v>
      </c>
      <c r="I626" s="0" t="n">
        <v>19.5</v>
      </c>
      <c r="J626" s="4" t="n">
        <f aca="true">-LN(RAND())/B626</f>
        <v>6.70798436300243</v>
      </c>
      <c r="K626" s="4" t="n">
        <f aca="false">K625+J626</f>
        <v>5771.42018714502</v>
      </c>
      <c r="L626" s="4" t="n">
        <f aca="false">(1/$J$4)*(1+AB625)</f>
        <v>10</v>
      </c>
      <c r="M626" s="4" t="n">
        <f aca="false">L626+MAX(K626,Y$10:Y625)</f>
        <v>6388.82985076217</v>
      </c>
      <c r="N626" s="4" t="n">
        <f aca="false">K626</f>
        <v>5771.42018714502</v>
      </c>
      <c r="O626" s="4" t="n">
        <f aca="false">M626-K626</f>
        <v>617.409663617154</v>
      </c>
      <c r="P626" s="4" t="n">
        <f aca="false">N626-K626</f>
        <v>0</v>
      </c>
      <c r="Q626" s="4" t="n">
        <f aca="false">A626-MATCH(K626,$M$9:M625,1)</f>
        <v>61</v>
      </c>
      <c r="R626" s="0" t="n">
        <f aca="false">-G626*(O626/3600)</f>
        <v>-2.85368742929047</v>
      </c>
      <c r="S626" s="0" t="n">
        <f aca="false">-1*I626-(H626*(P626/3600))</f>
        <v>-19.5</v>
      </c>
      <c r="T626" s="0" t="n">
        <f aca="false">-H626*(O626/3600)</f>
        <v>-9.65436492160283</v>
      </c>
      <c r="U626" s="0" t="n">
        <f aca="false">T626-S626</f>
        <v>9.84563507839717</v>
      </c>
      <c r="V626" s="0" t="n">
        <f aca="false">1/(1+EXP(U626))</f>
        <v>5.2975127080949E-005</v>
      </c>
      <c r="W626" s="0" t="n">
        <f aca="true">RAND()</f>
        <v>0.519064516821032</v>
      </c>
      <c r="X626" s="0" t="n">
        <f aca="false">IF(W626&lt;V626,1,0)</f>
        <v>0</v>
      </c>
      <c r="Y626" s="0" t="n">
        <f aca="false">(M626*(1-X626)+N626*X626)*D626+M626*E626</f>
        <v>6388.82985076217</v>
      </c>
      <c r="Z626" s="0" t="n">
        <f aca="false">((1-X626)*O626+X626*P626)*D626+E626*O626</f>
        <v>617.409663617154</v>
      </c>
      <c r="AA626" s="0" t="n">
        <f aca="false">IF(D626*X626&gt;0,AA625,Q626)</f>
        <v>61</v>
      </c>
      <c r="AB626" s="0" t="n">
        <f aca="false">(X626*D626)</f>
        <v>0</v>
      </c>
      <c r="AC626" s="0" t="n">
        <f aca="false">SUM(AB$10:AB625)/K626</f>
        <v>0</v>
      </c>
      <c r="AD626" s="0" t="n">
        <f aca="false">R626*E626+D626*(X626*S626+(1-X626)*T626)</f>
        <v>-2.85368742929047</v>
      </c>
      <c r="AE626" s="0" t="n">
        <f aca="false">Z626</f>
        <v>617.409663617154</v>
      </c>
      <c r="AF626" s="0" t="n">
        <f aca="false">E626*O626</f>
        <v>617.409663617154</v>
      </c>
      <c r="AG626" s="0" t="n">
        <f aca="false">((1-X626)*O626+X626*P626)*D626</f>
        <v>0</v>
      </c>
      <c r="AH626" s="0" t="n">
        <f aca="false">D626*(LN(EXP(S626)+EXP(T626)))</f>
        <v>-0</v>
      </c>
      <c r="AJ626" s="0" t="n">
        <f aca="false">$J$5</f>
        <v>10</v>
      </c>
      <c r="AK626" s="4" t="n">
        <f aca="false">AJ626+MAX(K626,AK$10:AK625)</f>
        <v>6388.82985076217</v>
      </c>
      <c r="AL626" s="5" t="n">
        <f aca="false">AK626-K626</f>
        <v>617.409663617154</v>
      </c>
      <c r="AM626" s="0" t="n">
        <f aca="false">-G626*AL626/3600</f>
        <v>-2.85368742929047</v>
      </c>
      <c r="AN626" s="0" t="n">
        <f aca="false">-H626*AL626/3600</f>
        <v>-9.65436492160283</v>
      </c>
      <c r="AO626" s="0" t="n">
        <f aca="false">AM626*E626+AN626*D626</f>
        <v>-2.85368742929047</v>
      </c>
      <c r="AP626" s="0" t="n">
        <f aca="false">AL626*D626</f>
        <v>0</v>
      </c>
      <c r="AR626" s="0" t="n">
        <f aca="false">AN626*D626</f>
        <v>-0</v>
      </c>
      <c r="AS626" s="0" t="n">
        <f aca="false">AH626-AR626</f>
        <v>0</v>
      </c>
    </row>
    <row r="627" customFormat="false" ht="12" hidden="false" customHeight="false" outlineLevel="0" collapsed="false">
      <c r="A627" s="3" t="n">
        <f aca="false">A626+1</f>
        <v>618</v>
      </c>
      <c r="B627" s="3" t="n">
        <f aca="false">IF(A627&lt;$N$4/3,0.1,(IF(A627&gt;2*$N$4/3,0.05,0.12)))</f>
        <v>0.12</v>
      </c>
      <c r="C627" s="4" t="n">
        <f aca="true">RAND()</f>
        <v>0.982601570353702</v>
      </c>
      <c r="D627" s="0" t="n">
        <f aca="false">IF((C627&gt;$M$2),1,0)</f>
        <v>1</v>
      </c>
      <c r="E627" s="0" t="n">
        <f aca="false">1-D627</f>
        <v>0</v>
      </c>
      <c r="F627" s="0" t="n">
        <f aca="true">RAND()</f>
        <v>0.544857455385961</v>
      </c>
      <c r="G627" s="0" t="n">
        <f aca="false">7.75+F627*10</f>
        <v>13.1985745538596</v>
      </c>
      <c r="H627" s="0" t="n">
        <f aca="false">LOGINV(F627,2.64,1.139)</f>
        <v>15.9321857751736</v>
      </c>
      <c r="I627" s="0" t="n">
        <v>19.5</v>
      </c>
      <c r="J627" s="4" t="n">
        <f aca="true">-LN(RAND())/B627</f>
        <v>18.6233264498466</v>
      </c>
      <c r="K627" s="4" t="n">
        <f aca="false">K626+J627</f>
        <v>5790.04351359486</v>
      </c>
      <c r="L627" s="4" t="n">
        <f aca="false">(1/$J$4)*(1+AB626)</f>
        <v>10</v>
      </c>
      <c r="M627" s="4" t="n">
        <f aca="false">L627+MAX(K627,Y$10:Y626)</f>
        <v>6398.82985076217</v>
      </c>
      <c r="N627" s="4" t="n">
        <f aca="false">K627</f>
        <v>5790.04351359486</v>
      </c>
      <c r="O627" s="4" t="n">
        <f aca="false">M627-K627</f>
        <v>608.786337167308</v>
      </c>
      <c r="P627" s="4" t="n">
        <f aca="false">N627-K627</f>
        <v>0</v>
      </c>
      <c r="Q627" s="4" t="n">
        <f aca="false">A627-MATCH(K627,$M$9:M626,1)</f>
        <v>60</v>
      </c>
      <c r="R627" s="0" t="n">
        <f aca="false">-G627*(O627/3600)</f>
        <v>-2.23197551624273</v>
      </c>
      <c r="S627" s="0" t="n">
        <f aca="false">-1*I627-(H627*(P627/3600))</f>
        <v>-19.5</v>
      </c>
      <c r="T627" s="0" t="n">
        <f aca="false">-H627*(O627/3600)</f>
        <v>-2.69424917253805</v>
      </c>
      <c r="U627" s="0" t="n">
        <f aca="false">T627-S627</f>
        <v>16.8057508274619</v>
      </c>
      <c r="V627" s="0" t="n">
        <f aca="false">1/(1+EXP(U627))</f>
        <v>5.02753531102362E-008</v>
      </c>
      <c r="W627" s="0" t="n">
        <f aca="true">RAND()</f>
        <v>0.468144986122901</v>
      </c>
      <c r="X627" s="0" t="n">
        <f aca="false">IF(W627&lt;V627,1,0)</f>
        <v>0</v>
      </c>
      <c r="Y627" s="0" t="n">
        <f aca="false">(M627*(1-X627)+N627*X627)*D627+M627*E627</f>
        <v>6398.82985076217</v>
      </c>
      <c r="Z627" s="0" t="n">
        <f aca="false">((1-X627)*O627+X627*P627)*D627+E627*O627</f>
        <v>608.786337167308</v>
      </c>
      <c r="AA627" s="0" t="n">
        <f aca="false">IF(D627*X627&gt;0,AA626,Q627)</f>
        <v>60</v>
      </c>
      <c r="AB627" s="0" t="n">
        <f aca="false">(X627*D627)</f>
        <v>0</v>
      </c>
      <c r="AC627" s="0" t="n">
        <f aca="false">SUM(AB$10:AB626)/K627</f>
        <v>0</v>
      </c>
      <c r="AD627" s="0" t="n">
        <f aca="false">R627*E627+D627*(X627*S627+(1-X627)*T627)</f>
        <v>-2.69424917253805</v>
      </c>
      <c r="AE627" s="0" t="n">
        <f aca="false">Z627</f>
        <v>608.786337167308</v>
      </c>
      <c r="AF627" s="0" t="n">
        <f aca="false">E627*O627</f>
        <v>0</v>
      </c>
      <c r="AG627" s="0" t="n">
        <f aca="false">((1-X627)*O627+X627*P627)*D627</f>
        <v>608.786337167308</v>
      </c>
      <c r="AH627" s="0" t="n">
        <f aca="false">D627*(LN(EXP(S627)+EXP(T627)))</f>
        <v>-2.6942491222627</v>
      </c>
      <c r="AJ627" s="0" t="n">
        <f aca="false">$J$5</f>
        <v>10</v>
      </c>
      <c r="AK627" s="4" t="n">
        <f aca="false">AJ627+MAX(K627,AK$10:AK626)</f>
        <v>6398.82985076217</v>
      </c>
      <c r="AL627" s="5" t="n">
        <f aca="false">AK627-K627</f>
        <v>608.786337167308</v>
      </c>
      <c r="AM627" s="0" t="n">
        <f aca="false">-G627*AL627/3600</f>
        <v>-2.23197551624273</v>
      </c>
      <c r="AN627" s="0" t="n">
        <f aca="false">-H627*AL627/3600</f>
        <v>-2.69424917253806</v>
      </c>
      <c r="AO627" s="0" t="n">
        <f aca="false">AM627*E627+AN627*D627</f>
        <v>-2.69424917253806</v>
      </c>
      <c r="AP627" s="0" t="n">
        <f aca="false">AL627*D627</f>
        <v>608.786337167308</v>
      </c>
      <c r="AR627" s="0" t="n">
        <f aca="false">AN627*D627</f>
        <v>-2.69424917253806</v>
      </c>
      <c r="AS627" s="0" t="n">
        <f aca="false">AH627-AR627</f>
        <v>5.02753549902479E-008</v>
      </c>
    </row>
    <row r="628" customFormat="false" ht="12" hidden="false" customHeight="false" outlineLevel="0" collapsed="false">
      <c r="A628" s="3" t="n">
        <f aca="false">A627+1</f>
        <v>619</v>
      </c>
      <c r="B628" s="3" t="n">
        <f aca="false">IF(A628&lt;$N$4/3,0.1,(IF(A628&gt;2*$N$4/3,0.05,0.12)))</f>
        <v>0.12</v>
      </c>
      <c r="C628" s="4" t="n">
        <f aca="true">RAND()</f>
        <v>0.0892063191746559</v>
      </c>
      <c r="D628" s="0" t="n">
        <f aca="false">IF((C628&gt;$M$2),1,0)</f>
        <v>0</v>
      </c>
      <c r="E628" s="0" t="n">
        <f aca="false">1-D628</f>
        <v>1</v>
      </c>
      <c r="F628" s="0" t="n">
        <f aca="true">RAND()</f>
        <v>0.355976701110658</v>
      </c>
      <c r="G628" s="0" t="n">
        <f aca="false">7.75+F628*10</f>
        <v>11.3097670111066</v>
      </c>
      <c r="H628" s="0" t="n">
        <f aca="false">LOGINV(F628,2.64,1.139)</f>
        <v>9.20220019324646</v>
      </c>
      <c r="I628" s="0" t="n">
        <v>19.5</v>
      </c>
      <c r="J628" s="4" t="n">
        <f aca="true">-LN(RAND())/B628</f>
        <v>5.62049333995944</v>
      </c>
      <c r="K628" s="4" t="n">
        <f aca="false">K627+J628</f>
        <v>5795.66400693482</v>
      </c>
      <c r="L628" s="4" t="n">
        <f aca="false">(1/$J$4)*(1+AB627)</f>
        <v>10</v>
      </c>
      <c r="M628" s="4" t="n">
        <f aca="false">L628+MAX(K628,Y$10:Y627)</f>
        <v>6408.82985076217</v>
      </c>
      <c r="N628" s="4" t="n">
        <f aca="false">K628</f>
        <v>5795.66400693482</v>
      </c>
      <c r="O628" s="4" t="n">
        <f aca="false">M628-K628</f>
        <v>613.165843827348</v>
      </c>
      <c r="P628" s="4" t="n">
        <f aca="false">N628-K628</f>
        <v>0</v>
      </c>
      <c r="Q628" s="4" t="n">
        <f aca="false">A628-MATCH(K628,$M$9:M627,1)</f>
        <v>61</v>
      </c>
      <c r="R628" s="0" t="n">
        <f aca="false">-G628*(O628/3600)</f>
        <v>-1.92632300912663</v>
      </c>
      <c r="S628" s="0" t="n">
        <f aca="false">-1*I628-(H628*(P628/3600))</f>
        <v>-19.5</v>
      </c>
      <c r="T628" s="0" t="n">
        <f aca="false">-H628*(O628/3600)</f>
        <v>-1.56735412404449</v>
      </c>
      <c r="U628" s="0" t="n">
        <f aca="false">T628-S628</f>
        <v>17.9326458759555</v>
      </c>
      <c r="V628" s="0" t="n">
        <f aca="false">1/(1+EXP(U628))</f>
        <v>1.62911162630221E-008</v>
      </c>
      <c r="W628" s="0" t="n">
        <f aca="true">RAND()</f>
        <v>0.0668530356306153</v>
      </c>
      <c r="X628" s="0" t="n">
        <f aca="false">IF(W628&lt;V628,1,0)</f>
        <v>0</v>
      </c>
      <c r="Y628" s="0" t="n">
        <f aca="false">(M628*(1-X628)+N628*X628)*D628+M628*E628</f>
        <v>6408.82985076217</v>
      </c>
      <c r="Z628" s="0" t="n">
        <f aca="false">((1-X628)*O628+X628*P628)*D628+E628*O628</f>
        <v>613.165843827348</v>
      </c>
      <c r="AA628" s="0" t="n">
        <f aca="false">IF(D628*X628&gt;0,AA627,Q628)</f>
        <v>61</v>
      </c>
      <c r="AB628" s="0" t="n">
        <f aca="false">(X628*D628)</f>
        <v>0</v>
      </c>
      <c r="AC628" s="0" t="n">
        <f aca="false">SUM(AB$10:AB627)/K628</f>
        <v>0</v>
      </c>
      <c r="AD628" s="0" t="n">
        <f aca="false">R628*E628+D628*(X628*S628+(1-X628)*T628)</f>
        <v>-1.92632300912663</v>
      </c>
      <c r="AE628" s="0" t="n">
        <f aca="false">Z628</f>
        <v>613.165843827348</v>
      </c>
      <c r="AF628" s="0" t="n">
        <f aca="false">E628*O628</f>
        <v>613.165843827348</v>
      </c>
      <c r="AG628" s="0" t="n">
        <f aca="false">((1-X628)*O628+X628*P628)*D628</f>
        <v>0</v>
      </c>
      <c r="AH628" s="0" t="n">
        <f aca="false">D628*(LN(EXP(S628)+EXP(T628)))</f>
        <v>-0</v>
      </c>
      <c r="AJ628" s="0" t="n">
        <f aca="false">$J$5</f>
        <v>10</v>
      </c>
      <c r="AK628" s="4" t="n">
        <f aca="false">AJ628+MAX(K628,AK$10:AK627)</f>
        <v>6408.82985076217</v>
      </c>
      <c r="AL628" s="5" t="n">
        <f aca="false">AK628-K628</f>
        <v>613.165843827348</v>
      </c>
      <c r="AM628" s="0" t="n">
        <f aca="false">-G628*AL628/3600</f>
        <v>-1.92632300912663</v>
      </c>
      <c r="AN628" s="0" t="n">
        <f aca="false">-H628*AL628/3600</f>
        <v>-1.56735412404449</v>
      </c>
      <c r="AO628" s="0" t="n">
        <f aca="false">AM628*E628+AN628*D628</f>
        <v>-1.92632300912663</v>
      </c>
      <c r="AP628" s="0" t="n">
        <f aca="false">AL628*D628</f>
        <v>0</v>
      </c>
      <c r="AR628" s="0" t="n">
        <f aca="false">AN628*D628</f>
        <v>-0</v>
      </c>
      <c r="AS628" s="0" t="n">
        <f aca="false">AH628-AR628</f>
        <v>0</v>
      </c>
    </row>
    <row r="629" customFormat="false" ht="12" hidden="false" customHeight="false" outlineLevel="0" collapsed="false">
      <c r="A629" s="3" t="n">
        <f aca="false">A628+1</f>
        <v>620</v>
      </c>
      <c r="B629" s="3" t="n">
        <f aca="false">IF(A629&lt;$N$4/3,0.1,(IF(A629&gt;2*$N$4/3,0.05,0.12)))</f>
        <v>0.12</v>
      </c>
      <c r="C629" s="4" t="n">
        <f aca="true">RAND()</f>
        <v>0.982653529808202</v>
      </c>
      <c r="D629" s="0" t="n">
        <f aca="false">IF((C629&gt;$M$2),1,0)</f>
        <v>1</v>
      </c>
      <c r="E629" s="0" t="n">
        <f aca="false">1-D629</f>
        <v>0</v>
      </c>
      <c r="F629" s="0" t="n">
        <f aca="true">RAND()</f>
        <v>0.832479560382151</v>
      </c>
      <c r="G629" s="0" t="n">
        <f aca="false">7.75+F629*10</f>
        <v>16.0747956038215</v>
      </c>
      <c r="H629" s="0" t="n">
        <f aca="false">LOGINV(F629,2.64,1.139)</f>
        <v>42.0141919679609</v>
      </c>
      <c r="I629" s="0" t="n">
        <v>19.5</v>
      </c>
      <c r="J629" s="4" t="n">
        <f aca="true">-LN(RAND())/B629</f>
        <v>1.94477822165123</v>
      </c>
      <c r="K629" s="4" t="n">
        <f aca="false">K628+J629</f>
        <v>5797.60878515647</v>
      </c>
      <c r="L629" s="4" t="n">
        <f aca="false">(1/$J$4)*(1+AB628)</f>
        <v>10</v>
      </c>
      <c r="M629" s="4" t="n">
        <f aca="false">L629+MAX(K629,Y$10:Y628)</f>
        <v>6418.82985076217</v>
      </c>
      <c r="N629" s="4" t="n">
        <f aca="false">K629</f>
        <v>5797.60878515647</v>
      </c>
      <c r="O629" s="4" t="n">
        <f aca="false">M629-K629</f>
        <v>621.221065605697</v>
      </c>
      <c r="P629" s="4" t="n">
        <f aca="false">N629-K629</f>
        <v>0</v>
      </c>
      <c r="Q629" s="4" t="n">
        <f aca="false">A629-MATCH(K629,$M$9:M628,1)</f>
        <v>62</v>
      </c>
      <c r="R629" s="0" t="n">
        <f aca="false">-G629*(O629/3600)</f>
        <v>-2.77388934844438</v>
      </c>
      <c r="S629" s="0" t="n">
        <f aca="false">-1*I629-(H629*(P629/3600))</f>
        <v>-19.5</v>
      </c>
      <c r="T629" s="0" t="n">
        <f aca="false">-H629*(O629/3600)</f>
        <v>-7.25002808469416</v>
      </c>
      <c r="U629" s="0" t="n">
        <f aca="false">T629-S629</f>
        <v>12.2499719153058</v>
      </c>
      <c r="V629" s="0" t="n">
        <f aca="false">1/(1+EXP(U629))</f>
        <v>4.78522888404959E-006</v>
      </c>
      <c r="W629" s="0" t="n">
        <f aca="true">RAND()</f>
        <v>0.251825357735584</v>
      </c>
      <c r="X629" s="0" t="n">
        <f aca="false">IF(W629&lt;V629,1,0)</f>
        <v>0</v>
      </c>
      <c r="Y629" s="0" t="n">
        <f aca="false">(M629*(1-X629)+N629*X629)*D629+M629*E629</f>
        <v>6418.82985076217</v>
      </c>
      <c r="Z629" s="0" t="n">
        <f aca="false">((1-X629)*O629+X629*P629)*D629+E629*O629</f>
        <v>621.221065605697</v>
      </c>
      <c r="AA629" s="0" t="n">
        <f aca="false">IF(D629*X629&gt;0,AA628,Q629)</f>
        <v>62</v>
      </c>
      <c r="AB629" s="0" t="n">
        <f aca="false">(X629*D629)</f>
        <v>0</v>
      </c>
      <c r="AC629" s="0" t="n">
        <f aca="false">SUM(AB$10:AB628)/K629</f>
        <v>0</v>
      </c>
      <c r="AD629" s="0" t="n">
        <f aca="false">R629*E629+D629*(X629*S629+(1-X629)*T629)</f>
        <v>-7.25002808469416</v>
      </c>
      <c r="AE629" s="0" t="n">
        <f aca="false">Z629</f>
        <v>621.221065605697</v>
      </c>
      <c r="AF629" s="0" t="n">
        <f aca="false">E629*O629</f>
        <v>0</v>
      </c>
      <c r="AG629" s="0" t="n">
        <f aca="false">((1-X629)*O629+X629*P629)*D629</f>
        <v>621.221065605697</v>
      </c>
      <c r="AH629" s="0" t="n">
        <f aca="false">D629*(LN(EXP(S629)+EXP(T629)))</f>
        <v>-7.25002329945383</v>
      </c>
      <c r="AJ629" s="0" t="n">
        <f aca="false">$J$5</f>
        <v>10</v>
      </c>
      <c r="AK629" s="4" t="n">
        <f aca="false">AJ629+MAX(K629,AK$10:AK628)</f>
        <v>6418.82985076217</v>
      </c>
      <c r="AL629" s="5" t="n">
        <f aca="false">AK629-K629</f>
        <v>621.221065605697</v>
      </c>
      <c r="AM629" s="0" t="n">
        <f aca="false">-G629*AL629/3600</f>
        <v>-2.77388934844438</v>
      </c>
      <c r="AN629" s="0" t="n">
        <f aca="false">-H629*AL629/3600</f>
        <v>-7.25002808469416</v>
      </c>
      <c r="AO629" s="0" t="n">
        <f aca="false">AM629*E629+AN629*D629</f>
        <v>-7.25002808469416</v>
      </c>
      <c r="AP629" s="0" t="n">
        <f aca="false">AL629*D629</f>
        <v>621.221065605697</v>
      </c>
      <c r="AR629" s="0" t="n">
        <f aca="false">AN629*D629</f>
        <v>-7.25002808469416</v>
      </c>
      <c r="AS629" s="0" t="n">
        <f aca="false">AH629-AR629</f>
        <v>4.78524033287187E-006</v>
      </c>
    </row>
    <row r="630" customFormat="false" ht="12" hidden="false" customHeight="false" outlineLevel="0" collapsed="false">
      <c r="A630" s="3" t="n">
        <f aca="false">A629+1</f>
        <v>621</v>
      </c>
      <c r="B630" s="3" t="n">
        <f aca="false">IF(A630&lt;$N$4/3,0.1,(IF(A630&gt;2*$N$4/3,0.05,0.12)))</f>
        <v>0.12</v>
      </c>
      <c r="C630" s="4" t="n">
        <f aca="true">RAND()</f>
        <v>0.121707637176979</v>
      </c>
      <c r="D630" s="0" t="n">
        <f aca="false">IF((C630&gt;$M$2),1,0)</f>
        <v>0</v>
      </c>
      <c r="E630" s="0" t="n">
        <f aca="false">1-D630</f>
        <v>1</v>
      </c>
      <c r="F630" s="0" t="n">
        <f aca="true">RAND()</f>
        <v>0.973677184082656</v>
      </c>
      <c r="G630" s="0" t="n">
        <f aca="false">7.75+F630*10</f>
        <v>17.4867718408266</v>
      </c>
      <c r="H630" s="0" t="n">
        <f aca="false">LOGINV(F630,2.64,1.139)</f>
        <v>127.379755689111</v>
      </c>
      <c r="I630" s="0" t="n">
        <v>19.5</v>
      </c>
      <c r="J630" s="4" t="n">
        <f aca="true">-LN(RAND())/B630</f>
        <v>17.5073387275323</v>
      </c>
      <c r="K630" s="4" t="n">
        <f aca="false">K629+J630</f>
        <v>5815.11612388401</v>
      </c>
      <c r="L630" s="4" t="n">
        <f aca="false">(1/$J$4)*(1+AB629)</f>
        <v>10</v>
      </c>
      <c r="M630" s="4" t="n">
        <f aca="false">L630+MAX(K630,Y$10:Y629)</f>
        <v>6428.82985076217</v>
      </c>
      <c r="N630" s="4" t="n">
        <f aca="false">K630</f>
        <v>5815.11612388401</v>
      </c>
      <c r="O630" s="4" t="n">
        <f aca="false">M630-K630</f>
        <v>613.713726878164</v>
      </c>
      <c r="P630" s="4" t="n">
        <f aca="false">N630-K630</f>
        <v>0</v>
      </c>
      <c r="Q630" s="4" t="n">
        <f aca="false">A630-MATCH(K630,$M$9:M629,1)</f>
        <v>61</v>
      </c>
      <c r="R630" s="0" t="n">
        <f aca="false">-G630*(O630/3600)</f>
        <v>-2.98107553263939</v>
      </c>
      <c r="S630" s="0" t="n">
        <f aca="false">-1*I630-(H630*(P630/3600))</f>
        <v>-19.5</v>
      </c>
      <c r="T630" s="0" t="n">
        <f aca="false">-H630*(O630/3600)</f>
        <v>-21.7151957202206</v>
      </c>
      <c r="U630" s="0" t="n">
        <f aca="false">T630-S630</f>
        <v>-2.2151957202206</v>
      </c>
      <c r="V630" s="0" t="n">
        <f aca="false">1/(1+EXP(U630))</f>
        <v>0.901605816300023</v>
      </c>
      <c r="W630" s="0" t="n">
        <f aca="true">RAND()</f>
        <v>0.183053481872703</v>
      </c>
      <c r="X630" s="0" t="n">
        <f aca="false">IF(W630&lt;V630,1,0)</f>
        <v>1</v>
      </c>
      <c r="Y630" s="0" t="n">
        <f aca="false">(M630*(1-X630)+N630*X630)*D630+M630*E630</f>
        <v>6428.82985076217</v>
      </c>
      <c r="Z630" s="0" t="n">
        <f aca="false">((1-X630)*O630+X630*P630)*D630+E630*O630</f>
        <v>613.713726878164</v>
      </c>
      <c r="AA630" s="0" t="n">
        <f aca="false">IF(D630*X630&gt;0,AA629,Q630)</f>
        <v>61</v>
      </c>
      <c r="AB630" s="0" t="n">
        <f aca="false">(X630*D630)</f>
        <v>0</v>
      </c>
      <c r="AC630" s="0" t="n">
        <f aca="false">SUM(AB$10:AB629)/K630</f>
        <v>0</v>
      </c>
      <c r="AD630" s="0" t="n">
        <f aca="false">R630*E630+D630*(X630*S630+(1-X630)*T630)</f>
        <v>-2.98107553263939</v>
      </c>
      <c r="AE630" s="0" t="n">
        <f aca="false">Z630</f>
        <v>613.713726878164</v>
      </c>
      <c r="AF630" s="0" t="n">
        <f aca="false">E630*O630</f>
        <v>613.713726878164</v>
      </c>
      <c r="AG630" s="0" t="n">
        <f aca="false">((1-X630)*O630+X630*P630)*D630</f>
        <v>0</v>
      </c>
      <c r="AH630" s="0" t="n">
        <f aca="false">D630*(LN(EXP(S630)+EXP(T630)))</f>
        <v>-0</v>
      </c>
      <c r="AJ630" s="0" t="n">
        <f aca="false">$J$5</f>
        <v>10</v>
      </c>
      <c r="AK630" s="4" t="n">
        <f aca="false">AJ630+MAX(K630,AK$10:AK629)</f>
        <v>6428.82985076217</v>
      </c>
      <c r="AL630" s="5" t="n">
        <f aca="false">AK630-K630</f>
        <v>613.713726878164</v>
      </c>
      <c r="AM630" s="0" t="n">
        <f aca="false">-G630*AL630/3600</f>
        <v>-2.98107553263939</v>
      </c>
      <c r="AN630" s="0" t="n">
        <f aca="false">-H630*AL630/3600</f>
        <v>-21.7151957202206</v>
      </c>
      <c r="AO630" s="0" t="n">
        <f aca="false">AM630*E630+AN630*D630</f>
        <v>-2.98107553263939</v>
      </c>
      <c r="AP630" s="0" t="n">
        <f aca="false">AL630*D630</f>
        <v>0</v>
      </c>
      <c r="AR630" s="0" t="n">
        <f aca="false">AN630*D630</f>
        <v>-0</v>
      </c>
      <c r="AS630" s="0" t="n">
        <f aca="false">AH630-AR630</f>
        <v>0</v>
      </c>
    </row>
    <row r="631" customFormat="false" ht="12" hidden="false" customHeight="false" outlineLevel="0" collapsed="false">
      <c r="A631" s="3" t="n">
        <f aca="false">A630+1</f>
        <v>622</v>
      </c>
      <c r="B631" s="3" t="n">
        <f aca="false">IF(A631&lt;$N$4/3,0.1,(IF(A631&gt;2*$N$4/3,0.05,0.12)))</f>
        <v>0.12</v>
      </c>
      <c r="C631" s="4" t="n">
        <f aca="true">RAND()</f>
        <v>0.731993371539073</v>
      </c>
      <c r="D631" s="0" t="n">
        <f aca="false">IF((C631&gt;$M$2),1,0)</f>
        <v>0</v>
      </c>
      <c r="E631" s="0" t="n">
        <f aca="false">1-D631</f>
        <v>1</v>
      </c>
      <c r="F631" s="0" t="n">
        <f aca="true">RAND()</f>
        <v>0.583819069166223</v>
      </c>
      <c r="G631" s="0" t="n">
        <f aca="false">7.75+F631*10</f>
        <v>13.5881906916622</v>
      </c>
      <c r="H631" s="0" t="n">
        <f aca="false">LOGINV(F631,2.64,1.139)</f>
        <v>17.8338078498653</v>
      </c>
      <c r="I631" s="0" t="n">
        <v>19.5</v>
      </c>
      <c r="J631" s="4" t="n">
        <f aca="true">-LN(RAND())/B631</f>
        <v>23.8469744875868</v>
      </c>
      <c r="K631" s="4" t="n">
        <f aca="false">K630+J631</f>
        <v>5838.96309837159</v>
      </c>
      <c r="L631" s="4" t="n">
        <f aca="false">(1/$J$4)*(1+AB630)</f>
        <v>10</v>
      </c>
      <c r="M631" s="4" t="n">
        <f aca="false">L631+MAX(K631,Y$10:Y630)</f>
        <v>6438.82985076217</v>
      </c>
      <c r="N631" s="4" t="n">
        <f aca="false">K631</f>
        <v>5838.96309837159</v>
      </c>
      <c r="O631" s="4" t="n">
        <f aca="false">M631-K631</f>
        <v>599.866752390578</v>
      </c>
      <c r="P631" s="4" t="n">
        <f aca="false">N631-K631</f>
        <v>0</v>
      </c>
      <c r="Q631" s="4" t="n">
        <f aca="false">A631-MATCH(K631,$M$9:M630,1)</f>
        <v>59</v>
      </c>
      <c r="R631" s="0" t="n">
        <f aca="false">-G631*(O631/3600)</f>
        <v>-2.26419550585314</v>
      </c>
      <c r="S631" s="0" t="n">
        <f aca="false">-1*I631-(H631*(P631/3600))</f>
        <v>-19.5</v>
      </c>
      <c r="T631" s="0" t="n">
        <f aca="false">-H631*(O631/3600)</f>
        <v>-2.97164122157118</v>
      </c>
      <c r="U631" s="0" t="n">
        <f aca="false">T631-S631</f>
        <v>16.5283587784288</v>
      </c>
      <c r="V631" s="0" t="n">
        <f aca="false">1/(1+EXP(U631))</f>
        <v>6.63475604476967E-008</v>
      </c>
      <c r="W631" s="0" t="n">
        <f aca="true">RAND()</f>
        <v>0.231715181360215</v>
      </c>
      <c r="X631" s="0" t="n">
        <f aca="false">IF(W631&lt;V631,1,0)</f>
        <v>0</v>
      </c>
      <c r="Y631" s="0" t="n">
        <f aca="false">(M631*(1-X631)+N631*X631)*D631+M631*E631</f>
        <v>6438.82985076217</v>
      </c>
      <c r="Z631" s="0" t="n">
        <f aca="false">((1-X631)*O631+X631*P631)*D631+E631*O631</f>
        <v>599.866752390578</v>
      </c>
      <c r="AA631" s="0" t="n">
        <f aca="false">IF(D631*X631&gt;0,AA630,Q631)</f>
        <v>59</v>
      </c>
      <c r="AB631" s="0" t="n">
        <f aca="false">(X631*D631)</f>
        <v>0</v>
      </c>
      <c r="AC631" s="0" t="n">
        <f aca="false">SUM(AB$10:AB630)/K631</f>
        <v>0</v>
      </c>
      <c r="AD631" s="0" t="n">
        <f aca="false">R631*E631+D631*(X631*S631+(1-X631)*T631)</f>
        <v>-2.26419550585314</v>
      </c>
      <c r="AE631" s="0" t="n">
        <f aca="false">Z631</f>
        <v>599.866752390578</v>
      </c>
      <c r="AF631" s="0" t="n">
        <f aca="false">E631*O631</f>
        <v>599.866752390578</v>
      </c>
      <c r="AG631" s="0" t="n">
        <f aca="false">((1-X631)*O631+X631*P631)*D631</f>
        <v>0</v>
      </c>
      <c r="AH631" s="0" t="n">
        <f aca="false">D631*(LN(EXP(S631)+EXP(T631)))</f>
        <v>-0</v>
      </c>
      <c r="AJ631" s="0" t="n">
        <f aca="false">$J$5</f>
        <v>10</v>
      </c>
      <c r="AK631" s="4" t="n">
        <f aca="false">AJ631+MAX(K631,AK$10:AK630)</f>
        <v>6438.82985076217</v>
      </c>
      <c r="AL631" s="5" t="n">
        <f aca="false">AK631-K631</f>
        <v>599.866752390578</v>
      </c>
      <c r="AM631" s="0" t="n">
        <f aca="false">-G631*AL631/3600</f>
        <v>-2.26419550585314</v>
      </c>
      <c r="AN631" s="0" t="n">
        <f aca="false">-H631*AL631/3600</f>
        <v>-2.97164122157118</v>
      </c>
      <c r="AO631" s="0" t="n">
        <f aca="false">AM631*E631+AN631*D631</f>
        <v>-2.26419550585314</v>
      </c>
      <c r="AP631" s="0" t="n">
        <f aca="false">AL631*D631</f>
        <v>0</v>
      </c>
      <c r="AR631" s="0" t="n">
        <f aca="false">AN631*D631</f>
        <v>-0</v>
      </c>
      <c r="AS631" s="0" t="n">
        <f aca="false">AH631-AR631</f>
        <v>0</v>
      </c>
    </row>
    <row r="632" customFormat="false" ht="12" hidden="false" customHeight="false" outlineLevel="0" collapsed="false">
      <c r="A632" s="3" t="n">
        <f aca="false">A631+1</f>
        <v>623</v>
      </c>
      <c r="B632" s="3" t="n">
        <f aca="false">IF(A632&lt;$N$4/3,0.1,(IF(A632&gt;2*$N$4/3,0.05,0.12)))</f>
        <v>0.12</v>
      </c>
      <c r="C632" s="4" t="n">
        <f aca="true">RAND()</f>
        <v>0.438832537301992</v>
      </c>
      <c r="D632" s="0" t="n">
        <f aca="false">IF((C632&gt;$M$2),1,0)</f>
        <v>0</v>
      </c>
      <c r="E632" s="0" t="n">
        <f aca="false">1-D632</f>
        <v>1</v>
      </c>
      <c r="F632" s="0" t="n">
        <f aca="true">RAND()</f>
        <v>0.00679550625560745</v>
      </c>
      <c r="G632" s="0" t="n">
        <f aca="false">7.75+F632*10</f>
        <v>7.81795506255607</v>
      </c>
      <c r="H632" s="0" t="n">
        <f aca="false">LOGINV(F632,2.64,1.139)</f>
        <v>0.842878408220009</v>
      </c>
      <c r="I632" s="0" t="n">
        <v>19.5</v>
      </c>
      <c r="J632" s="4" t="n">
        <f aca="true">-LN(RAND())/B632</f>
        <v>6.46514329017072</v>
      </c>
      <c r="K632" s="4" t="n">
        <f aca="false">K631+J632</f>
        <v>5845.42824166176</v>
      </c>
      <c r="L632" s="4" t="n">
        <f aca="false">(1/$J$4)*(1+AB631)</f>
        <v>10</v>
      </c>
      <c r="M632" s="4" t="n">
        <f aca="false">L632+MAX(K632,Y$10:Y631)</f>
        <v>6448.82985076217</v>
      </c>
      <c r="N632" s="4" t="n">
        <f aca="false">K632</f>
        <v>5845.42824166176</v>
      </c>
      <c r="O632" s="4" t="n">
        <f aca="false">M632-K632</f>
        <v>603.401609100407</v>
      </c>
      <c r="P632" s="4" t="n">
        <f aca="false">N632-K632</f>
        <v>0</v>
      </c>
      <c r="Q632" s="4" t="n">
        <f aca="false">A632-MATCH(K632,$M$9:M631,1)</f>
        <v>60</v>
      </c>
      <c r="R632" s="0" t="n">
        <f aca="false">-G632*(O632/3600)</f>
        <v>-1.31037962906139</v>
      </c>
      <c r="S632" s="0" t="n">
        <f aca="false">-1*I632-(H632*(P632/3600))</f>
        <v>-19.5</v>
      </c>
      <c r="T632" s="0" t="n">
        <f aca="false">-H632*(O632/3600)</f>
        <v>-0.141276163276651</v>
      </c>
      <c r="U632" s="0" t="n">
        <f aca="false">T632-S632</f>
        <v>19.3587238367234</v>
      </c>
      <c r="V632" s="0" t="n">
        <f aca="false">1/(1+EXP(U632))</f>
        <v>3.91393004701528E-009</v>
      </c>
      <c r="W632" s="0" t="n">
        <f aca="true">RAND()</f>
        <v>0.332838056722733</v>
      </c>
      <c r="X632" s="0" t="n">
        <f aca="false">IF(W632&lt;V632,1,0)</f>
        <v>0</v>
      </c>
      <c r="Y632" s="0" t="n">
        <f aca="false">(M632*(1-X632)+N632*X632)*D632+M632*E632</f>
        <v>6448.82985076217</v>
      </c>
      <c r="Z632" s="0" t="n">
        <f aca="false">((1-X632)*O632+X632*P632)*D632+E632*O632</f>
        <v>603.401609100407</v>
      </c>
      <c r="AA632" s="0" t="n">
        <f aca="false">IF(D632*X632&gt;0,AA631,Q632)</f>
        <v>60</v>
      </c>
      <c r="AB632" s="0" t="n">
        <f aca="false">(X632*D632)</f>
        <v>0</v>
      </c>
      <c r="AC632" s="0" t="n">
        <f aca="false">SUM(AB$10:AB631)/K632</f>
        <v>0</v>
      </c>
      <c r="AD632" s="0" t="n">
        <f aca="false">R632*E632+D632*(X632*S632+(1-X632)*T632)</f>
        <v>-1.31037962906139</v>
      </c>
      <c r="AE632" s="0" t="n">
        <f aca="false">Z632</f>
        <v>603.401609100407</v>
      </c>
      <c r="AF632" s="0" t="n">
        <f aca="false">E632*O632</f>
        <v>603.401609100407</v>
      </c>
      <c r="AG632" s="0" t="n">
        <f aca="false">((1-X632)*O632+X632*P632)*D632</f>
        <v>0</v>
      </c>
      <c r="AH632" s="0" t="n">
        <f aca="false">D632*(LN(EXP(S632)+EXP(T632)))</f>
        <v>-0</v>
      </c>
      <c r="AJ632" s="0" t="n">
        <f aca="false">$J$5</f>
        <v>10</v>
      </c>
      <c r="AK632" s="4" t="n">
        <f aca="false">AJ632+MAX(K632,AK$10:AK631)</f>
        <v>6448.82985076217</v>
      </c>
      <c r="AL632" s="5" t="n">
        <f aca="false">AK632-K632</f>
        <v>603.401609100407</v>
      </c>
      <c r="AM632" s="0" t="n">
        <f aca="false">-G632*AL632/3600</f>
        <v>-1.31037962906139</v>
      </c>
      <c r="AN632" s="0" t="n">
        <f aca="false">-H632*AL632/3600</f>
        <v>-0.141276163276651</v>
      </c>
      <c r="AO632" s="0" t="n">
        <f aca="false">AM632*E632+AN632*D632</f>
        <v>-1.31037962906139</v>
      </c>
      <c r="AP632" s="0" t="n">
        <f aca="false">AL632*D632</f>
        <v>0</v>
      </c>
      <c r="AR632" s="0" t="n">
        <f aca="false">AN632*D632</f>
        <v>-0</v>
      </c>
      <c r="AS632" s="0" t="n">
        <f aca="false">AH632-AR632</f>
        <v>0</v>
      </c>
    </row>
    <row r="633" customFormat="false" ht="12" hidden="false" customHeight="false" outlineLevel="0" collapsed="false">
      <c r="A633" s="3" t="n">
        <f aca="false">A632+1</f>
        <v>624</v>
      </c>
      <c r="B633" s="3" t="n">
        <f aca="false">IF(A633&lt;$N$4/3,0.1,(IF(A633&gt;2*$N$4/3,0.05,0.12)))</f>
        <v>0.12</v>
      </c>
      <c r="C633" s="4" t="n">
        <f aca="true">RAND()</f>
        <v>0.795233000327674</v>
      </c>
      <c r="D633" s="0" t="n">
        <f aca="false">IF((C633&gt;$M$2),1,0)</f>
        <v>0</v>
      </c>
      <c r="E633" s="0" t="n">
        <f aca="false">1-D633</f>
        <v>1</v>
      </c>
      <c r="F633" s="0" t="n">
        <f aca="true">RAND()</f>
        <v>0.560290365694797</v>
      </c>
      <c r="G633" s="0" t="n">
        <f aca="false">7.75+F633*10</f>
        <v>13.352903656948</v>
      </c>
      <c r="H633" s="0" t="n">
        <f aca="false">LOGINV(F633,2.64,1.139)</f>
        <v>16.6563661197004</v>
      </c>
      <c r="I633" s="0" t="n">
        <v>19.5</v>
      </c>
      <c r="J633" s="4" t="n">
        <f aca="true">-LN(RAND())/B633</f>
        <v>11.5220992700931</v>
      </c>
      <c r="K633" s="4" t="n">
        <f aca="false">K632+J633</f>
        <v>5856.95034093186</v>
      </c>
      <c r="L633" s="4" t="n">
        <f aca="false">(1/$J$4)*(1+AB632)</f>
        <v>10</v>
      </c>
      <c r="M633" s="4" t="n">
        <f aca="false">L633+MAX(K633,Y$10:Y632)</f>
        <v>6458.82985076217</v>
      </c>
      <c r="N633" s="4" t="n">
        <f aca="false">K633</f>
        <v>5856.95034093186</v>
      </c>
      <c r="O633" s="4" t="n">
        <f aca="false">M633-K633</f>
        <v>601.879509830314</v>
      </c>
      <c r="P633" s="4" t="n">
        <f aca="false">N633-K633</f>
        <v>0</v>
      </c>
      <c r="Q633" s="4" t="n">
        <f aca="false">A633-MATCH(K633,$M$9:M632,1)</f>
        <v>60</v>
      </c>
      <c r="R633" s="0" t="n">
        <f aca="false">-G633*(O633/3600)</f>
        <v>-2.23245530773757</v>
      </c>
      <c r="S633" s="0" t="n">
        <f aca="false">-1*I633-(H633*(P633/3600))</f>
        <v>-19.5</v>
      </c>
      <c r="T633" s="0" t="n">
        <f aca="false">-H633*(O633/3600)</f>
        <v>-2.78475707657764</v>
      </c>
      <c r="U633" s="0" t="n">
        <f aca="false">T633-S633</f>
        <v>16.7152429234224</v>
      </c>
      <c r="V633" s="0" t="n">
        <f aca="false">1/(1+EXP(U633))</f>
        <v>5.50379451123102E-008</v>
      </c>
      <c r="W633" s="0" t="n">
        <f aca="true">RAND()</f>
        <v>0.536830149793245</v>
      </c>
      <c r="X633" s="0" t="n">
        <f aca="false">IF(W633&lt;V633,1,0)</f>
        <v>0</v>
      </c>
      <c r="Y633" s="0" t="n">
        <f aca="false">(M633*(1-X633)+N633*X633)*D633+M633*E633</f>
        <v>6458.82985076217</v>
      </c>
      <c r="Z633" s="0" t="n">
        <f aca="false">((1-X633)*O633+X633*P633)*D633+E633*O633</f>
        <v>601.879509830314</v>
      </c>
      <c r="AA633" s="0" t="n">
        <f aca="false">IF(D633*X633&gt;0,AA632,Q633)</f>
        <v>60</v>
      </c>
      <c r="AB633" s="0" t="n">
        <f aca="false">(X633*D633)</f>
        <v>0</v>
      </c>
      <c r="AC633" s="0" t="n">
        <f aca="false">SUM(AB$10:AB632)/K633</f>
        <v>0</v>
      </c>
      <c r="AD633" s="0" t="n">
        <f aca="false">R633*E633+D633*(X633*S633+(1-X633)*T633)</f>
        <v>-2.23245530773757</v>
      </c>
      <c r="AE633" s="0" t="n">
        <f aca="false">Z633</f>
        <v>601.879509830314</v>
      </c>
      <c r="AF633" s="0" t="n">
        <f aca="false">E633*O633</f>
        <v>601.879509830314</v>
      </c>
      <c r="AG633" s="0" t="n">
        <f aca="false">((1-X633)*O633+X633*P633)*D633</f>
        <v>0</v>
      </c>
      <c r="AH633" s="0" t="n">
        <f aca="false">D633*(LN(EXP(S633)+EXP(T633)))</f>
        <v>-0</v>
      </c>
      <c r="AJ633" s="0" t="n">
        <f aca="false">$J$5</f>
        <v>10</v>
      </c>
      <c r="AK633" s="4" t="n">
        <f aca="false">AJ633+MAX(K633,AK$10:AK632)</f>
        <v>6458.82985076217</v>
      </c>
      <c r="AL633" s="5" t="n">
        <f aca="false">AK633-K633</f>
        <v>601.879509830314</v>
      </c>
      <c r="AM633" s="0" t="n">
        <f aca="false">-G633*AL633/3600</f>
        <v>-2.23245530773757</v>
      </c>
      <c r="AN633" s="0" t="n">
        <f aca="false">-H633*AL633/3600</f>
        <v>-2.78475707657764</v>
      </c>
      <c r="AO633" s="0" t="n">
        <f aca="false">AM633*E633+AN633*D633</f>
        <v>-2.23245530773757</v>
      </c>
      <c r="AP633" s="0" t="n">
        <f aca="false">AL633*D633</f>
        <v>0</v>
      </c>
      <c r="AR633" s="0" t="n">
        <f aca="false">AN633*D633</f>
        <v>-0</v>
      </c>
      <c r="AS633" s="0" t="n">
        <f aca="false">AH633-AR633</f>
        <v>0</v>
      </c>
    </row>
    <row r="634" customFormat="false" ht="12" hidden="false" customHeight="false" outlineLevel="0" collapsed="false">
      <c r="A634" s="3" t="n">
        <f aca="false">A633+1</f>
        <v>625</v>
      </c>
      <c r="B634" s="3" t="n">
        <f aca="false">IF(A634&lt;$N$4/3,0.1,(IF(A634&gt;2*$N$4/3,0.05,0.12)))</f>
        <v>0.12</v>
      </c>
      <c r="C634" s="4" t="n">
        <f aca="true">RAND()</f>
        <v>0.817909149334294</v>
      </c>
      <c r="D634" s="0" t="n">
        <f aca="false">IF((C634&gt;$M$2),1,0)</f>
        <v>0</v>
      </c>
      <c r="E634" s="0" t="n">
        <f aca="false">1-D634</f>
        <v>1</v>
      </c>
      <c r="F634" s="0" t="n">
        <f aca="true">RAND()</f>
        <v>0.783085120485194</v>
      </c>
      <c r="G634" s="0" t="n">
        <f aca="false">7.75+F634*10</f>
        <v>15.5808512048519</v>
      </c>
      <c r="H634" s="0" t="n">
        <f aca="false">LOGINV(F634,2.64,1.139)</f>
        <v>34.1732781193886</v>
      </c>
      <c r="I634" s="0" t="n">
        <v>19.5</v>
      </c>
      <c r="J634" s="4" t="n">
        <f aca="true">-LN(RAND())/B634</f>
        <v>0.507471120256431</v>
      </c>
      <c r="K634" s="4" t="n">
        <f aca="false">K633+J634</f>
        <v>5857.45781205211</v>
      </c>
      <c r="L634" s="4" t="n">
        <f aca="false">(1/$J$4)*(1+AB633)</f>
        <v>10</v>
      </c>
      <c r="M634" s="4" t="n">
        <f aca="false">L634+MAX(K634,Y$10:Y633)</f>
        <v>6468.82985076217</v>
      </c>
      <c r="N634" s="4" t="n">
        <f aca="false">K634</f>
        <v>5857.45781205211</v>
      </c>
      <c r="O634" s="4" t="n">
        <f aca="false">M634-K634</f>
        <v>611.372038710058</v>
      </c>
      <c r="P634" s="4" t="n">
        <f aca="false">N634-K634</f>
        <v>0</v>
      </c>
      <c r="Q634" s="4" t="n">
        <f aca="false">A634-MATCH(K634,$M$9:M633,1)</f>
        <v>61</v>
      </c>
      <c r="R634" s="0" t="n">
        <f aca="false">-G634*(O634/3600)</f>
        <v>-2.64602687943011</v>
      </c>
      <c r="S634" s="0" t="n">
        <f aca="false">-1*I634-(H634*(P634/3600))</f>
        <v>-19.5</v>
      </c>
      <c r="T634" s="0" t="n">
        <f aca="false">-H634*(O634/3600)</f>
        <v>-5.80349630923789</v>
      </c>
      <c r="U634" s="0" t="n">
        <f aca="false">T634-S634</f>
        <v>13.6965036907621</v>
      </c>
      <c r="V634" s="0" t="n">
        <f aca="false">1/(1+EXP(U634))</f>
        <v>1.12637638459966E-006</v>
      </c>
      <c r="W634" s="0" t="n">
        <f aca="true">RAND()</f>
        <v>0.661946837866399</v>
      </c>
      <c r="X634" s="0" t="n">
        <f aca="false">IF(W634&lt;V634,1,0)</f>
        <v>0</v>
      </c>
      <c r="Y634" s="0" t="n">
        <f aca="false">(M634*(1-X634)+N634*X634)*D634+M634*E634</f>
        <v>6468.82985076217</v>
      </c>
      <c r="Z634" s="0" t="n">
        <f aca="false">((1-X634)*O634+X634*P634)*D634+E634*O634</f>
        <v>611.372038710058</v>
      </c>
      <c r="AA634" s="0" t="n">
        <f aca="false">IF(D634*X634&gt;0,AA633,Q634)</f>
        <v>61</v>
      </c>
      <c r="AB634" s="0" t="n">
        <f aca="false">(X634*D634)</f>
        <v>0</v>
      </c>
      <c r="AC634" s="0" t="n">
        <f aca="false">SUM(AB$10:AB633)/K634</f>
        <v>0</v>
      </c>
      <c r="AD634" s="0" t="n">
        <f aca="false">R634*E634+D634*(X634*S634+(1-X634)*T634)</f>
        <v>-2.64602687943011</v>
      </c>
      <c r="AE634" s="0" t="n">
        <f aca="false">Z634</f>
        <v>611.372038710058</v>
      </c>
      <c r="AF634" s="0" t="n">
        <f aca="false">E634*O634</f>
        <v>611.372038710058</v>
      </c>
      <c r="AG634" s="0" t="n">
        <f aca="false">((1-X634)*O634+X634*P634)*D634</f>
        <v>0</v>
      </c>
      <c r="AH634" s="0" t="n">
        <f aca="false">D634*(LN(EXP(S634)+EXP(T634)))</f>
        <v>-0</v>
      </c>
      <c r="AJ634" s="0" t="n">
        <f aca="false">$J$5</f>
        <v>10</v>
      </c>
      <c r="AK634" s="4" t="n">
        <f aca="false">AJ634+MAX(K634,AK$10:AK633)</f>
        <v>6468.82985076217</v>
      </c>
      <c r="AL634" s="5" t="n">
        <f aca="false">AK634-K634</f>
        <v>611.372038710058</v>
      </c>
      <c r="AM634" s="0" t="n">
        <f aca="false">-G634*AL634/3600</f>
        <v>-2.64602687943011</v>
      </c>
      <c r="AN634" s="0" t="n">
        <f aca="false">-H634*AL634/3600</f>
        <v>-5.80349630923789</v>
      </c>
      <c r="AO634" s="0" t="n">
        <f aca="false">AM634*E634+AN634*D634</f>
        <v>-2.64602687943011</v>
      </c>
      <c r="AP634" s="0" t="n">
        <f aca="false">AL634*D634</f>
        <v>0</v>
      </c>
      <c r="AR634" s="0" t="n">
        <f aca="false">AN634*D634</f>
        <v>-0</v>
      </c>
      <c r="AS634" s="0" t="n">
        <f aca="false">AH634-AR634</f>
        <v>0</v>
      </c>
    </row>
    <row r="635" customFormat="false" ht="12" hidden="false" customHeight="false" outlineLevel="0" collapsed="false">
      <c r="A635" s="3" t="n">
        <f aca="false">A634+1</f>
        <v>626</v>
      </c>
      <c r="B635" s="3" t="n">
        <f aca="false">IF(A635&lt;$N$4/3,0.1,(IF(A635&gt;2*$N$4/3,0.05,0.12)))</f>
        <v>0.12</v>
      </c>
      <c r="C635" s="4" t="n">
        <f aca="true">RAND()</f>
        <v>0.940552531503527</v>
      </c>
      <c r="D635" s="0" t="n">
        <f aca="false">IF((C635&gt;$M$2),1,0)</f>
        <v>1</v>
      </c>
      <c r="E635" s="0" t="n">
        <f aca="false">1-D635</f>
        <v>0</v>
      </c>
      <c r="F635" s="0" t="n">
        <f aca="true">RAND()</f>
        <v>0.262134647378262</v>
      </c>
      <c r="G635" s="0" t="n">
        <f aca="false">7.75+F635*10</f>
        <v>10.3713464737826</v>
      </c>
      <c r="H635" s="0" t="n">
        <f aca="false">LOGINV(F635,2.64,1.139)</f>
        <v>6.78496796787195</v>
      </c>
      <c r="I635" s="0" t="n">
        <v>19.5</v>
      </c>
      <c r="J635" s="4" t="n">
        <f aca="true">-LN(RAND())/B635</f>
        <v>3.83716183295777</v>
      </c>
      <c r="K635" s="4" t="n">
        <f aca="false">K634+J635</f>
        <v>5861.29497388507</v>
      </c>
      <c r="L635" s="4" t="n">
        <f aca="false">(1/$J$4)*(1+AB634)</f>
        <v>10</v>
      </c>
      <c r="M635" s="4" t="n">
        <f aca="false">L635+MAX(K635,Y$10:Y634)</f>
        <v>6478.82985076217</v>
      </c>
      <c r="N635" s="4" t="n">
        <f aca="false">K635</f>
        <v>5861.29497388507</v>
      </c>
      <c r="O635" s="4" t="n">
        <f aca="false">M635-K635</f>
        <v>617.5348768771</v>
      </c>
      <c r="P635" s="4" t="n">
        <f aca="false">N635-K635</f>
        <v>0</v>
      </c>
      <c r="Q635" s="4" t="n">
        <f aca="false">A635-MATCH(K635,$M$9:M634,1)</f>
        <v>61</v>
      </c>
      <c r="R635" s="0" t="n">
        <f aca="false">-G635*(O635/3600)</f>
        <v>-1.77907449103808</v>
      </c>
      <c r="S635" s="0" t="n">
        <f aca="false">-1*I635-(H635*(P635/3600))</f>
        <v>-19.5</v>
      </c>
      <c r="T635" s="0" t="n">
        <f aca="false">-H635*(O635/3600)</f>
        <v>-1.16387621073747</v>
      </c>
      <c r="U635" s="0" t="n">
        <f aca="false">T635-S635</f>
        <v>18.3361237892625</v>
      </c>
      <c r="V635" s="0" t="n">
        <f aca="false">1/(1+EXP(U635))</f>
        <v>1.08823481070124E-008</v>
      </c>
      <c r="W635" s="0" t="n">
        <f aca="true">RAND()</f>
        <v>0.72393087065074</v>
      </c>
      <c r="X635" s="0" t="n">
        <f aca="false">IF(W635&lt;V635,1,0)</f>
        <v>0</v>
      </c>
      <c r="Y635" s="0" t="n">
        <f aca="false">(M635*(1-X635)+N635*X635)*D635+M635*E635</f>
        <v>6478.82985076217</v>
      </c>
      <c r="Z635" s="0" t="n">
        <f aca="false">((1-X635)*O635+X635*P635)*D635+E635*O635</f>
        <v>617.5348768771</v>
      </c>
      <c r="AA635" s="0" t="n">
        <f aca="false">IF(D635*X635&gt;0,AA634,Q635)</f>
        <v>61</v>
      </c>
      <c r="AB635" s="0" t="n">
        <f aca="false">(X635*D635)</f>
        <v>0</v>
      </c>
      <c r="AC635" s="0" t="n">
        <f aca="false">SUM(AB$10:AB634)/K635</f>
        <v>0</v>
      </c>
      <c r="AD635" s="0" t="n">
        <f aca="false">R635*E635+D635*(X635*S635+(1-X635)*T635)</f>
        <v>-1.16387621073747</v>
      </c>
      <c r="AE635" s="0" t="n">
        <f aca="false">Z635</f>
        <v>617.5348768771</v>
      </c>
      <c r="AF635" s="0" t="n">
        <f aca="false">E635*O635</f>
        <v>0</v>
      </c>
      <c r="AG635" s="0" t="n">
        <f aca="false">((1-X635)*O635+X635*P635)*D635</f>
        <v>617.5348768771</v>
      </c>
      <c r="AH635" s="0" t="n">
        <f aca="false">D635*(LN(EXP(S635)+EXP(T635)))</f>
        <v>-1.16387619985512</v>
      </c>
      <c r="AJ635" s="0" t="n">
        <f aca="false">$J$5</f>
        <v>10</v>
      </c>
      <c r="AK635" s="4" t="n">
        <f aca="false">AJ635+MAX(K635,AK$10:AK634)</f>
        <v>6478.82985076217</v>
      </c>
      <c r="AL635" s="5" t="n">
        <f aca="false">AK635-K635</f>
        <v>617.5348768771</v>
      </c>
      <c r="AM635" s="0" t="n">
        <f aca="false">-G635*AL635/3600</f>
        <v>-1.77907449103808</v>
      </c>
      <c r="AN635" s="0" t="n">
        <f aca="false">-H635*AL635/3600</f>
        <v>-1.16387621073747</v>
      </c>
      <c r="AO635" s="0" t="n">
        <f aca="false">AM635*E635+AN635*D635</f>
        <v>-1.16387621073747</v>
      </c>
      <c r="AP635" s="0" t="n">
        <f aca="false">AL635*D635</f>
        <v>617.5348768771</v>
      </c>
      <c r="AR635" s="0" t="n">
        <f aca="false">AN635*D635</f>
        <v>-1.16387621073747</v>
      </c>
      <c r="AS635" s="0" t="n">
        <f aca="false">AH635-AR635</f>
        <v>1.08823481337339E-008</v>
      </c>
    </row>
    <row r="636" customFormat="false" ht="12" hidden="false" customHeight="false" outlineLevel="0" collapsed="false">
      <c r="A636" s="3" t="n">
        <f aca="false">A635+1</f>
        <v>627</v>
      </c>
      <c r="B636" s="3" t="n">
        <f aca="false">IF(A636&lt;$N$4/3,0.1,(IF(A636&gt;2*$N$4/3,0.05,0.12)))</f>
        <v>0.12</v>
      </c>
      <c r="C636" s="4" t="n">
        <f aca="true">RAND()</f>
        <v>0.926288539671747</v>
      </c>
      <c r="D636" s="0" t="n">
        <f aca="false">IF((C636&gt;$M$2),1,0)</f>
        <v>1</v>
      </c>
      <c r="E636" s="0" t="n">
        <f aca="false">1-D636</f>
        <v>0</v>
      </c>
      <c r="F636" s="0" t="n">
        <f aca="true">RAND()</f>
        <v>0.0831240220767806</v>
      </c>
      <c r="G636" s="0" t="n">
        <f aca="false">7.75+F636*10</f>
        <v>8.58124022076781</v>
      </c>
      <c r="H636" s="0" t="n">
        <f aca="false">LOGINV(F636,2.64,1.139)</f>
        <v>2.89566037009313</v>
      </c>
      <c r="I636" s="0" t="n">
        <v>19.5</v>
      </c>
      <c r="J636" s="4" t="n">
        <f aca="true">-LN(RAND())/B636</f>
        <v>31.4252402348524</v>
      </c>
      <c r="K636" s="4" t="n">
        <f aca="false">K635+J636</f>
        <v>5892.72021411992</v>
      </c>
      <c r="L636" s="4" t="n">
        <f aca="false">(1/$J$4)*(1+AB635)</f>
        <v>10</v>
      </c>
      <c r="M636" s="4" t="n">
        <f aca="false">L636+MAX(K636,Y$10:Y635)</f>
        <v>6488.82985076217</v>
      </c>
      <c r="N636" s="4" t="n">
        <f aca="false">K636</f>
        <v>5892.72021411992</v>
      </c>
      <c r="O636" s="4" t="n">
        <f aca="false">M636-K636</f>
        <v>596.109636642248</v>
      </c>
      <c r="P636" s="4" t="n">
        <f aca="false">N636-K636</f>
        <v>0</v>
      </c>
      <c r="Q636" s="4" t="n">
        <f aca="false">A636-MATCH(K636,$M$9:M635,1)</f>
        <v>59</v>
      </c>
      <c r="R636" s="0" t="n">
        <f aca="false">-G636*(O636/3600)</f>
        <v>-1.42093333053937</v>
      </c>
      <c r="S636" s="0" t="n">
        <f aca="false">-1*I636-(H636*(P636/3600))</f>
        <v>-19.5</v>
      </c>
      <c r="T636" s="0" t="n">
        <f aca="false">-H636*(O636/3600)</f>
        <v>-0.479480847515437</v>
      </c>
      <c r="U636" s="0" t="n">
        <f aca="false">T636-S636</f>
        <v>19.0205191524846</v>
      </c>
      <c r="V636" s="0" t="n">
        <f aca="false">1/(1+EXP(U636))</f>
        <v>5.4890032352455E-009</v>
      </c>
      <c r="W636" s="0" t="n">
        <f aca="true">RAND()</f>
        <v>0.120844383001977</v>
      </c>
      <c r="X636" s="0" t="n">
        <f aca="false">IF(W636&lt;V636,1,0)</f>
        <v>0</v>
      </c>
      <c r="Y636" s="0" t="n">
        <f aca="false">(M636*(1-X636)+N636*X636)*D636+M636*E636</f>
        <v>6488.82985076217</v>
      </c>
      <c r="Z636" s="0" t="n">
        <f aca="false">((1-X636)*O636+X636*P636)*D636+E636*O636</f>
        <v>596.109636642248</v>
      </c>
      <c r="AA636" s="0" t="n">
        <f aca="false">IF(D636*X636&gt;0,AA635,Q636)</f>
        <v>59</v>
      </c>
      <c r="AB636" s="0" t="n">
        <f aca="false">(X636*D636)</f>
        <v>0</v>
      </c>
      <c r="AC636" s="0" t="n">
        <f aca="false">SUM(AB$10:AB635)/K636</f>
        <v>0</v>
      </c>
      <c r="AD636" s="0" t="n">
        <f aca="false">R636*E636+D636*(X636*S636+(1-X636)*T636)</f>
        <v>-0.479480847515437</v>
      </c>
      <c r="AE636" s="0" t="n">
        <f aca="false">Z636</f>
        <v>596.109636642248</v>
      </c>
      <c r="AF636" s="0" t="n">
        <f aca="false">E636*O636</f>
        <v>0</v>
      </c>
      <c r="AG636" s="0" t="n">
        <f aca="false">((1-X636)*O636+X636*P636)*D636</f>
        <v>596.109636642248</v>
      </c>
      <c r="AH636" s="0" t="n">
        <f aca="false">D636*(LN(EXP(S636)+EXP(T636)))</f>
        <v>-0.479480842026434</v>
      </c>
      <c r="AJ636" s="0" t="n">
        <f aca="false">$J$5</f>
        <v>10</v>
      </c>
      <c r="AK636" s="4" t="n">
        <f aca="false">AJ636+MAX(K636,AK$10:AK635)</f>
        <v>6488.82985076217</v>
      </c>
      <c r="AL636" s="5" t="n">
        <f aca="false">AK636-K636</f>
        <v>596.109636642248</v>
      </c>
      <c r="AM636" s="0" t="n">
        <f aca="false">-G636*AL636/3600</f>
        <v>-1.42093333053937</v>
      </c>
      <c r="AN636" s="0" t="n">
        <f aca="false">-H636*AL636/3600</f>
        <v>-0.479480847515437</v>
      </c>
      <c r="AO636" s="0" t="n">
        <f aca="false">AM636*E636+AN636*D636</f>
        <v>-0.479480847515437</v>
      </c>
      <c r="AP636" s="0" t="n">
        <f aca="false">AL636*D636</f>
        <v>596.109636642248</v>
      </c>
      <c r="AR636" s="0" t="n">
        <f aca="false">AN636*D636</f>
        <v>-0.479480847515437</v>
      </c>
      <c r="AS636" s="0" t="n">
        <f aca="false">AH636-AR636</f>
        <v>5.48900325192392E-009</v>
      </c>
    </row>
    <row r="637" customFormat="false" ht="12" hidden="false" customHeight="false" outlineLevel="0" collapsed="false">
      <c r="A637" s="3" t="n">
        <f aca="false">A636+1</f>
        <v>628</v>
      </c>
      <c r="B637" s="3" t="n">
        <f aca="false">IF(A637&lt;$N$4/3,0.1,(IF(A637&gt;2*$N$4/3,0.05,0.12)))</f>
        <v>0.12</v>
      </c>
      <c r="C637" s="4" t="n">
        <f aca="true">RAND()</f>
        <v>0.912504837668479</v>
      </c>
      <c r="D637" s="0" t="n">
        <f aca="false">IF((C637&gt;$M$2),1,0)</f>
        <v>1</v>
      </c>
      <c r="E637" s="0" t="n">
        <f aca="false">1-D637</f>
        <v>0</v>
      </c>
      <c r="F637" s="0" t="n">
        <f aca="true">RAND()</f>
        <v>0.0617805913735292</v>
      </c>
      <c r="G637" s="0" t="n">
        <f aca="false">7.75+F637*10</f>
        <v>8.36780591373529</v>
      </c>
      <c r="H637" s="0" t="n">
        <f aca="false">LOGINV(F637,2.64,1.139)</f>
        <v>2.42527246599388</v>
      </c>
      <c r="I637" s="0" t="n">
        <v>19.5</v>
      </c>
      <c r="J637" s="4" t="n">
        <f aca="true">-LN(RAND())/B637</f>
        <v>8.71294754749794</v>
      </c>
      <c r="K637" s="4" t="n">
        <f aca="false">K636+J637</f>
        <v>5901.43316166742</v>
      </c>
      <c r="L637" s="4" t="n">
        <f aca="false">(1/$J$4)*(1+AB636)</f>
        <v>10</v>
      </c>
      <c r="M637" s="4" t="n">
        <f aca="false">L637+MAX(K637,Y$10:Y636)</f>
        <v>6498.82985076217</v>
      </c>
      <c r="N637" s="4" t="n">
        <f aca="false">K637</f>
        <v>5901.43316166742</v>
      </c>
      <c r="O637" s="4" t="n">
        <f aca="false">M637-K637</f>
        <v>597.39668909475</v>
      </c>
      <c r="P637" s="4" t="n">
        <f aca="false">N637-K637</f>
        <v>0</v>
      </c>
      <c r="Q637" s="4" t="n">
        <f aca="false">A637-MATCH(K637,$M$9:M636,1)</f>
        <v>59</v>
      </c>
      <c r="R637" s="0" t="n">
        <f aca="false">-G637*(O637/3600)</f>
        <v>-1.38858320773693</v>
      </c>
      <c r="S637" s="0" t="n">
        <f aca="false">-1*I637-(H637*(P637/3600))</f>
        <v>-19.5</v>
      </c>
      <c r="T637" s="0" t="n">
        <f aca="false">-H637*(O637/3600)</f>
        <v>-0.402458261482612</v>
      </c>
      <c r="U637" s="0" t="n">
        <f aca="false">T637-S637</f>
        <v>19.0975417385174</v>
      </c>
      <c r="V637" s="0" t="n">
        <f aca="false">1/(1+EXP(U637))</f>
        <v>5.08209761827512E-009</v>
      </c>
      <c r="W637" s="0" t="n">
        <f aca="true">RAND()</f>
        <v>0.963043316401981</v>
      </c>
      <c r="X637" s="0" t="n">
        <f aca="false">IF(W637&lt;V637,1,0)</f>
        <v>0</v>
      </c>
      <c r="Y637" s="0" t="n">
        <f aca="false">(M637*(1-X637)+N637*X637)*D637+M637*E637</f>
        <v>6498.82985076217</v>
      </c>
      <c r="Z637" s="0" t="n">
        <f aca="false">((1-X637)*O637+X637*P637)*D637+E637*O637</f>
        <v>597.39668909475</v>
      </c>
      <c r="AA637" s="0" t="n">
        <f aca="false">IF(D637*X637&gt;0,AA636,Q637)</f>
        <v>59</v>
      </c>
      <c r="AB637" s="0" t="n">
        <f aca="false">(X637*D637)</f>
        <v>0</v>
      </c>
      <c r="AC637" s="0" t="n">
        <f aca="false">SUM(AB$10:AB636)/K637</f>
        <v>0</v>
      </c>
      <c r="AD637" s="0" t="n">
        <f aca="false">R637*E637+D637*(X637*S637+(1-X637)*T637)</f>
        <v>-0.402458261482612</v>
      </c>
      <c r="AE637" s="0" t="n">
        <f aca="false">Z637</f>
        <v>597.39668909475</v>
      </c>
      <c r="AF637" s="0" t="n">
        <f aca="false">E637*O637</f>
        <v>0</v>
      </c>
      <c r="AG637" s="0" t="n">
        <f aca="false">((1-X637)*O637+X637*P637)*D637</f>
        <v>597.39668909475</v>
      </c>
      <c r="AH637" s="0" t="n">
        <f aca="false">D637*(LN(EXP(S637)+EXP(T637)))</f>
        <v>-0.402458256400514</v>
      </c>
      <c r="AJ637" s="0" t="n">
        <f aca="false">$J$5</f>
        <v>10</v>
      </c>
      <c r="AK637" s="4" t="n">
        <f aca="false">AJ637+MAX(K637,AK$10:AK636)</f>
        <v>6498.82985076217</v>
      </c>
      <c r="AL637" s="5" t="n">
        <f aca="false">AK637-K637</f>
        <v>597.39668909475</v>
      </c>
      <c r="AM637" s="0" t="n">
        <f aca="false">-G637*AL637/3600</f>
        <v>-1.38858320773693</v>
      </c>
      <c r="AN637" s="0" t="n">
        <f aca="false">-H637*AL637/3600</f>
        <v>-0.402458261482612</v>
      </c>
      <c r="AO637" s="0" t="n">
        <f aca="false">AM637*E637+AN637*D637</f>
        <v>-0.402458261482612</v>
      </c>
      <c r="AP637" s="0" t="n">
        <f aca="false">AL637*D637</f>
        <v>597.39668909475</v>
      </c>
      <c r="AR637" s="0" t="n">
        <f aca="false">AN637*D637</f>
        <v>-0.402458261482612</v>
      </c>
      <c r="AS637" s="0" t="n">
        <f aca="false">AH637-AR637</f>
        <v>5.08209757610345E-009</v>
      </c>
    </row>
    <row r="638" customFormat="false" ht="12" hidden="false" customHeight="false" outlineLevel="0" collapsed="false">
      <c r="A638" s="3" t="n">
        <f aca="false">A637+1</f>
        <v>629</v>
      </c>
      <c r="B638" s="3" t="n">
        <f aca="false">IF(A638&lt;$N$4/3,0.1,(IF(A638&gt;2*$N$4/3,0.05,0.12)))</f>
        <v>0.12</v>
      </c>
      <c r="C638" s="4" t="n">
        <f aca="true">RAND()</f>
        <v>0.432031228542519</v>
      </c>
      <c r="D638" s="0" t="n">
        <f aca="false">IF((C638&gt;$M$2),1,0)</f>
        <v>0</v>
      </c>
      <c r="E638" s="0" t="n">
        <f aca="false">1-D638</f>
        <v>1</v>
      </c>
      <c r="F638" s="0" t="n">
        <f aca="true">RAND()</f>
        <v>0.568019370779871</v>
      </c>
      <c r="G638" s="0" t="n">
        <f aca="false">7.75+F638*10</f>
        <v>13.4301937077987</v>
      </c>
      <c r="H638" s="0" t="n">
        <f aca="false">LOGINV(F638,2.64,1.139)</f>
        <v>17.0329425396966</v>
      </c>
      <c r="I638" s="0" t="n">
        <v>19.5</v>
      </c>
      <c r="J638" s="4" t="n">
        <f aca="true">-LN(RAND())/B638</f>
        <v>0.825765059750264</v>
      </c>
      <c r="K638" s="4" t="n">
        <f aca="false">K637+J638</f>
        <v>5902.25892672717</v>
      </c>
      <c r="L638" s="4" t="n">
        <f aca="false">(1/$J$4)*(1+AB637)</f>
        <v>10</v>
      </c>
      <c r="M638" s="4" t="n">
        <f aca="false">L638+MAX(K638,Y$10:Y637)</f>
        <v>6508.82985076217</v>
      </c>
      <c r="N638" s="4" t="n">
        <f aca="false">K638</f>
        <v>5902.25892672717</v>
      </c>
      <c r="O638" s="4" t="n">
        <f aca="false">M638-K638</f>
        <v>606.570924035</v>
      </c>
      <c r="P638" s="4" t="n">
        <f aca="false">N638-K638</f>
        <v>0</v>
      </c>
      <c r="Q638" s="4" t="n">
        <f aca="false">A638-MATCH(K638,$M$9:M637,1)</f>
        <v>60</v>
      </c>
      <c r="R638" s="0" t="n">
        <f aca="false">-G638*(O638/3600)</f>
        <v>-2.26287916869681</v>
      </c>
      <c r="S638" s="0" t="n">
        <f aca="false">-1*I638-(H638*(P638/3600))</f>
        <v>-19.5</v>
      </c>
      <c r="T638" s="0" t="n">
        <f aca="false">-H638*(O638/3600)</f>
        <v>-2.86991324870523</v>
      </c>
      <c r="U638" s="0" t="n">
        <f aca="false">T638-S638</f>
        <v>16.6300867512948</v>
      </c>
      <c r="V638" s="0" t="n">
        <f aca="false">1/(1+EXP(U638))</f>
        <v>5.99301085483968E-008</v>
      </c>
      <c r="W638" s="0" t="n">
        <f aca="true">RAND()</f>
        <v>0.847888484051738</v>
      </c>
      <c r="X638" s="0" t="n">
        <f aca="false">IF(W638&lt;V638,1,0)</f>
        <v>0</v>
      </c>
      <c r="Y638" s="0" t="n">
        <f aca="false">(M638*(1-X638)+N638*X638)*D638+M638*E638</f>
        <v>6508.82985076217</v>
      </c>
      <c r="Z638" s="0" t="n">
        <f aca="false">((1-X638)*O638+X638*P638)*D638+E638*O638</f>
        <v>606.570924035</v>
      </c>
      <c r="AA638" s="0" t="n">
        <f aca="false">IF(D638*X638&gt;0,AA637,Q638)</f>
        <v>60</v>
      </c>
      <c r="AB638" s="0" t="n">
        <f aca="false">(X638*D638)</f>
        <v>0</v>
      </c>
      <c r="AC638" s="0" t="n">
        <f aca="false">SUM(AB$10:AB637)/K638</f>
        <v>0</v>
      </c>
      <c r="AD638" s="0" t="n">
        <f aca="false">R638*E638+D638*(X638*S638+(1-X638)*T638)</f>
        <v>-2.26287916869681</v>
      </c>
      <c r="AE638" s="0" t="n">
        <f aca="false">Z638</f>
        <v>606.570924035</v>
      </c>
      <c r="AF638" s="0" t="n">
        <f aca="false">E638*O638</f>
        <v>606.570924035</v>
      </c>
      <c r="AG638" s="0" t="n">
        <f aca="false">((1-X638)*O638+X638*P638)*D638</f>
        <v>0</v>
      </c>
      <c r="AH638" s="0" t="n">
        <f aca="false">D638*(LN(EXP(S638)+EXP(T638)))</f>
        <v>-0</v>
      </c>
      <c r="AJ638" s="0" t="n">
        <f aca="false">$J$5</f>
        <v>10</v>
      </c>
      <c r="AK638" s="4" t="n">
        <f aca="false">AJ638+MAX(K638,AK$10:AK637)</f>
        <v>6508.82985076217</v>
      </c>
      <c r="AL638" s="5" t="n">
        <f aca="false">AK638-K638</f>
        <v>606.570924035</v>
      </c>
      <c r="AM638" s="0" t="n">
        <f aca="false">-G638*AL638/3600</f>
        <v>-2.26287916869681</v>
      </c>
      <c r="AN638" s="0" t="n">
        <f aca="false">-H638*AL638/3600</f>
        <v>-2.86991324870523</v>
      </c>
      <c r="AO638" s="0" t="n">
        <f aca="false">AM638*E638+AN638*D638</f>
        <v>-2.26287916869681</v>
      </c>
      <c r="AP638" s="0" t="n">
        <f aca="false">AL638*D638</f>
        <v>0</v>
      </c>
      <c r="AR638" s="0" t="n">
        <f aca="false">AN638*D638</f>
        <v>-0</v>
      </c>
      <c r="AS638" s="0" t="n">
        <f aca="false">AH638-AR638</f>
        <v>0</v>
      </c>
    </row>
    <row r="639" customFormat="false" ht="12" hidden="false" customHeight="false" outlineLevel="0" collapsed="false">
      <c r="A639" s="3" t="n">
        <f aca="false">A638+1</f>
        <v>630</v>
      </c>
      <c r="B639" s="3" t="n">
        <f aca="false">IF(A639&lt;$N$4/3,0.1,(IF(A639&gt;2*$N$4/3,0.05,0.12)))</f>
        <v>0.12</v>
      </c>
      <c r="C639" s="4" t="n">
        <f aca="true">RAND()</f>
        <v>0.393135625204784</v>
      </c>
      <c r="D639" s="0" t="n">
        <f aca="false">IF((C639&gt;$M$2),1,0)</f>
        <v>0</v>
      </c>
      <c r="E639" s="0" t="n">
        <f aca="false">1-D639</f>
        <v>1</v>
      </c>
      <c r="F639" s="0" t="n">
        <f aca="true">RAND()</f>
        <v>0.767386185905238</v>
      </c>
      <c r="G639" s="0" t="n">
        <f aca="false">7.75+F639*10</f>
        <v>15.4238618590524</v>
      </c>
      <c r="H639" s="0" t="n">
        <f aca="false">LOGINV(F639,2.64,1.139)</f>
        <v>32.1937692983428</v>
      </c>
      <c r="I639" s="0" t="n">
        <v>19.5</v>
      </c>
      <c r="J639" s="4" t="n">
        <f aca="true">-LN(RAND())/B639</f>
        <v>5.63422765633952</v>
      </c>
      <c r="K639" s="4" t="n">
        <f aca="false">K638+J639</f>
        <v>5907.89315438351</v>
      </c>
      <c r="L639" s="4" t="n">
        <f aca="false">(1/$J$4)*(1+AB638)</f>
        <v>10</v>
      </c>
      <c r="M639" s="4" t="n">
        <f aca="false">L639+MAX(K639,Y$10:Y638)</f>
        <v>6518.82985076217</v>
      </c>
      <c r="N639" s="4" t="n">
        <f aca="false">K639</f>
        <v>5907.89315438351</v>
      </c>
      <c r="O639" s="4" t="n">
        <f aca="false">M639-K639</f>
        <v>610.936696378661</v>
      </c>
      <c r="P639" s="4" t="n">
        <f aca="false">N639-K639</f>
        <v>0</v>
      </c>
      <c r="Q639" s="4" t="n">
        <f aca="false">A639-MATCH(K639,$M$9:M638,1)</f>
        <v>61</v>
      </c>
      <c r="R639" s="0" t="n">
        <f aca="false">-G639*(O639/3600)</f>
        <v>-2.6175008915473</v>
      </c>
      <c r="S639" s="0" t="n">
        <f aca="false">-1*I639-(H639*(P639/3600))</f>
        <v>-19.5</v>
      </c>
      <c r="T639" s="0" t="n">
        <f aca="false">-H639*(O639/3600)</f>
        <v>-5.46343196086286</v>
      </c>
      <c r="U639" s="0" t="n">
        <f aca="false">T639-S639</f>
        <v>14.0365680391371</v>
      </c>
      <c r="V639" s="0" t="n">
        <f aca="false">1/(1+EXP(U639))</f>
        <v>8.01669955324318E-007</v>
      </c>
      <c r="W639" s="0" t="n">
        <f aca="true">RAND()</f>
        <v>0.806817678904432</v>
      </c>
      <c r="X639" s="0" t="n">
        <f aca="false">IF(W639&lt;V639,1,0)</f>
        <v>0</v>
      </c>
      <c r="Y639" s="0" t="n">
        <f aca="false">(M639*(1-X639)+N639*X639)*D639+M639*E639</f>
        <v>6518.82985076217</v>
      </c>
      <c r="Z639" s="0" t="n">
        <f aca="false">((1-X639)*O639+X639*P639)*D639+E639*O639</f>
        <v>610.936696378661</v>
      </c>
      <c r="AA639" s="0" t="n">
        <f aca="false">IF(D639*X639&gt;0,AA638,Q639)</f>
        <v>61</v>
      </c>
      <c r="AB639" s="0" t="n">
        <f aca="false">(X639*D639)</f>
        <v>0</v>
      </c>
      <c r="AC639" s="0" t="n">
        <f aca="false">SUM(AB$10:AB638)/K639</f>
        <v>0</v>
      </c>
      <c r="AD639" s="0" t="n">
        <f aca="false">R639*E639+D639*(X639*S639+(1-X639)*T639)</f>
        <v>-2.6175008915473</v>
      </c>
      <c r="AE639" s="0" t="n">
        <f aca="false">Z639</f>
        <v>610.936696378661</v>
      </c>
      <c r="AF639" s="0" t="n">
        <f aca="false">E639*O639</f>
        <v>610.936696378661</v>
      </c>
      <c r="AG639" s="0" t="n">
        <f aca="false">((1-X639)*O639+X639*P639)*D639</f>
        <v>0</v>
      </c>
      <c r="AH639" s="0" t="n">
        <f aca="false">D639*(LN(EXP(S639)+EXP(T639)))</f>
        <v>-0</v>
      </c>
      <c r="AJ639" s="0" t="n">
        <f aca="false">$J$5</f>
        <v>10</v>
      </c>
      <c r="AK639" s="4" t="n">
        <f aca="false">AJ639+MAX(K639,AK$10:AK638)</f>
        <v>6518.82985076217</v>
      </c>
      <c r="AL639" s="5" t="n">
        <f aca="false">AK639-K639</f>
        <v>610.936696378661</v>
      </c>
      <c r="AM639" s="0" t="n">
        <f aca="false">-G639*AL639/3600</f>
        <v>-2.6175008915473</v>
      </c>
      <c r="AN639" s="0" t="n">
        <f aca="false">-H639*AL639/3600</f>
        <v>-5.46343196086286</v>
      </c>
      <c r="AO639" s="0" t="n">
        <f aca="false">AM639*E639+AN639*D639</f>
        <v>-2.6175008915473</v>
      </c>
      <c r="AP639" s="0" t="n">
        <f aca="false">AL639*D639</f>
        <v>0</v>
      </c>
      <c r="AR639" s="0" t="n">
        <f aca="false">AN639*D639</f>
        <v>-0</v>
      </c>
      <c r="AS639" s="0" t="n">
        <f aca="false">AH639-AR639</f>
        <v>0</v>
      </c>
    </row>
    <row r="640" customFormat="false" ht="12" hidden="false" customHeight="false" outlineLevel="0" collapsed="false">
      <c r="A640" s="3" t="n">
        <f aca="false">A639+1</f>
        <v>631</v>
      </c>
      <c r="B640" s="3" t="n">
        <f aca="false">IF(A640&lt;$N$4/3,0.1,(IF(A640&gt;2*$N$4/3,0.05,0.12)))</f>
        <v>0.12</v>
      </c>
      <c r="C640" s="4" t="n">
        <f aca="true">RAND()</f>
        <v>0.258256923267508</v>
      </c>
      <c r="D640" s="0" t="n">
        <f aca="false">IF((C640&gt;$M$2),1,0)</f>
        <v>0</v>
      </c>
      <c r="E640" s="0" t="n">
        <f aca="false">1-D640</f>
        <v>1</v>
      </c>
      <c r="F640" s="0" t="n">
        <f aca="true">RAND()</f>
        <v>0.176437327933122</v>
      </c>
      <c r="G640" s="0" t="n">
        <f aca="false">7.75+F640*10</f>
        <v>9.51437327933122</v>
      </c>
      <c r="H640" s="0" t="n">
        <f aca="false">LOGINV(F640,2.64,1.139)</f>
        <v>4.86388394376676</v>
      </c>
      <c r="I640" s="0" t="n">
        <v>19.5</v>
      </c>
      <c r="J640" s="4" t="n">
        <f aca="true">-LN(RAND())/B640</f>
        <v>3.8641079562999</v>
      </c>
      <c r="K640" s="4" t="n">
        <f aca="false">K639+J640</f>
        <v>5911.75726233981</v>
      </c>
      <c r="L640" s="4" t="n">
        <f aca="false">(1/$J$4)*(1+AB639)</f>
        <v>10</v>
      </c>
      <c r="M640" s="4" t="n">
        <f aca="false">L640+MAX(K640,Y$10:Y639)</f>
        <v>6528.82985076217</v>
      </c>
      <c r="N640" s="4" t="n">
        <f aca="false">K640</f>
        <v>5911.75726233981</v>
      </c>
      <c r="O640" s="4" t="n">
        <f aca="false">M640-K640</f>
        <v>617.072588422361</v>
      </c>
      <c r="P640" s="4" t="n">
        <f aca="false">N640-K640</f>
        <v>0</v>
      </c>
      <c r="Q640" s="4" t="n">
        <f aca="false">A640-MATCH(K640,$M$9:M639,1)</f>
        <v>61</v>
      </c>
      <c r="R640" s="0" t="n">
        <f aca="false">-G640*(O640/3600)</f>
        <v>-1.63084970741485</v>
      </c>
      <c r="S640" s="0" t="n">
        <f aca="false">-1*I640-(H640*(P640/3600))</f>
        <v>-19.5</v>
      </c>
      <c r="T640" s="0" t="n">
        <f aca="false">-H640*(O640/3600)</f>
        <v>-0.833713737490587</v>
      </c>
      <c r="U640" s="0" t="n">
        <f aca="false">T640-S640</f>
        <v>18.6662862625094</v>
      </c>
      <c r="V640" s="0" t="n">
        <f aca="false">1/(1+EXP(U640))</f>
        <v>7.82230733461846E-009</v>
      </c>
      <c r="W640" s="0" t="n">
        <f aca="true">RAND()</f>
        <v>0.866332124443641</v>
      </c>
      <c r="X640" s="0" t="n">
        <f aca="false">IF(W640&lt;V640,1,0)</f>
        <v>0</v>
      </c>
      <c r="Y640" s="0" t="n">
        <f aca="false">(M640*(1-X640)+N640*X640)*D640+M640*E640</f>
        <v>6528.82985076217</v>
      </c>
      <c r="Z640" s="0" t="n">
        <f aca="false">((1-X640)*O640+X640*P640)*D640+E640*O640</f>
        <v>617.072588422361</v>
      </c>
      <c r="AA640" s="0" t="n">
        <f aca="false">IF(D640*X640&gt;0,AA639,Q640)</f>
        <v>61</v>
      </c>
      <c r="AB640" s="0" t="n">
        <f aca="false">(X640*D640)</f>
        <v>0</v>
      </c>
      <c r="AC640" s="0" t="n">
        <f aca="false">SUM(AB$10:AB639)/K640</f>
        <v>0</v>
      </c>
      <c r="AD640" s="0" t="n">
        <f aca="false">R640*E640+D640*(X640*S640+(1-X640)*T640)</f>
        <v>-1.63084970741485</v>
      </c>
      <c r="AE640" s="0" t="n">
        <f aca="false">Z640</f>
        <v>617.072588422361</v>
      </c>
      <c r="AF640" s="0" t="n">
        <f aca="false">E640*O640</f>
        <v>617.072588422361</v>
      </c>
      <c r="AG640" s="0" t="n">
        <f aca="false">((1-X640)*O640+X640*P640)*D640</f>
        <v>0</v>
      </c>
      <c r="AH640" s="0" t="n">
        <f aca="false">D640*(LN(EXP(S640)+EXP(T640)))</f>
        <v>-0</v>
      </c>
      <c r="AJ640" s="0" t="n">
        <f aca="false">$J$5</f>
        <v>10</v>
      </c>
      <c r="AK640" s="4" t="n">
        <f aca="false">AJ640+MAX(K640,AK$10:AK639)</f>
        <v>6528.82985076217</v>
      </c>
      <c r="AL640" s="5" t="n">
        <f aca="false">AK640-K640</f>
        <v>617.072588422361</v>
      </c>
      <c r="AM640" s="0" t="n">
        <f aca="false">-G640*AL640/3600</f>
        <v>-1.63084970741485</v>
      </c>
      <c r="AN640" s="0" t="n">
        <f aca="false">-H640*AL640/3600</f>
        <v>-0.833713737490587</v>
      </c>
      <c r="AO640" s="0" t="n">
        <f aca="false">AM640*E640+AN640*D640</f>
        <v>-1.63084970741485</v>
      </c>
      <c r="AP640" s="0" t="n">
        <f aca="false">AL640*D640</f>
        <v>0</v>
      </c>
      <c r="AR640" s="0" t="n">
        <f aca="false">AN640*D640</f>
        <v>-0</v>
      </c>
      <c r="AS640" s="0" t="n">
        <f aca="false">AH640-AR640</f>
        <v>0</v>
      </c>
    </row>
    <row r="641" customFormat="false" ht="12" hidden="false" customHeight="false" outlineLevel="0" collapsed="false">
      <c r="A641" s="3" t="n">
        <f aca="false">A640+1</f>
        <v>632</v>
      </c>
      <c r="B641" s="3" t="n">
        <f aca="false">IF(A641&lt;$N$4/3,0.1,(IF(A641&gt;2*$N$4/3,0.05,0.12)))</f>
        <v>0.12</v>
      </c>
      <c r="C641" s="4" t="n">
        <f aca="true">RAND()</f>
        <v>0.299479827295705</v>
      </c>
      <c r="D641" s="0" t="n">
        <f aca="false">IF((C641&gt;$M$2),1,0)</f>
        <v>0</v>
      </c>
      <c r="E641" s="0" t="n">
        <f aca="false">1-D641</f>
        <v>1</v>
      </c>
      <c r="F641" s="0" t="n">
        <f aca="true">RAND()</f>
        <v>0.420624348539718</v>
      </c>
      <c r="G641" s="0" t="n">
        <f aca="false">7.75+F641*10</f>
        <v>11.9562434853972</v>
      </c>
      <c r="H641" s="0" t="n">
        <f aca="false">LOGINV(F641,2.64,1.139)</f>
        <v>11.154715047196</v>
      </c>
      <c r="I641" s="0" t="n">
        <v>19.5</v>
      </c>
      <c r="J641" s="4" t="n">
        <f aca="true">-LN(RAND())/B641</f>
        <v>11.9854166952338</v>
      </c>
      <c r="K641" s="4" t="n">
        <f aca="false">K640+J641</f>
        <v>5923.74267903504</v>
      </c>
      <c r="L641" s="4" t="n">
        <f aca="false">(1/$J$4)*(1+AB640)</f>
        <v>10</v>
      </c>
      <c r="M641" s="4" t="n">
        <f aca="false">L641+MAX(K641,Y$10:Y640)</f>
        <v>6538.82985076217</v>
      </c>
      <c r="N641" s="4" t="n">
        <f aca="false">K641</f>
        <v>5923.74267903504</v>
      </c>
      <c r="O641" s="4" t="n">
        <f aca="false">M641-K641</f>
        <v>615.087171727128</v>
      </c>
      <c r="P641" s="4" t="n">
        <f aca="false">N641-K641</f>
        <v>0</v>
      </c>
      <c r="Q641" s="4" t="n">
        <f aca="false">A641-MATCH(K641,$M$9:M640,1)</f>
        <v>61</v>
      </c>
      <c r="R641" s="0" t="n">
        <f aca="false">-G641*(O641/3600)</f>
        <v>-2.04281444164274</v>
      </c>
      <c r="S641" s="0" t="n">
        <f aca="false">-1*I641-(H641*(P641/3600))</f>
        <v>-19.5</v>
      </c>
      <c r="T641" s="0" t="n">
        <f aca="false">-H641*(O641/3600)</f>
        <v>-1.90586725827828</v>
      </c>
      <c r="U641" s="0" t="n">
        <f aca="false">T641-S641</f>
        <v>17.5941327417217</v>
      </c>
      <c r="V641" s="0" t="n">
        <f aca="false">1/(1+EXP(U641))</f>
        <v>2.28541580507205E-008</v>
      </c>
      <c r="W641" s="0" t="n">
        <f aca="true">RAND()</f>
        <v>0.788454558198918</v>
      </c>
      <c r="X641" s="0" t="n">
        <f aca="false">IF(W641&lt;V641,1,0)</f>
        <v>0</v>
      </c>
      <c r="Y641" s="0" t="n">
        <f aca="false">(M641*(1-X641)+N641*X641)*D641+M641*E641</f>
        <v>6538.82985076217</v>
      </c>
      <c r="Z641" s="0" t="n">
        <f aca="false">((1-X641)*O641+X641*P641)*D641+E641*O641</f>
        <v>615.087171727128</v>
      </c>
      <c r="AA641" s="0" t="n">
        <f aca="false">IF(D641*X641&gt;0,AA640,Q641)</f>
        <v>61</v>
      </c>
      <c r="AB641" s="0" t="n">
        <f aca="false">(X641*D641)</f>
        <v>0</v>
      </c>
      <c r="AC641" s="0" t="n">
        <f aca="false">SUM(AB$10:AB640)/K641</f>
        <v>0</v>
      </c>
      <c r="AD641" s="0" t="n">
        <f aca="false">R641*E641+D641*(X641*S641+(1-X641)*T641)</f>
        <v>-2.04281444164274</v>
      </c>
      <c r="AE641" s="0" t="n">
        <f aca="false">Z641</f>
        <v>615.087171727128</v>
      </c>
      <c r="AF641" s="0" t="n">
        <f aca="false">E641*O641</f>
        <v>615.087171727128</v>
      </c>
      <c r="AG641" s="0" t="n">
        <f aca="false">((1-X641)*O641+X641*P641)*D641</f>
        <v>0</v>
      </c>
      <c r="AH641" s="0" t="n">
        <f aca="false">D641*(LN(EXP(S641)+EXP(T641)))</f>
        <v>-0</v>
      </c>
      <c r="AJ641" s="0" t="n">
        <f aca="false">$J$5</f>
        <v>10</v>
      </c>
      <c r="AK641" s="4" t="n">
        <f aca="false">AJ641+MAX(K641,AK$10:AK640)</f>
        <v>6538.82985076217</v>
      </c>
      <c r="AL641" s="5" t="n">
        <f aca="false">AK641-K641</f>
        <v>615.087171727128</v>
      </c>
      <c r="AM641" s="0" t="n">
        <f aca="false">-G641*AL641/3600</f>
        <v>-2.04281444164274</v>
      </c>
      <c r="AN641" s="0" t="n">
        <f aca="false">-H641*AL641/3600</f>
        <v>-1.90586725827828</v>
      </c>
      <c r="AO641" s="0" t="n">
        <f aca="false">AM641*E641+AN641*D641</f>
        <v>-2.04281444164274</v>
      </c>
      <c r="AP641" s="0" t="n">
        <f aca="false">AL641*D641</f>
        <v>0</v>
      </c>
      <c r="AR641" s="0" t="n">
        <f aca="false">AN641*D641</f>
        <v>-0</v>
      </c>
      <c r="AS641" s="0" t="n">
        <f aca="false">AH641-AR641</f>
        <v>0</v>
      </c>
    </row>
    <row r="642" customFormat="false" ht="12" hidden="false" customHeight="false" outlineLevel="0" collapsed="false">
      <c r="A642" s="3" t="n">
        <f aca="false">A641+1</f>
        <v>633</v>
      </c>
      <c r="B642" s="3" t="n">
        <f aca="false">IF(A642&lt;$N$4/3,0.1,(IF(A642&gt;2*$N$4/3,0.05,0.12)))</f>
        <v>0.12</v>
      </c>
      <c r="C642" s="4" t="n">
        <f aca="true">RAND()</f>
        <v>0.768821035841009</v>
      </c>
      <c r="D642" s="0" t="n">
        <f aca="false">IF((C642&gt;$M$2),1,0)</f>
        <v>0</v>
      </c>
      <c r="E642" s="0" t="n">
        <f aca="false">1-D642</f>
        <v>1</v>
      </c>
      <c r="F642" s="0" t="n">
        <f aca="true">RAND()</f>
        <v>0.407063317276648</v>
      </c>
      <c r="G642" s="0" t="n">
        <f aca="false">7.75+F642*10</f>
        <v>11.8206331727665</v>
      </c>
      <c r="H642" s="0" t="n">
        <f aca="false">LOGINV(F642,2.64,1.139)</f>
        <v>10.7211081167356</v>
      </c>
      <c r="I642" s="0" t="n">
        <v>19.5</v>
      </c>
      <c r="J642" s="4" t="n">
        <f aca="true">-LN(RAND())/B642</f>
        <v>6.56588711248144</v>
      </c>
      <c r="K642" s="4" t="n">
        <f aca="false">K641+J642</f>
        <v>5930.30856614753</v>
      </c>
      <c r="L642" s="4" t="n">
        <f aca="false">(1/$J$4)*(1+AB641)</f>
        <v>10</v>
      </c>
      <c r="M642" s="4" t="n">
        <f aca="false">L642+MAX(K642,Y$10:Y641)</f>
        <v>6548.82985076217</v>
      </c>
      <c r="N642" s="4" t="n">
        <f aca="false">K642</f>
        <v>5930.30856614753</v>
      </c>
      <c r="O642" s="4" t="n">
        <f aca="false">M642-K642</f>
        <v>618.521284614646</v>
      </c>
      <c r="P642" s="4" t="n">
        <f aca="false">N642-K642</f>
        <v>0</v>
      </c>
      <c r="Q642" s="4" t="n">
        <f aca="false">A642-MATCH(K642,$M$9:M641,1)</f>
        <v>61</v>
      </c>
      <c r="R642" s="0" t="n">
        <f aca="false">-G642*(O642/3600)</f>
        <v>-2.0309203374939</v>
      </c>
      <c r="S642" s="0" t="n">
        <f aca="false">-1*I642-(H642*(P642/3600))</f>
        <v>-19.5</v>
      </c>
      <c r="T642" s="0" t="n">
        <f aca="false">-H642*(O642/3600)</f>
        <v>-1.84200932357106</v>
      </c>
      <c r="U642" s="0" t="n">
        <f aca="false">T642-S642</f>
        <v>17.6579906764289</v>
      </c>
      <c r="V642" s="0" t="n">
        <f aca="false">1/(1+EXP(U642))</f>
        <v>2.14403602566561E-008</v>
      </c>
      <c r="W642" s="0" t="n">
        <f aca="true">RAND()</f>
        <v>0.96256084020485</v>
      </c>
      <c r="X642" s="0" t="n">
        <f aca="false">IF(W642&lt;V642,1,0)</f>
        <v>0</v>
      </c>
      <c r="Y642" s="0" t="n">
        <f aca="false">(M642*(1-X642)+N642*X642)*D642+M642*E642</f>
        <v>6548.82985076217</v>
      </c>
      <c r="Z642" s="0" t="n">
        <f aca="false">((1-X642)*O642+X642*P642)*D642+E642*O642</f>
        <v>618.521284614646</v>
      </c>
      <c r="AA642" s="0" t="n">
        <f aca="false">IF(D642*X642&gt;0,AA641,Q642)</f>
        <v>61</v>
      </c>
      <c r="AB642" s="0" t="n">
        <f aca="false">(X642*D642)</f>
        <v>0</v>
      </c>
      <c r="AC642" s="0" t="n">
        <f aca="false">SUM(AB$10:AB641)/K642</f>
        <v>0</v>
      </c>
      <c r="AD642" s="0" t="n">
        <f aca="false">R642*E642+D642*(X642*S642+(1-X642)*T642)</f>
        <v>-2.0309203374939</v>
      </c>
      <c r="AE642" s="0" t="n">
        <f aca="false">Z642</f>
        <v>618.521284614646</v>
      </c>
      <c r="AF642" s="0" t="n">
        <f aca="false">E642*O642</f>
        <v>618.521284614646</v>
      </c>
      <c r="AG642" s="0" t="n">
        <f aca="false">((1-X642)*O642+X642*P642)*D642</f>
        <v>0</v>
      </c>
      <c r="AH642" s="0" t="n">
        <f aca="false">D642*(LN(EXP(S642)+EXP(T642)))</f>
        <v>-0</v>
      </c>
      <c r="AJ642" s="0" t="n">
        <f aca="false">$J$5</f>
        <v>10</v>
      </c>
      <c r="AK642" s="4" t="n">
        <f aca="false">AJ642+MAX(K642,AK$10:AK641)</f>
        <v>6548.82985076217</v>
      </c>
      <c r="AL642" s="5" t="n">
        <f aca="false">AK642-K642</f>
        <v>618.521284614646</v>
      </c>
      <c r="AM642" s="0" t="n">
        <f aca="false">-G642*AL642/3600</f>
        <v>-2.0309203374939</v>
      </c>
      <c r="AN642" s="0" t="n">
        <f aca="false">-H642*AL642/3600</f>
        <v>-1.84200932357106</v>
      </c>
      <c r="AO642" s="0" t="n">
        <f aca="false">AM642*E642+AN642*D642</f>
        <v>-2.0309203374939</v>
      </c>
      <c r="AP642" s="0" t="n">
        <f aca="false">AL642*D642</f>
        <v>0</v>
      </c>
      <c r="AR642" s="0" t="n">
        <f aca="false">AN642*D642</f>
        <v>-0</v>
      </c>
      <c r="AS642" s="0" t="n">
        <f aca="false">AH642-AR642</f>
        <v>0</v>
      </c>
    </row>
    <row r="643" customFormat="false" ht="12" hidden="false" customHeight="false" outlineLevel="0" collapsed="false">
      <c r="A643" s="3" t="n">
        <f aca="false">A642+1</f>
        <v>634</v>
      </c>
      <c r="B643" s="3" t="n">
        <f aca="false">IF(A643&lt;$N$4/3,0.1,(IF(A643&gt;2*$N$4/3,0.05,0.12)))</f>
        <v>0.12</v>
      </c>
      <c r="C643" s="4" t="n">
        <f aca="true">RAND()</f>
        <v>0.344035681575697</v>
      </c>
      <c r="D643" s="0" t="n">
        <f aca="false">IF((C643&gt;$M$2),1,0)</f>
        <v>0</v>
      </c>
      <c r="E643" s="0" t="n">
        <f aca="false">1-D643</f>
        <v>1</v>
      </c>
      <c r="F643" s="0" t="n">
        <f aca="true">RAND()</f>
        <v>0.867409776560412</v>
      </c>
      <c r="G643" s="0" t="n">
        <f aca="false">7.75+F643*10</f>
        <v>16.4240977656041</v>
      </c>
      <c r="H643" s="0" t="n">
        <f aca="false">LOGINV(F643,2.64,1.139)</f>
        <v>49.8544712517749</v>
      </c>
      <c r="I643" s="0" t="n">
        <v>19.5</v>
      </c>
      <c r="J643" s="4" t="n">
        <f aca="true">-LN(RAND())/B643</f>
        <v>14.0002610908845</v>
      </c>
      <c r="K643" s="4" t="n">
        <f aca="false">K642+J643</f>
        <v>5944.30882723841</v>
      </c>
      <c r="L643" s="4" t="n">
        <f aca="false">(1/$J$4)*(1+AB642)</f>
        <v>10</v>
      </c>
      <c r="M643" s="4" t="n">
        <f aca="false">L643+MAX(K643,Y$10:Y642)</f>
        <v>6558.82985076217</v>
      </c>
      <c r="N643" s="4" t="n">
        <f aca="false">K643</f>
        <v>5944.30882723841</v>
      </c>
      <c r="O643" s="4" t="n">
        <f aca="false">M643-K643</f>
        <v>614.521023523762</v>
      </c>
      <c r="P643" s="4" t="n">
        <f aca="false">N643-K643</f>
        <v>0</v>
      </c>
      <c r="Q643" s="4" t="n">
        <f aca="false">A643-MATCH(K643,$M$9:M642,1)</f>
        <v>61</v>
      </c>
      <c r="R643" s="0" t="n">
        <f aca="false">-G643*(O643/3600)</f>
        <v>-2.80359815815927</v>
      </c>
      <c r="S643" s="0" t="n">
        <f aca="false">-1*I643-(H643*(P643/3600))</f>
        <v>-19.5</v>
      </c>
      <c r="T643" s="0" t="n">
        <f aca="false">-H643*(O643/3600)</f>
        <v>-8.51017241691019</v>
      </c>
      <c r="U643" s="0" t="n">
        <f aca="false">T643-S643</f>
        <v>10.9898275830898</v>
      </c>
      <c r="V643" s="0" t="n">
        <f aca="false">1/(1+EXP(U643))</f>
        <v>1.68721798459471E-005</v>
      </c>
      <c r="W643" s="0" t="n">
        <f aca="true">RAND()</f>
        <v>0.670936496538009</v>
      </c>
      <c r="X643" s="0" t="n">
        <f aca="false">IF(W643&lt;V643,1,0)</f>
        <v>0</v>
      </c>
      <c r="Y643" s="0" t="n">
        <f aca="false">(M643*(1-X643)+N643*X643)*D643+M643*E643</f>
        <v>6558.82985076217</v>
      </c>
      <c r="Z643" s="0" t="n">
        <f aca="false">((1-X643)*O643+X643*P643)*D643+E643*O643</f>
        <v>614.521023523762</v>
      </c>
      <c r="AA643" s="0" t="n">
        <f aca="false">IF(D643*X643&gt;0,AA642,Q643)</f>
        <v>61</v>
      </c>
      <c r="AB643" s="0" t="n">
        <f aca="false">(X643*D643)</f>
        <v>0</v>
      </c>
      <c r="AC643" s="0" t="n">
        <f aca="false">SUM(AB$10:AB642)/K643</f>
        <v>0</v>
      </c>
      <c r="AD643" s="0" t="n">
        <f aca="false">R643*E643+D643*(X643*S643+(1-X643)*T643)</f>
        <v>-2.80359815815927</v>
      </c>
      <c r="AE643" s="0" t="n">
        <f aca="false">Z643</f>
        <v>614.521023523762</v>
      </c>
      <c r="AF643" s="0" t="n">
        <f aca="false">E643*O643</f>
        <v>614.521023523762</v>
      </c>
      <c r="AG643" s="0" t="n">
        <f aca="false">((1-X643)*O643+X643*P643)*D643</f>
        <v>0</v>
      </c>
      <c r="AH643" s="0" t="n">
        <f aca="false">D643*(LN(EXP(S643)+EXP(T643)))</f>
        <v>-0</v>
      </c>
      <c r="AJ643" s="0" t="n">
        <f aca="false">$J$5</f>
        <v>10</v>
      </c>
      <c r="AK643" s="4" t="n">
        <f aca="false">AJ643+MAX(K643,AK$10:AK642)</f>
        <v>6558.82985076217</v>
      </c>
      <c r="AL643" s="5" t="n">
        <f aca="false">AK643-K643</f>
        <v>614.521023523762</v>
      </c>
      <c r="AM643" s="0" t="n">
        <f aca="false">-G643*AL643/3600</f>
        <v>-2.80359815815927</v>
      </c>
      <c r="AN643" s="0" t="n">
        <f aca="false">-H643*AL643/3600</f>
        <v>-8.51017241691019</v>
      </c>
      <c r="AO643" s="0" t="n">
        <f aca="false">AM643*E643+AN643*D643</f>
        <v>-2.80359815815927</v>
      </c>
      <c r="AP643" s="0" t="n">
        <f aca="false">AL643*D643</f>
        <v>0</v>
      </c>
      <c r="AR643" s="0" t="n">
        <f aca="false">AN643*D643</f>
        <v>-0</v>
      </c>
      <c r="AS643" s="0" t="n">
        <f aca="false">AH643-AR643</f>
        <v>0</v>
      </c>
    </row>
    <row r="644" customFormat="false" ht="12" hidden="false" customHeight="false" outlineLevel="0" collapsed="false">
      <c r="A644" s="3" t="n">
        <f aca="false">A643+1</f>
        <v>635</v>
      </c>
      <c r="B644" s="3" t="n">
        <f aca="false">IF(A644&lt;$N$4/3,0.1,(IF(A644&gt;2*$N$4/3,0.05,0.12)))</f>
        <v>0.12</v>
      </c>
      <c r="C644" s="4" t="n">
        <f aca="true">RAND()</f>
        <v>0.812326209178044</v>
      </c>
      <c r="D644" s="0" t="n">
        <f aca="false">IF((C644&gt;$M$2),1,0)</f>
        <v>0</v>
      </c>
      <c r="E644" s="0" t="n">
        <f aca="false">1-D644</f>
        <v>1</v>
      </c>
      <c r="F644" s="0" t="n">
        <f aca="true">RAND()</f>
        <v>0.926877569883009</v>
      </c>
      <c r="G644" s="0" t="n">
        <f aca="false">7.75+F644*10</f>
        <v>17.0187756988301</v>
      </c>
      <c r="H644" s="0" t="n">
        <f aca="false">LOGINV(F644,2.64,1.139)</f>
        <v>73.3234459621995</v>
      </c>
      <c r="I644" s="0" t="n">
        <v>19.5</v>
      </c>
      <c r="J644" s="4" t="n">
        <f aca="true">-LN(RAND())/B644</f>
        <v>16.5544753735933</v>
      </c>
      <c r="K644" s="4" t="n">
        <f aca="false">K643+J644</f>
        <v>5960.863302612</v>
      </c>
      <c r="L644" s="4" t="n">
        <f aca="false">(1/$J$4)*(1+AB643)</f>
        <v>10</v>
      </c>
      <c r="M644" s="4" t="n">
        <f aca="false">L644+MAX(K644,Y$10:Y643)</f>
        <v>6568.82985076217</v>
      </c>
      <c r="N644" s="4" t="n">
        <f aca="false">K644</f>
        <v>5960.863302612</v>
      </c>
      <c r="O644" s="4" t="n">
        <f aca="false">M644-K644</f>
        <v>607.966548150169</v>
      </c>
      <c r="P644" s="4" t="n">
        <f aca="false">N644-K644</f>
        <v>0</v>
      </c>
      <c r="Q644" s="4" t="n">
        <f aca="false">A644-MATCH(K644,$M$9:M643,1)</f>
        <v>60</v>
      </c>
      <c r="R644" s="0" t="n">
        <f aca="false">-G644*(O644/3600)</f>
        <v>-2.87412397648881</v>
      </c>
      <c r="S644" s="0" t="n">
        <f aca="false">-1*I644-(H644*(P644/3600))</f>
        <v>-19.5</v>
      </c>
      <c r="T644" s="0" t="n">
        <f aca="false">-H644*(O644/3600)</f>
        <v>-12.382833983365</v>
      </c>
      <c r="U644" s="0" t="n">
        <f aca="false">T644-S644</f>
        <v>7.11716601663503</v>
      </c>
      <c r="V644" s="0" t="n">
        <f aca="false">1/(1+EXP(U644))</f>
        <v>0.000810404744982344</v>
      </c>
      <c r="W644" s="0" t="n">
        <f aca="true">RAND()</f>
        <v>0.375103230516171</v>
      </c>
      <c r="X644" s="0" t="n">
        <f aca="false">IF(W644&lt;V644,1,0)</f>
        <v>0</v>
      </c>
      <c r="Y644" s="0" t="n">
        <f aca="false">(M644*(1-X644)+N644*X644)*D644+M644*E644</f>
        <v>6568.82985076217</v>
      </c>
      <c r="Z644" s="0" t="n">
        <f aca="false">((1-X644)*O644+X644*P644)*D644+E644*O644</f>
        <v>607.966548150169</v>
      </c>
      <c r="AA644" s="0" t="n">
        <f aca="false">IF(D644*X644&gt;0,AA643,Q644)</f>
        <v>60</v>
      </c>
      <c r="AB644" s="0" t="n">
        <f aca="false">(X644*D644)</f>
        <v>0</v>
      </c>
      <c r="AC644" s="0" t="n">
        <f aca="false">SUM(AB$10:AB643)/K644</f>
        <v>0</v>
      </c>
      <c r="AD644" s="0" t="n">
        <f aca="false">R644*E644+D644*(X644*S644+(1-X644)*T644)</f>
        <v>-2.87412397648881</v>
      </c>
      <c r="AE644" s="0" t="n">
        <f aca="false">Z644</f>
        <v>607.966548150169</v>
      </c>
      <c r="AF644" s="0" t="n">
        <f aca="false">E644*O644</f>
        <v>607.966548150169</v>
      </c>
      <c r="AG644" s="0" t="n">
        <f aca="false">((1-X644)*O644+X644*P644)*D644</f>
        <v>0</v>
      </c>
      <c r="AH644" s="0" t="n">
        <f aca="false">D644*(LN(EXP(S644)+EXP(T644)))</f>
        <v>-0</v>
      </c>
      <c r="AJ644" s="0" t="n">
        <f aca="false">$J$5</f>
        <v>10</v>
      </c>
      <c r="AK644" s="4" t="n">
        <f aca="false">AJ644+MAX(K644,AK$10:AK643)</f>
        <v>6568.82985076217</v>
      </c>
      <c r="AL644" s="5" t="n">
        <f aca="false">AK644-K644</f>
        <v>607.966548150169</v>
      </c>
      <c r="AM644" s="0" t="n">
        <f aca="false">-G644*AL644/3600</f>
        <v>-2.87412397648881</v>
      </c>
      <c r="AN644" s="0" t="n">
        <f aca="false">-H644*AL644/3600</f>
        <v>-12.382833983365</v>
      </c>
      <c r="AO644" s="0" t="n">
        <f aca="false">AM644*E644+AN644*D644</f>
        <v>-2.87412397648881</v>
      </c>
      <c r="AP644" s="0" t="n">
        <f aca="false">AL644*D644</f>
        <v>0</v>
      </c>
      <c r="AR644" s="0" t="n">
        <f aca="false">AN644*D644</f>
        <v>-0</v>
      </c>
      <c r="AS644" s="0" t="n">
        <f aca="false">AH644-AR644</f>
        <v>0</v>
      </c>
    </row>
    <row r="645" customFormat="false" ht="12" hidden="false" customHeight="false" outlineLevel="0" collapsed="false">
      <c r="A645" s="3" t="n">
        <f aca="false">A644+1</f>
        <v>636</v>
      </c>
      <c r="B645" s="3" t="n">
        <f aca="false">IF(A645&lt;$N$4/3,0.1,(IF(A645&gt;2*$N$4/3,0.05,0.12)))</f>
        <v>0.12</v>
      </c>
      <c r="C645" s="4" t="n">
        <f aca="true">RAND()</f>
        <v>0.155254966805022</v>
      </c>
      <c r="D645" s="0" t="n">
        <f aca="false">IF((C645&gt;$M$2),1,0)</f>
        <v>0</v>
      </c>
      <c r="E645" s="0" t="n">
        <f aca="false">1-D645</f>
        <v>1</v>
      </c>
      <c r="F645" s="0" t="n">
        <f aca="true">RAND()</f>
        <v>0.550433462424645</v>
      </c>
      <c r="G645" s="0" t="n">
        <f aca="false">7.75+F645*10</f>
        <v>13.2543346242465</v>
      </c>
      <c r="H645" s="0" t="n">
        <f aca="false">LOGINV(F645,2.64,1.139)</f>
        <v>16.1897079164673</v>
      </c>
      <c r="I645" s="0" t="n">
        <v>19.5</v>
      </c>
      <c r="J645" s="4" t="n">
        <f aca="true">-LN(RAND())/B645</f>
        <v>4.34976449619624</v>
      </c>
      <c r="K645" s="4" t="n">
        <f aca="false">K644+J645</f>
        <v>5965.2130671082</v>
      </c>
      <c r="L645" s="4" t="n">
        <f aca="false">(1/$J$4)*(1+AB644)</f>
        <v>10</v>
      </c>
      <c r="M645" s="4" t="n">
        <f aca="false">L645+MAX(K645,Y$10:Y644)</f>
        <v>6578.82985076217</v>
      </c>
      <c r="N645" s="4" t="n">
        <f aca="false">K645</f>
        <v>5965.2130671082</v>
      </c>
      <c r="O645" s="4" t="n">
        <f aca="false">M645-K645</f>
        <v>613.616783653973</v>
      </c>
      <c r="P645" s="4" t="n">
        <f aca="false">N645-K645</f>
        <v>0</v>
      </c>
      <c r="Q645" s="4" t="n">
        <f aca="false">A645-MATCH(K645,$M$9:M644,1)</f>
        <v>61</v>
      </c>
      <c r="R645" s="0" t="n">
        <f aca="false">-G645*(O645/3600)</f>
        <v>-2.25918949488989</v>
      </c>
      <c r="S645" s="0" t="n">
        <f aca="false">-1*I645-(H645*(P645/3600))</f>
        <v>-19.5</v>
      </c>
      <c r="T645" s="0" t="n">
        <f aca="false">-H645*(O645/3600)</f>
        <v>-2.75952124999998</v>
      </c>
      <c r="U645" s="0" t="n">
        <f aca="false">T645-S645</f>
        <v>16.74047875</v>
      </c>
      <c r="V645" s="0" t="n">
        <f aca="false">1/(1+EXP(U645))</f>
        <v>5.36663960243977E-008</v>
      </c>
      <c r="W645" s="0" t="n">
        <f aca="true">RAND()</f>
        <v>0.709147630344525</v>
      </c>
      <c r="X645" s="0" t="n">
        <f aca="false">IF(W645&lt;V645,1,0)</f>
        <v>0</v>
      </c>
      <c r="Y645" s="0" t="n">
        <f aca="false">(M645*(1-X645)+N645*X645)*D645+M645*E645</f>
        <v>6578.82985076217</v>
      </c>
      <c r="Z645" s="0" t="n">
        <f aca="false">((1-X645)*O645+X645*P645)*D645+E645*O645</f>
        <v>613.616783653973</v>
      </c>
      <c r="AA645" s="0" t="n">
        <f aca="false">IF(D645*X645&gt;0,AA644,Q645)</f>
        <v>61</v>
      </c>
      <c r="AB645" s="0" t="n">
        <f aca="false">(X645*D645)</f>
        <v>0</v>
      </c>
      <c r="AC645" s="0" t="n">
        <f aca="false">SUM(AB$10:AB644)/K645</f>
        <v>0</v>
      </c>
      <c r="AD645" s="0" t="n">
        <f aca="false">R645*E645+D645*(X645*S645+(1-X645)*T645)</f>
        <v>-2.25918949488989</v>
      </c>
      <c r="AE645" s="0" t="n">
        <f aca="false">Z645</f>
        <v>613.616783653973</v>
      </c>
      <c r="AF645" s="0" t="n">
        <f aca="false">E645*O645</f>
        <v>613.616783653973</v>
      </c>
      <c r="AG645" s="0" t="n">
        <f aca="false">((1-X645)*O645+X645*P645)*D645</f>
        <v>0</v>
      </c>
      <c r="AH645" s="0" t="n">
        <f aca="false">D645*(LN(EXP(S645)+EXP(T645)))</f>
        <v>-0</v>
      </c>
      <c r="AJ645" s="0" t="n">
        <f aca="false">$J$5</f>
        <v>10</v>
      </c>
      <c r="AK645" s="4" t="n">
        <f aca="false">AJ645+MAX(K645,AK$10:AK644)</f>
        <v>6578.82985076217</v>
      </c>
      <c r="AL645" s="5" t="n">
        <f aca="false">AK645-K645</f>
        <v>613.616783653973</v>
      </c>
      <c r="AM645" s="0" t="n">
        <f aca="false">-G645*AL645/3600</f>
        <v>-2.25918949488989</v>
      </c>
      <c r="AN645" s="0" t="n">
        <f aca="false">-H645*AL645/3600</f>
        <v>-2.75952124999998</v>
      </c>
      <c r="AO645" s="0" t="n">
        <f aca="false">AM645*E645+AN645*D645</f>
        <v>-2.25918949488989</v>
      </c>
      <c r="AP645" s="0" t="n">
        <f aca="false">AL645*D645</f>
        <v>0</v>
      </c>
      <c r="AR645" s="0" t="n">
        <f aca="false">AN645*D645</f>
        <v>-0</v>
      </c>
      <c r="AS645" s="0" t="n">
        <f aca="false">AH645-AR645</f>
        <v>0</v>
      </c>
    </row>
    <row r="646" customFormat="false" ht="12" hidden="false" customHeight="false" outlineLevel="0" collapsed="false">
      <c r="A646" s="3" t="n">
        <f aca="false">A645+1</f>
        <v>637</v>
      </c>
      <c r="B646" s="3" t="n">
        <f aca="false">IF(A646&lt;$N$4/3,0.1,(IF(A646&gt;2*$N$4/3,0.05,0.12)))</f>
        <v>0.12</v>
      </c>
      <c r="C646" s="4" t="n">
        <f aca="true">RAND()</f>
        <v>0.652863978275737</v>
      </c>
      <c r="D646" s="0" t="n">
        <f aca="false">IF((C646&gt;$M$2),1,0)</f>
        <v>0</v>
      </c>
      <c r="E646" s="0" t="n">
        <f aca="false">1-D646</f>
        <v>1</v>
      </c>
      <c r="F646" s="0" t="n">
        <f aca="true">RAND()</f>
        <v>0.787945735856502</v>
      </c>
      <c r="G646" s="0" t="n">
        <f aca="false">7.75+F646*10</f>
        <v>15.629457358565</v>
      </c>
      <c r="H646" s="0" t="n">
        <f aca="false">LOGINV(F646,2.64,1.139)</f>
        <v>34.8278836862373</v>
      </c>
      <c r="I646" s="0" t="n">
        <v>19.5</v>
      </c>
      <c r="J646" s="4" t="n">
        <f aca="true">-LN(RAND())/B646</f>
        <v>1.42027937179128</v>
      </c>
      <c r="K646" s="4" t="n">
        <f aca="false">K645+J646</f>
        <v>5966.63334647999</v>
      </c>
      <c r="L646" s="4" t="n">
        <f aca="false">(1/$J$4)*(1+AB645)</f>
        <v>10</v>
      </c>
      <c r="M646" s="4" t="n">
        <f aca="false">L646+MAX(K646,Y$10:Y645)</f>
        <v>6588.82985076217</v>
      </c>
      <c r="N646" s="4" t="n">
        <f aca="false">K646</f>
        <v>5966.63334647999</v>
      </c>
      <c r="O646" s="4" t="n">
        <f aca="false">M646-K646</f>
        <v>622.196504282181</v>
      </c>
      <c r="P646" s="4" t="n">
        <f aca="false">N646-K646</f>
        <v>0</v>
      </c>
      <c r="Q646" s="4" t="n">
        <f aca="false">A646-MATCH(K646,$M$9:M645,1)</f>
        <v>62</v>
      </c>
      <c r="R646" s="0" t="n">
        <f aca="false">-G646*(O646/3600)</f>
        <v>-2.70127603675738</v>
      </c>
      <c r="S646" s="0" t="n">
        <f aca="false">-1*I646-(H646*(P646/3600))</f>
        <v>-19.5</v>
      </c>
      <c r="T646" s="0" t="n">
        <f aca="false">-H646*(O646/3600)</f>
        <v>-6.01938541142313</v>
      </c>
      <c r="U646" s="0" t="n">
        <f aca="false">T646-S646</f>
        <v>13.4806145885769</v>
      </c>
      <c r="V646" s="0" t="n">
        <f aca="false">1/(1+EXP(U646))</f>
        <v>1.39779301036404E-006</v>
      </c>
      <c r="W646" s="0" t="n">
        <f aca="true">RAND()</f>
        <v>0.450221868826702</v>
      </c>
      <c r="X646" s="0" t="n">
        <f aca="false">IF(W646&lt;V646,1,0)</f>
        <v>0</v>
      </c>
      <c r="Y646" s="0" t="n">
        <f aca="false">(M646*(1-X646)+N646*X646)*D646+M646*E646</f>
        <v>6588.82985076217</v>
      </c>
      <c r="Z646" s="0" t="n">
        <f aca="false">((1-X646)*O646+X646*P646)*D646+E646*O646</f>
        <v>622.196504282181</v>
      </c>
      <c r="AA646" s="0" t="n">
        <f aca="false">IF(D646*X646&gt;0,AA645,Q646)</f>
        <v>62</v>
      </c>
      <c r="AB646" s="0" t="n">
        <f aca="false">(X646*D646)</f>
        <v>0</v>
      </c>
      <c r="AC646" s="0" t="n">
        <f aca="false">SUM(AB$10:AB645)/K646</f>
        <v>0</v>
      </c>
      <c r="AD646" s="0" t="n">
        <f aca="false">R646*E646+D646*(X646*S646+(1-X646)*T646)</f>
        <v>-2.70127603675738</v>
      </c>
      <c r="AE646" s="0" t="n">
        <f aca="false">Z646</f>
        <v>622.196504282181</v>
      </c>
      <c r="AF646" s="0" t="n">
        <f aca="false">E646*O646</f>
        <v>622.196504282181</v>
      </c>
      <c r="AG646" s="0" t="n">
        <f aca="false">((1-X646)*O646+X646*P646)*D646</f>
        <v>0</v>
      </c>
      <c r="AH646" s="0" t="n">
        <f aca="false">D646*(LN(EXP(S646)+EXP(T646)))</f>
        <v>-0</v>
      </c>
      <c r="AJ646" s="0" t="n">
        <f aca="false">$J$5</f>
        <v>10</v>
      </c>
      <c r="AK646" s="4" t="n">
        <f aca="false">AJ646+MAX(K646,AK$10:AK645)</f>
        <v>6588.82985076217</v>
      </c>
      <c r="AL646" s="5" t="n">
        <f aca="false">AK646-K646</f>
        <v>622.196504282181</v>
      </c>
      <c r="AM646" s="0" t="n">
        <f aca="false">-G646*AL646/3600</f>
        <v>-2.70127603675738</v>
      </c>
      <c r="AN646" s="0" t="n">
        <f aca="false">-H646*AL646/3600</f>
        <v>-6.01938541142313</v>
      </c>
      <c r="AO646" s="0" t="n">
        <f aca="false">AM646*E646+AN646*D646</f>
        <v>-2.70127603675738</v>
      </c>
      <c r="AP646" s="0" t="n">
        <f aca="false">AL646*D646</f>
        <v>0</v>
      </c>
      <c r="AR646" s="0" t="n">
        <f aca="false">AN646*D646</f>
        <v>-0</v>
      </c>
      <c r="AS646" s="0" t="n">
        <f aca="false">AH646-AR646</f>
        <v>0</v>
      </c>
    </row>
    <row r="647" customFormat="false" ht="12" hidden="false" customHeight="false" outlineLevel="0" collapsed="false">
      <c r="A647" s="3" t="n">
        <f aca="false">A646+1</f>
        <v>638</v>
      </c>
      <c r="B647" s="3" t="n">
        <f aca="false">IF(A647&lt;$N$4/3,0.1,(IF(A647&gt;2*$N$4/3,0.05,0.12)))</f>
        <v>0.12</v>
      </c>
      <c r="C647" s="4" t="n">
        <f aca="true">RAND()</f>
        <v>0.892254228347324</v>
      </c>
      <c r="D647" s="0" t="n">
        <f aca="false">IF((C647&gt;$M$2),1,0)</f>
        <v>0</v>
      </c>
      <c r="E647" s="0" t="n">
        <f aca="false">1-D647</f>
        <v>1</v>
      </c>
      <c r="F647" s="0" t="n">
        <f aca="true">RAND()</f>
        <v>0.987640392892903</v>
      </c>
      <c r="G647" s="0" t="n">
        <f aca="false">7.75+F647*10</f>
        <v>17.626403928929</v>
      </c>
      <c r="H647" s="0" t="n">
        <f aca="false">LOGINV(F647,2.64,1.139)</f>
        <v>180.896251336325</v>
      </c>
      <c r="I647" s="0" t="n">
        <v>19.5</v>
      </c>
      <c r="J647" s="4" t="n">
        <f aca="true">-LN(RAND())/B647</f>
        <v>13.8254857129361</v>
      </c>
      <c r="K647" s="4" t="n">
        <f aca="false">K646+J647</f>
        <v>5980.45883219293</v>
      </c>
      <c r="L647" s="4" t="n">
        <f aca="false">(1/$J$4)*(1+AB646)</f>
        <v>10</v>
      </c>
      <c r="M647" s="4" t="n">
        <f aca="false">L647+MAX(K647,Y$10:Y646)</f>
        <v>6598.82985076217</v>
      </c>
      <c r="N647" s="4" t="n">
        <f aca="false">K647</f>
        <v>5980.45883219293</v>
      </c>
      <c r="O647" s="4" t="n">
        <f aca="false">M647-K647</f>
        <v>618.371018569245</v>
      </c>
      <c r="P647" s="4" t="n">
        <f aca="false">N647-K647</f>
        <v>0</v>
      </c>
      <c r="Q647" s="4" t="n">
        <f aca="false">A647-MATCH(K647,$M$9:M646,1)</f>
        <v>61</v>
      </c>
      <c r="R647" s="0" t="n">
        <f aca="false">-G647*(O647/3600)</f>
        <v>-3.027682597568</v>
      </c>
      <c r="S647" s="0" t="n">
        <f aca="false">-1*I647-(H647*(P647/3600))</f>
        <v>-19.5</v>
      </c>
      <c r="T647" s="0" t="n">
        <f aca="false">-H647*(O647/3600)</f>
        <v>-31.0724997761671</v>
      </c>
      <c r="U647" s="0" t="n">
        <f aca="false">T647-S647</f>
        <v>-11.5724997761671</v>
      </c>
      <c r="V647" s="0" t="n">
        <f aca="false">1/(1+EXP(U647))</f>
        <v>0.999990578433591</v>
      </c>
      <c r="W647" s="0" t="n">
        <f aca="true">RAND()</f>
        <v>0.606521365514919</v>
      </c>
      <c r="X647" s="0" t="n">
        <f aca="false">IF(W647&lt;V647,1,0)</f>
        <v>1</v>
      </c>
      <c r="Y647" s="0" t="n">
        <f aca="false">(M647*(1-X647)+N647*X647)*D647+M647*E647</f>
        <v>6598.82985076217</v>
      </c>
      <c r="Z647" s="0" t="n">
        <f aca="false">((1-X647)*O647+X647*P647)*D647+E647*O647</f>
        <v>618.371018569245</v>
      </c>
      <c r="AA647" s="0" t="n">
        <f aca="false">IF(D647*X647&gt;0,AA646,Q647)</f>
        <v>61</v>
      </c>
      <c r="AB647" s="0" t="n">
        <f aca="false">(X647*D647)</f>
        <v>0</v>
      </c>
      <c r="AC647" s="0" t="n">
        <f aca="false">SUM(AB$10:AB646)/K647</f>
        <v>0</v>
      </c>
      <c r="AD647" s="0" t="n">
        <f aca="false">R647*E647+D647*(X647*S647+(1-X647)*T647)</f>
        <v>-3.027682597568</v>
      </c>
      <c r="AE647" s="0" t="n">
        <f aca="false">Z647</f>
        <v>618.371018569245</v>
      </c>
      <c r="AF647" s="0" t="n">
        <f aca="false">E647*O647</f>
        <v>618.371018569245</v>
      </c>
      <c r="AG647" s="0" t="n">
        <f aca="false">((1-X647)*O647+X647*P647)*D647</f>
        <v>0</v>
      </c>
      <c r="AH647" s="0" t="n">
        <f aca="false">D647*(LN(EXP(S647)+EXP(T647)))</f>
        <v>-0</v>
      </c>
      <c r="AJ647" s="0" t="n">
        <f aca="false">$J$5</f>
        <v>10</v>
      </c>
      <c r="AK647" s="4" t="n">
        <f aca="false">AJ647+MAX(K647,AK$10:AK646)</f>
        <v>6598.82985076217</v>
      </c>
      <c r="AL647" s="5" t="n">
        <f aca="false">AK647-K647</f>
        <v>618.371018569245</v>
      </c>
      <c r="AM647" s="0" t="n">
        <f aca="false">-G647*AL647/3600</f>
        <v>-3.027682597568</v>
      </c>
      <c r="AN647" s="0" t="n">
        <f aca="false">-H647*AL647/3600</f>
        <v>-31.0724997761671</v>
      </c>
      <c r="AO647" s="0" t="n">
        <f aca="false">AM647*E647+AN647*D647</f>
        <v>-3.027682597568</v>
      </c>
      <c r="AP647" s="0" t="n">
        <f aca="false">AL647*D647</f>
        <v>0</v>
      </c>
      <c r="AR647" s="0" t="n">
        <f aca="false">AN647*D647</f>
        <v>-0</v>
      </c>
      <c r="AS647" s="0" t="n">
        <f aca="false">AH647-AR647</f>
        <v>0</v>
      </c>
    </row>
    <row r="648" customFormat="false" ht="12" hidden="false" customHeight="false" outlineLevel="0" collapsed="false">
      <c r="A648" s="3" t="n">
        <f aca="false">A647+1</f>
        <v>639</v>
      </c>
      <c r="B648" s="3" t="n">
        <f aca="false">IF(A648&lt;$N$4/3,0.1,(IF(A648&gt;2*$N$4/3,0.05,0.12)))</f>
        <v>0.12</v>
      </c>
      <c r="C648" s="4" t="n">
        <f aca="true">RAND()</f>
        <v>0.228090153914248</v>
      </c>
      <c r="D648" s="0" t="n">
        <f aca="false">IF((C648&gt;$M$2),1,0)</f>
        <v>0</v>
      </c>
      <c r="E648" s="0" t="n">
        <f aca="false">1-D648</f>
        <v>1</v>
      </c>
      <c r="F648" s="0" t="n">
        <f aca="true">RAND()</f>
        <v>0.909916282886251</v>
      </c>
      <c r="G648" s="0" t="n">
        <f aca="false">7.75+F648*10</f>
        <v>16.8491628288625</v>
      </c>
      <c r="H648" s="0" t="n">
        <f aca="false">LOGINV(F648,2.64,1.139)</f>
        <v>64.4914720256267</v>
      </c>
      <c r="I648" s="0" t="n">
        <v>19.5</v>
      </c>
      <c r="J648" s="4" t="n">
        <f aca="true">-LN(RAND())/B648</f>
        <v>5.58504333036267</v>
      </c>
      <c r="K648" s="4" t="n">
        <f aca="false">K647+J648</f>
        <v>5986.04387552329</v>
      </c>
      <c r="L648" s="4" t="n">
        <f aca="false">(1/$J$4)*(1+AB647)</f>
        <v>10</v>
      </c>
      <c r="M648" s="4" t="n">
        <f aca="false">L648+MAX(K648,Y$10:Y647)</f>
        <v>6608.82985076217</v>
      </c>
      <c r="N648" s="4" t="n">
        <f aca="false">K648</f>
        <v>5986.04387552329</v>
      </c>
      <c r="O648" s="4" t="n">
        <f aca="false">M648-K648</f>
        <v>622.785975238882</v>
      </c>
      <c r="P648" s="4" t="n">
        <f aca="false">N648-K648</f>
        <v>0</v>
      </c>
      <c r="Q648" s="4" t="n">
        <f aca="false">A648-MATCH(K648,$M$9:M647,1)</f>
        <v>62</v>
      </c>
      <c r="R648" s="0" t="n">
        <f aca="false">-G648*(O648/3600)</f>
        <v>-2.91483952898107</v>
      </c>
      <c r="S648" s="0" t="n">
        <f aca="false">-1*I648-(H648*(P648/3600))</f>
        <v>-19.5</v>
      </c>
      <c r="T648" s="0" t="n">
        <f aca="false">-H648*(O648/3600)</f>
        <v>-11.1567734166864</v>
      </c>
      <c r="U648" s="0" t="n">
        <f aca="false">T648-S648</f>
        <v>8.3432265833136</v>
      </c>
      <c r="V648" s="0" t="n">
        <f aca="false">1/(1+EXP(U648))</f>
        <v>0.000237946533625842</v>
      </c>
      <c r="W648" s="0" t="n">
        <f aca="true">RAND()</f>
        <v>0.680864477317147</v>
      </c>
      <c r="X648" s="0" t="n">
        <f aca="false">IF(W648&lt;V648,1,0)</f>
        <v>0</v>
      </c>
      <c r="Y648" s="0" t="n">
        <f aca="false">(M648*(1-X648)+N648*X648)*D648+M648*E648</f>
        <v>6608.82985076217</v>
      </c>
      <c r="Z648" s="0" t="n">
        <f aca="false">((1-X648)*O648+X648*P648)*D648+E648*O648</f>
        <v>622.785975238882</v>
      </c>
      <c r="AA648" s="0" t="n">
        <f aca="false">IF(D648*X648&gt;0,AA647,Q648)</f>
        <v>62</v>
      </c>
      <c r="AB648" s="0" t="n">
        <f aca="false">(X648*D648)</f>
        <v>0</v>
      </c>
      <c r="AC648" s="0" t="n">
        <f aca="false">SUM(AB$10:AB647)/K648</f>
        <v>0</v>
      </c>
      <c r="AD648" s="0" t="n">
        <f aca="false">R648*E648+D648*(X648*S648+(1-X648)*T648)</f>
        <v>-2.91483952898107</v>
      </c>
      <c r="AE648" s="0" t="n">
        <f aca="false">Z648</f>
        <v>622.785975238882</v>
      </c>
      <c r="AF648" s="0" t="n">
        <f aca="false">E648*O648</f>
        <v>622.785975238882</v>
      </c>
      <c r="AG648" s="0" t="n">
        <f aca="false">((1-X648)*O648+X648*P648)*D648</f>
        <v>0</v>
      </c>
      <c r="AH648" s="0" t="n">
        <f aca="false">D648*(LN(EXP(S648)+EXP(T648)))</f>
        <v>-0</v>
      </c>
      <c r="AJ648" s="0" t="n">
        <f aca="false">$J$5</f>
        <v>10</v>
      </c>
      <c r="AK648" s="4" t="n">
        <f aca="false">AJ648+MAX(K648,AK$10:AK647)</f>
        <v>6608.82985076217</v>
      </c>
      <c r="AL648" s="5" t="n">
        <f aca="false">AK648-K648</f>
        <v>622.785975238882</v>
      </c>
      <c r="AM648" s="0" t="n">
        <f aca="false">-G648*AL648/3600</f>
        <v>-2.91483952898107</v>
      </c>
      <c r="AN648" s="0" t="n">
        <f aca="false">-H648*AL648/3600</f>
        <v>-11.1567734166864</v>
      </c>
      <c r="AO648" s="0" t="n">
        <f aca="false">AM648*E648+AN648*D648</f>
        <v>-2.91483952898107</v>
      </c>
      <c r="AP648" s="0" t="n">
        <f aca="false">AL648*D648</f>
        <v>0</v>
      </c>
      <c r="AR648" s="0" t="n">
        <f aca="false">AN648*D648</f>
        <v>-0</v>
      </c>
      <c r="AS648" s="0" t="n">
        <f aca="false">AH648-AR648</f>
        <v>0</v>
      </c>
    </row>
    <row r="649" customFormat="false" ht="12" hidden="false" customHeight="false" outlineLevel="0" collapsed="false">
      <c r="A649" s="3" t="n">
        <f aca="false">A648+1</f>
        <v>640</v>
      </c>
      <c r="B649" s="3" t="n">
        <f aca="false">IF(A649&lt;$N$4/3,0.1,(IF(A649&gt;2*$N$4/3,0.05,0.12)))</f>
        <v>0.12</v>
      </c>
      <c r="C649" s="4" t="n">
        <f aca="true">RAND()</f>
        <v>0.133706585426207</v>
      </c>
      <c r="D649" s="0" t="n">
        <f aca="false">IF((C649&gt;$M$2),1,0)</f>
        <v>0</v>
      </c>
      <c r="E649" s="0" t="n">
        <f aca="false">1-D649</f>
        <v>1</v>
      </c>
      <c r="F649" s="0" t="n">
        <f aca="true">RAND()</f>
        <v>0.773727022765625</v>
      </c>
      <c r="G649" s="0" t="n">
        <f aca="false">7.75+F649*10</f>
        <v>15.4872702276562</v>
      </c>
      <c r="H649" s="0" t="n">
        <f aca="false">LOGINV(F649,2.64,1.139)</f>
        <v>32.9697658300044</v>
      </c>
      <c r="I649" s="0" t="n">
        <v>19.5</v>
      </c>
      <c r="J649" s="4" t="n">
        <f aca="true">-LN(RAND())/B649</f>
        <v>17.7971762285029</v>
      </c>
      <c r="K649" s="4" t="n">
        <f aca="false">K648+J649</f>
        <v>6003.84105175179</v>
      </c>
      <c r="L649" s="4" t="n">
        <f aca="false">(1/$J$4)*(1+AB648)</f>
        <v>10</v>
      </c>
      <c r="M649" s="4" t="n">
        <f aca="false">L649+MAX(K649,Y$10:Y648)</f>
        <v>6618.82985076217</v>
      </c>
      <c r="N649" s="4" t="n">
        <f aca="false">K649</f>
        <v>6003.84105175179</v>
      </c>
      <c r="O649" s="4" t="n">
        <f aca="false">M649-K649</f>
        <v>614.988799010379</v>
      </c>
      <c r="P649" s="4" t="n">
        <f aca="false">N649-K649</f>
        <v>0</v>
      </c>
      <c r="Q649" s="4" t="n">
        <f aca="false">A649-MATCH(K649,$M$9:M648,1)</f>
        <v>61</v>
      </c>
      <c r="R649" s="0" t="n">
        <f aca="false">-G649*(O649/3600)</f>
        <v>-2.64569381034875</v>
      </c>
      <c r="S649" s="0" t="n">
        <f aca="false">-1*I649-(H649*(P649/3600))</f>
        <v>-19.5</v>
      </c>
      <c r="T649" s="0" t="n">
        <f aca="false">-H649*(O649/3600)</f>
        <v>-5.63223241429107</v>
      </c>
      <c r="U649" s="0" t="n">
        <f aca="false">T649-S649</f>
        <v>13.8677675857089</v>
      </c>
      <c r="V649" s="0" t="n">
        <f aca="false">1/(1+EXP(U649))</f>
        <v>9.49083993579217E-007</v>
      </c>
      <c r="W649" s="0" t="n">
        <f aca="true">RAND()</f>
        <v>0.0211726741868164</v>
      </c>
      <c r="X649" s="0" t="n">
        <f aca="false">IF(W649&lt;V649,1,0)</f>
        <v>0</v>
      </c>
      <c r="Y649" s="0" t="n">
        <f aca="false">(M649*(1-X649)+N649*X649)*D649+M649*E649</f>
        <v>6618.82985076217</v>
      </c>
      <c r="Z649" s="0" t="n">
        <f aca="false">((1-X649)*O649+X649*P649)*D649+E649*O649</f>
        <v>614.988799010379</v>
      </c>
      <c r="AA649" s="0" t="n">
        <f aca="false">IF(D649*X649&gt;0,AA648,Q649)</f>
        <v>61</v>
      </c>
      <c r="AB649" s="0" t="n">
        <f aca="false">(X649*D649)</f>
        <v>0</v>
      </c>
      <c r="AC649" s="0" t="n">
        <f aca="false">SUM(AB$10:AB648)/K649</f>
        <v>0</v>
      </c>
      <c r="AD649" s="0" t="n">
        <f aca="false">R649*E649+D649*(X649*S649+(1-X649)*T649)</f>
        <v>-2.64569381034875</v>
      </c>
      <c r="AE649" s="0" t="n">
        <f aca="false">Z649</f>
        <v>614.988799010379</v>
      </c>
      <c r="AF649" s="0" t="n">
        <f aca="false">E649*O649</f>
        <v>614.988799010379</v>
      </c>
      <c r="AG649" s="0" t="n">
        <f aca="false">((1-X649)*O649+X649*P649)*D649</f>
        <v>0</v>
      </c>
      <c r="AH649" s="0" t="n">
        <f aca="false">D649*(LN(EXP(S649)+EXP(T649)))</f>
        <v>-0</v>
      </c>
      <c r="AJ649" s="0" t="n">
        <f aca="false">$J$5</f>
        <v>10</v>
      </c>
      <c r="AK649" s="4" t="n">
        <f aca="false">AJ649+MAX(K649,AK$10:AK648)</f>
        <v>6618.82985076217</v>
      </c>
      <c r="AL649" s="5" t="n">
        <f aca="false">AK649-K649</f>
        <v>614.988799010379</v>
      </c>
      <c r="AM649" s="0" t="n">
        <f aca="false">-G649*AL649/3600</f>
        <v>-2.64569381034875</v>
      </c>
      <c r="AN649" s="0" t="n">
        <f aca="false">-H649*AL649/3600</f>
        <v>-5.63223241429107</v>
      </c>
      <c r="AO649" s="0" t="n">
        <f aca="false">AM649*E649+AN649*D649</f>
        <v>-2.64569381034875</v>
      </c>
      <c r="AP649" s="0" t="n">
        <f aca="false">AL649*D649</f>
        <v>0</v>
      </c>
      <c r="AR649" s="0" t="n">
        <f aca="false">AN649*D649</f>
        <v>-0</v>
      </c>
      <c r="AS649" s="0" t="n">
        <f aca="false">AH649-AR649</f>
        <v>0</v>
      </c>
    </row>
    <row r="650" customFormat="false" ht="12" hidden="false" customHeight="false" outlineLevel="0" collapsed="false">
      <c r="A650" s="3" t="n">
        <f aca="false">A649+1</f>
        <v>641</v>
      </c>
      <c r="B650" s="3" t="n">
        <f aca="false">IF(A650&lt;$N$4/3,0.1,(IF(A650&gt;2*$N$4/3,0.05,0.12)))</f>
        <v>0.12</v>
      </c>
      <c r="C650" s="4" t="n">
        <f aca="true">RAND()</f>
        <v>0.293000919024337</v>
      </c>
      <c r="D650" s="0" t="n">
        <f aca="false">IF((C650&gt;$M$2),1,0)</f>
        <v>0</v>
      </c>
      <c r="E650" s="0" t="n">
        <f aca="false">1-D650</f>
        <v>1</v>
      </c>
      <c r="F650" s="0" t="n">
        <f aca="true">RAND()</f>
        <v>0.088847431441658</v>
      </c>
      <c r="G650" s="0" t="n">
        <f aca="false">7.75+F650*10</f>
        <v>8.63847431441658</v>
      </c>
      <c r="H650" s="0" t="n">
        <f aca="false">LOGINV(F650,2.64,1.139)</f>
        <v>3.01849142293661</v>
      </c>
      <c r="I650" s="0" t="n">
        <v>19.5</v>
      </c>
      <c r="J650" s="4" t="n">
        <f aca="true">-LN(RAND())/B650</f>
        <v>0.0527072570341763</v>
      </c>
      <c r="K650" s="4" t="n">
        <f aca="false">K649+J650</f>
        <v>6003.89375900883</v>
      </c>
      <c r="L650" s="4" t="n">
        <f aca="false">(1/$J$4)*(1+AB649)</f>
        <v>10</v>
      </c>
      <c r="M650" s="4" t="n">
        <f aca="false">L650+MAX(K650,Y$10:Y649)</f>
        <v>6628.82985076217</v>
      </c>
      <c r="N650" s="4" t="n">
        <f aca="false">K650</f>
        <v>6003.89375900883</v>
      </c>
      <c r="O650" s="4" t="n">
        <f aca="false">M650-K650</f>
        <v>624.936091753345</v>
      </c>
      <c r="P650" s="4" t="n">
        <f aca="false">N650-K650</f>
        <v>0</v>
      </c>
      <c r="Q650" s="4" t="n">
        <f aca="false">A650-MATCH(K650,$M$9:M649,1)</f>
        <v>62</v>
      </c>
      <c r="R650" s="0" t="n">
        <f aca="false">-G650*(O650/3600)</f>
        <v>-1.4995817713231</v>
      </c>
      <c r="S650" s="0" t="n">
        <f aca="false">-1*I650-(H650*(P650/3600))</f>
        <v>-19.5</v>
      </c>
      <c r="T650" s="0" t="n">
        <f aca="false">-H650*(O650/3600)</f>
        <v>-0.523990064678055</v>
      </c>
      <c r="U650" s="0" t="n">
        <f aca="false">T650-S650</f>
        <v>18.9760099353219</v>
      </c>
      <c r="V650" s="0" t="n">
        <f aca="false">1/(1+EXP(U650))</f>
        <v>5.73883309370935E-009</v>
      </c>
      <c r="W650" s="0" t="n">
        <f aca="true">RAND()</f>
        <v>0.953752390360664</v>
      </c>
      <c r="X650" s="0" t="n">
        <f aca="false">IF(W650&lt;V650,1,0)</f>
        <v>0</v>
      </c>
      <c r="Y650" s="0" t="n">
        <f aca="false">(M650*(1-X650)+N650*X650)*D650+M650*E650</f>
        <v>6628.82985076217</v>
      </c>
      <c r="Z650" s="0" t="n">
        <f aca="false">((1-X650)*O650+X650*P650)*D650+E650*O650</f>
        <v>624.936091753345</v>
      </c>
      <c r="AA650" s="0" t="n">
        <f aca="false">IF(D650*X650&gt;0,AA649,Q650)</f>
        <v>62</v>
      </c>
      <c r="AB650" s="0" t="n">
        <f aca="false">(X650*D650)</f>
        <v>0</v>
      </c>
      <c r="AC650" s="0" t="n">
        <f aca="false">SUM(AB$10:AB649)/K650</f>
        <v>0</v>
      </c>
      <c r="AD650" s="0" t="n">
        <f aca="false">R650*E650+D650*(X650*S650+(1-X650)*T650)</f>
        <v>-1.4995817713231</v>
      </c>
      <c r="AE650" s="0" t="n">
        <f aca="false">Z650</f>
        <v>624.936091753345</v>
      </c>
      <c r="AF650" s="0" t="n">
        <f aca="false">E650*O650</f>
        <v>624.936091753345</v>
      </c>
      <c r="AG650" s="0" t="n">
        <f aca="false">((1-X650)*O650+X650*P650)*D650</f>
        <v>0</v>
      </c>
      <c r="AH650" s="0" t="n">
        <f aca="false">D650*(LN(EXP(S650)+EXP(T650)))</f>
        <v>-0</v>
      </c>
      <c r="AJ650" s="0" t="n">
        <f aca="false">$J$5</f>
        <v>10</v>
      </c>
      <c r="AK650" s="4" t="n">
        <f aca="false">AJ650+MAX(K650,AK$10:AK649)</f>
        <v>6628.82985076217</v>
      </c>
      <c r="AL650" s="5" t="n">
        <f aca="false">AK650-K650</f>
        <v>624.936091753345</v>
      </c>
      <c r="AM650" s="0" t="n">
        <f aca="false">-G650*AL650/3600</f>
        <v>-1.4995817713231</v>
      </c>
      <c r="AN650" s="0" t="n">
        <f aca="false">-H650*AL650/3600</f>
        <v>-0.523990064678055</v>
      </c>
      <c r="AO650" s="0" t="n">
        <f aca="false">AM650*E650+AN650*D650</f>
        <v>-1.4995817713231</v>
      </c>
      <c r="AP650" s="0" t="n">
        <f aca="false">AL650*D650</f>
        <v>0</v>
      </c>
      <c r="AR650" s="0" t="n">
        <f aca="false">AN650*D650</f>
        <v>-0</v>
      </c>
      <c r="AS650" s="0" t="n">
        <f aca="false">AH650-AR650</f>
        <v>0</v>
      </c>
    </row>
    <row r="651" customFormat="false" ht="12" hidden="false" customHeight="false" outlineLevel="0" collapsed="false">
      <c r="A651" s="3" t="n">
        <f aca="false">A650+1</f>
        <v>642</v>
      </c>
      <c r="B651" s="3" t="n">
        <f aca="false">IF(A651&lt;$N$4/3,0.1,(IF(A651&gt;2*$N$4/3,0.05,0.12)))</f>
        <v>0.12</v>
      </c>
      <c r="C651" s="4" t="n">
        <f aca="true">RAND()</f>
        <v>0.381893632756095</v>
      </c>
      <c r="D651" s="0" t="n">
        <f aca="false">IF((C651&gt;$M$2),1,0)</f>
        <v>0</v>
      </c>
      <c r="E651" s="0" t="n">
        <f aca="false">1-D651</f>
        <v>1</v>
      </c>
      <c r="F651" s="0" t="n">
        <f aca="true">RAND()</f>
        <v>0.153787294041687</v>
      </c>
      <c r="G651" s="0" t="n">
        <f aca="false">7.75+F651*10</f>
        <v>9.28787294041687</v>
      </c>
      <c r="H651" s="0" t="n">
        <f aca="false">LOGINV(F651,2.64,1.139)</f>
        <v>4.38351272824595</v>
      </c>
      <c r="I651" s="0" t="n">
        <v>19.5</v>
      </c>
      <c r="J651" s="4" t="n">
        <f aca="true">-LN(RAND())/B651</f>
        <v>11.7542987237456</v>
      </c>
      <c r="K651" s="4" t="n">
        <f aca="false">K650+J651</f>
        <v>6015.64805773257</v>
      </c>
      <c r="L651" s="4" t="n">
        <f aca="false">(1/$J$4)*(1+AB650)</f>
        <v>10</v>
      </c>
      <c r="M651" s="4" t="n">
        <f aca="false">L651+MAX(K651,Y$10:Y650)</f>
        <v>6638.82985076217</v>
      </c>
      <c r="N651" s="4" t="n">
        <f aca="false">K651</f>
        <v>6015.64805773257</v>
      </c>
      <c r="O651" s="4" t="n">
        <f aca="false">M651-K651</f>
        <v>623.181793029599</v>
      </c>
      <c r="P651" s="4" t="n">
        <f aca="false">N651-K651</f>
        <v>0</v>
      </c>
      <c r="Q651" s="4" t="n">
        <f aca="false">A651-MATCH(K651,$M$9:M650,1)</f>
        <v>62</v>
      </c>
      <c r="R651" s="0" t="n">
        <f aca="false">-G651*(O651/3600)</f>
        <v>-1.60778703123336</v>
      </c>
      <c r="S651" s="0" t="n">
        <f aca="false">-1*I651-(H651*(P651/3600))</f>
        <v>-19.5</v>
      </c>
      <c r="T651" s="0" t="n">
        <f aca="false">-H651*(O651/3600)</f>
        <v>-0.758812589376772</v>
      </c>
      <c r="U651" s="0" t="n">
        <f aca="false">T651-S651</f>
        <v>18.7411874106232</v>
      </c>
      <c r="V651" s="0" t="n">
        <f aca="false">1/(1+EXP(U651))</f>
        <v>7.25781209480467E-009</v>
      </c>
      <c r="W651" s="0" t="n">
        <f aca="true">RAND()</f>
        <v>0.585049915702749</v>
      </c>
      <c r="X651" s="0" t="n">
        <f aca="false">IF(W651&lt;V651,1,0)</f>
        <v>0</v>
      </c>
      <c r="Y651" s="0" t="n">
        <f aca="false">(M651*(1-X651)+N651*X651)*D651+M651*E651</f>
        <v>6638.82985076217</v>
      </c>
      <c r="Z651" s="0" t="n">
        <f aca="false">((1-X651)*O651+X651*P651)*D651+E651*O651</f>
        <v>623.181793029599</v>
      </c>
      <c r="AA651" s="0" t="n">
        <f aca="false">IF(D651*X651&gt;0,AA650,Q651)</f>
        <v>62</v>
      </c>
      <c r="AB651" s="0" t="n">
        <f aca="false">(X651*D651)</f>
        <v>0</v>
      </c>
      <c r="AC651" s="0" t="n">
        <f aca="false">SUM(AB$10:AB650)/K651</f>
        <v>0</v>
      </c>
      <c r="AD651" s="0" t="n">
        <f aca="false">R651*E651+D651*(X651*S651+(1-X651)*T651)</f>
        <v>-1.60778703123336</v>
      </c>
      <c r="AE651" s="0" t="n">
        <f aca="false">Z651</f>
        <v>623.181793029599</v>
      </c>
      <c r="AF651" s="0" t="n">
        <f aca="false">E651*O651</f>
        <v>623.181793029599</v>
      </c>
      <c r="AG651" s="0" t="n">
        <f aca="false">((1-X651)*O651+X651*P651)*D651</f>
        <v>0</v>
      </c>
      <c r="AH651" s="0" t="n">
        <f aca="false">D651*(LN(EXP(S651)+EXP(T651)))</f>
        <v>-0</v>
      </c>
      <c r="AJ651" s="0" t="n">
        <f aca="false">$J$5</f>
        <v>10</v>
      </c>
      <c r="AK651" s="4" t="n">
        <f aca="false">AJ651+MAX(K651,AK$10:AK650)</f>
        <v>6638.82985076217</v>
      </c>
      <c r="AL651" s="5" t="n">
        <f aca="false">AK651-K651</f>
        <v>623.181793029599</v>
      </c>
      <c r="AM651" s="0" t="n">
        <f aca="false">-G651*AL651/3600</f>
        <v>-1.60778703123336</v>
      </c>
      <c r="AN651" s="0" t="n">
        <f aca="false">-H651*AL651/3600</f>
        <v>-0.758812589376772</v>
      </c>
      <c r="AO651" s="0" t="n">
        <f aca="false">AM651*E651+AN651*D651</f>
        <v>-1.60778703123336</v>
      </c>
      <c r="AP651" s="0" t="n">
        <f aca="false">AL651*D651</f>
        <v>0</v>
      </c>
      <c r="AR651" s="0" t="n">
        <f aca="false">AN651*D651</f>
        <v>-0</v>
      </c>
      <c r="AS651" s="0" t="n">
        <f aca="false">AH651-AR651</f>
        <v>0</v>
      </c>
    </row>
    <row r="652" customFormat="false" ht="12" hidden="false" customHeight="false" outlineLevel="0" collapsed="false">
      <c r="A652" s="3" t="n">
        <f aca="false">A651+1</f>
        <v>643</v>
      </c>
      <c r="B652" s="3" t="n">
        <f aca="false">IF(A652&lt;$N$4/3,0.1,(IF(A652&gt;2*$N$4/3,0.05,0.12)))</f>
        <v>0.12</v>
      </c>
      <c r="C652" s="4" t="n">
        <f aca="true">RAND()</f>
        <v>0.10815214842099</v>
      </c>
      <c r="D652" s="0" t="n">
        <f aca="false">IF((C652&gt;$M$2),1,0)</f>
        <v>0</v>
      </c>
      <c r="E652" s="0" t="n">
        <f aca="false">1-D652</f>
        <v>1</v>
      </c>
      <c r="F652" s="0" t="n">
        <f aca="true">RAND()</f>
        <v>0.611067207755764</v>
      </c>
      <c r="G652" s="0" t="n">
        <f aca="false">7.75+F652*10</f>
        <v>13.8606720775576</v>
      </c>
      <c r="H652" s="0" t="n">
        <f aca="false">LOGINV(F652,2.64,1.139)</f>
        <v>19.3233412227768</v>
      </c>
      <c r="I652" s="0" t="n">
        <v>19.5</v>
      </c>
      <c r="J652" s="4" t="n">
        <f aca="true">-LN(RAND())/B652</f>
        <v>0.340589658103409</v>
      </c>
      <c r="K652" s="4" t="n">
        <f aca="false">K651+J652</f>
        <v>6015.98864739068</v>
      </c>
      <c r="L652" s="4" t="n">
        <f aca="false">(1/$J$4)*(1+AB651)</f>
        <v>10</v>
      </c>
      <c r="M652" s="4" t="n">
        <f aca="false">L652+MAX(K652,Y$10:Y651)</f>
        <v>6648.82985076217</v>
      </c>
      <c r="N652" s="4" t="n">
        <f aca="false">K652</f>
        <v>6015.98864739068</v>
      </c>
      <c r="O652" s="4" t="n">
        <f aca="false">M652-K652</f>
        <v>632.841203371496</v>
      </c>
      <c r="P652" s="4" t="n">
        <f aca="false">N652-K652</f>
        <v>0</v>
      </c>
      <c r="Q652" s="4" t="n">
        <f aca="false">A652-MATCH(K652,$M$9:M651,1)</f>
        <v>63</v>
      </c>
      <c r="R652" s="0" t="n">
        <f aca="false">-G652*(O652/3600)</f>
        <v>-2.43655677697202</v>
      </c>
      <c r="S652" s="0" t="n">
        <f aca="false">-1*I652-(H652*(P652/3600))</f>
        <v>-19.5</v>
      </c>
      <c r="T652" s="0" t="n">
        <f aca="false">-H652*(O652/3600)</f>
        <v>-3.39683514238335</v>
      </c>
      <c r="U652" s="0" t="n">
        <f aca="false">T652-S652</f>
        <v>16.1031648576166</v>
      </c>
      <c r="V652" s="0" t="n">
        <f aca="false">1/(1+EXP(U652))</f>
        <v>1.01504271143243E-007</v>
      </c>
      <c r="W652" s="0" t="n">
        <f aca="true">RAND()</f>
        <v>0.0178398307874766</v>
      </c>
      <c r="X652" s="0" t="n">
        <f aca="false">IF(W652&lt;V652,1,0)</f>
        <v>0</v>
      </c>
      <c r="Y652" s="0" t="n">
        <f aca="false">(M652*(1-X652)+N652*X652)*D652+M652*E652</f>
        <v>6648.82985076217</v>
      </c>
      <c r="Z652" s="0" t="n">
        <f aca="false">((1-X652)*O652+X652*P652)*D652+E652*O652</f>
        <v>632.841203371496</v>
      </c>
      <c r="AA652" s="0" t="n">
        <f aca="false">IF(D652*X652&gt;0,AA651,Q652)</f>
        <v>63</v>
      </c>
      <c r="AB652" s="0" t="n">
        <f aca="false">(X652*D652)</f>
        <v>0</v>
      </c>
      <c r="AC652" s="0" t="n">
        <f aca="false">SUM(AB$10:AB651)/K652</f>
        <v>0</v>
      </c>
      <c r="AD652" s="0" t="n">
        <f aca="false">R652*E652+D652*(X652*S652+(1-X652)*T652)</f>
        <v>-2.43655677697202</v>
      </c>
      <c r="AE652" s="0" t="n">
        <f aca="false">Z652</f>
        <v>632.841203371496</v>
      </c>
      <c r="AF652" s="0" t="n">
        <f aca="false">E652*O652</f>
        <v>632.841203371496</v>
      </c>
      <c r="AG652" s="0" t="n">
        <f aca="false">((1-X652)*O652+X652*P652)*D652</f>
        <v>0</v>
      </c>
      <c r="AH652" s="0" t="n">
        <f aca="false">D652*(LN(EXP(S652)+EXP(T652)))</f>
        <v>-0</v>
      </c>
      <c r="AJ652" s="0" t="n">
        <f aca="false">$J$5</f>
        <v>10</v>
      </c>
      <c r="AK652" s="4" t="n">
        <f aca="false">AJ652+MAX(K652,AK$10:AK651)</f>
        <v>6648.82985076217</v>
      </c>
      <c r="AL652" s="5" t="n">
        <f aca="false">AK652-K652</f>
        <v>632.841203371496</v>
      </c>
      <c r="AM652" s="0" t="n">
        <f aca="false">-G652*AL652/3600</f>
        <v>-2.43655677697202</v>
      </c>
      <c r="AN652" s="0" t="n">
        <f aca="false">-H652*AL652/3600</f>
        <v>-3.39683514238335</v>
      </c>
      <c r="AO652" s="0" t="n">
        <f aca="false">AM652*E652+AN652*D652</f>
        <v>-2.43655677697202</v>
      </c>
      <c r="AP652" s="0" t="n">
        <f aca="false">AL652*D652</f>
        <v>0</v>
      </c>
      <c r="AR652" s="0" t="n">
        <f aca="false">AN652*D652</f>
        <v>-0</v>
      </c>
      <c r="AS652" s="0" t="n">
        <f aca="false">AH652-AR652</f>
        <v>0</v>
      </c>
    </row>
    <row r="653" customFormat="false" ht="12" hidden="false" customHeight="false" outlineLevel="0" collapsed="false">
      <c r="A653" s="3" t="n">
        <f aca="false">A652+1</f>
        <v>644</v>
      </c>
      <c r="B653" s="3" t="n">
        <f aca="false">IF(A653&lt;$N$4/3,0.1,(IF(A653&gt;2*$N$4/3,0.05,0.12)))</f>
        <v>0.12</v>
      </c>
      <c r="C653" s="4" t="n">
        <f aca="true">RAND()</f>
        <v>0.494177279139799</v>
      </c>
      <c r="D653" s="0" t="n">
        <f aca="false">IF((C653&gt;$M$2),1,0)</f>
        <v>0</v>
      </c>
      <c r="E653" s="0" t="n">
        <f aca="false">1-D653</f>
        <v>1</v>
      </c>
      <c r="F653" s="0" t="n">
        <f aca="true">RAND()</f>
        <v>0.842456315400842</v>
      </c>
      <c r="G653" s="0" t="n">
        <f aca="false">7.75+F653*10</f>
        <v>16.1745631540084</v>
      </c>
      <c r="H653" s="0" t="n">
        <f aca="false">LOGINV(F653,2.64,1.139)</f>
        <v>44.0024111724031</v>
      </c>
      <c r="I653" s="0" t="n">
        <v>19.5</v>
      </c>
      <c r="J653" s="4" t="n">
        <f aca="true">-LN(RAND())/B653</f>
        <v>4.53027623902976</v>
      </c>
      <c r="K653" s="4" t="n">
        <f aca="false">K652+J653</f>
        <v>6020.51892362971</v>
      </c>
      <c r="L653" s="4" t="n">
        <f aca="false">(1/$J$4)*(1+AB652)</f>
        <v>10</v>
      </c>
      <c r="M653" s="4" t="n">
        <f aca="false">L653+MAX(K653,Y$10:Y652)</f>
        <v>6658.82985076217</v>
      </c>
      <c r="N653" s="4" t="n">
        <f aca="false">K653</f>
        <v>6020.51892362971</v>
      </c>
      <c r="O653" s="4" t="n">
        <f aca="false">M653-K653</f>
        <v>638.310927132466</v>
      </c>
      <c r="P653" s="4" t="n">
        <f aca="false">N653-K653</f>
        <v>0</v>
      </c>
      <c r="Q653" s="4" t="n">
        <f aca="false">A653-MATCH(K653,$M$9:M652,1)</f>
        <v>63</v>
      </c>
      <c r="R653" s="0" t="n">
        <f aca="false">-G653*(O653/3600)</f>
        <v>-2.86788900077715</v>
      </c>
      <c r="S653" s="0" t="n">
        <f aca="false">-1*I653-(H653*(P653/3600))</f>
        <v>-19.5</v>
      </c>
      <c r="T653" s="0" t="n">
        <f aca="false">-H653*(O653/3600)</f>
        <v>-7.80200551986682</v>
      </c>
      <c r="U653" s="0" t="n">
        <f aca="false">T653-S653</f>
        <v>11.6979944801332</v>
      </c>
      <c r="V653" s="0" t="n">
        <f aca="false">1/(1+EXP(U653))</f>
        <v>8.31040020701263E-006</v>
      </c>
      <c r="W653" s="0" t="n">
        <f aca="true">RAND()</f>
        <v>0.203925217590303</v>
      </c>
      <c r="X653" s="0" t="n">
        <f aca="false">IF(W653&lt;V653,1,0)</f>
        <v>0</v>
      </c>
      <c r="Y653" s="0" t="n">
        <f aca="false">(M653*(1-X653)+N653*X653)*D653+M653*E653</f>
        <v>6658.82985076217</v>
      </c>
      <c r="Z653" s="0" t="n">
        <f aca="false">((1-X653)*O653+X653*P653)*D653+E653*O653</f>
        <v>638.310927132466</v>
      </c>
      <c r="AA653" s="0" t="n">
        <f aca="false">IF(D653*X653&gt;0,AA652,Q653)</f>
        <v>63</v>
      </c>
      <c r="AB653" s="0" t="n">
        <f aca="false">(X653*D653)</f>
        <v>0</v>
      </c>
      <c r="AC653" s="0" t="n">
        <f aca="false">SUM(AB$10:AB652)/K653</f>
        <v>0</v>
      </c>
      <c r="AD653" s="0" t="n">
        <f aca="false">R653*E653+D653*(X653*S653+(1-X653)*T653)</f>
        <v>-2.86788900077715</v>
      </c>
      <c r="AE653" s="0" t="n">
        <f aca="false">Z653</f>
        <v>638.310927132466</v>
      </c>
      <c r="AF653" s="0" t="n">
        <f aca="false">E653*O653</f>
        <v>638.310927132466</v>
      </c>
      <c r="AG653" s="0" t="n">
        <f aca="false">((1-X653)*O653+X653*P653)*D653</f>
        <v>0</v>
      </c>
      <c r="AH653" s="0" t="n">
        <f aca="false">D653*(LN(EXP(S653)+EXP(T653)))</f>
        <v>-0</v>
      </c>
      <c r="AJ653" s="0" t="n">
        <f aca="false">$J$5</f>
        <v>10</v>
      </c>
      <c r="AK653" s="4" t="n">
        <f aca="false">AJ653+MAX(K653,AK$10:AK652)</f>
        <v>6658.82985076217</v>
      </c>
      <c r="AL653" s="5" t="n">
        <f aca="false">AK653-K653</f>
        <v>638.310927132466</v>
      </c>
      <c r="AM653" s="0" t="n">
        <f aca="false">-G653*AL653/3600</f>
        <v>-2.86788900077715</v>
      </c>
      <c r="AN653" s="0" t="n">
        <f aca="false">-H653*AL653/3600</f>
        <v>-7.80200551986682</v>
      </c>
      <c r="AO653" s="0" t="n">
        <f aca="false">AM653*E653+AN653*D653</f>
        <v>-2.86788900077715</v>
      </c>
      <c r="AP653" s="0" t="n">
        <f aca="false">AL653*D653</f>
        <v>0</v>
      </c>
      <c r="AR653" s="0" t="n">
        <f aca="false">AN653*D653</f>
        <v>-0</v>
      </c>
      <c r="AS653" s="0" t="n">
        <f aca="false">AH653-AR653</f>
        <v>0</v>
      </c>
    </row>
    <row r="654" customFormat="false" ht="12" hidden="false" customHeight="false" outlineLevel="0" collapsed="false">
      <c r="A654" s="3" t="n">
        <f aca="false">A653+1</f>
        <v>645</v>
      </c>
      <c r="B654" s="3" t="n">
        <f aca="false">IF(A654&lt;$N$4/3,0.1,(IF(A654&gt;2*$N$4/3,0.05,0.12)))</f>
        <v>0.12</v>
      </c>
      <c r="C654" s="4" t="n">
        <f aca="true">RAND()</f>
        <v>0.55307738961778</v>
      </c>
      <c r="D654" s="0" t="n">
        <f aca="false">IF((C654&gt;$M$2),1,0)</f>
        <v>0</v>
      </c>
      <c r="E654" s="0" t="n">
        <f aca="false">1-D654</f>
        <v>1</v>
      </c>
      <c r="F654" s="0" t="n">
        <f aca="true">RAND()</f>
        <v>0.0226098844443625</v>
      </c>
      <c r="G654" s="0" t="n">
        <f aca="false">7.75+F654*10</f>
        <v>7.97609884444363</v>
      </c>
      <c r="H654" s="0" t="n">
        <f aca="false">LOGINV(F654,2.64,1.139)</f>
        <v>1.43194492272895</v>
      </c>
      <c r="I654" s="0" t="n">
        <v>19.5</v>
      </c>
      <c r="J654" s="4" t="n">
        <f aca="true">-LN(RAND())/B654</f>
        <v>9.31296220683867</v>
      </c>
      <c r="K654" s="4" t="n">
        <f aca="false">K653+J654</f>
        <v>6029.83188583655</v>
      </c>
      <c r="L654" s="4" t="n">
        <f aca="false">(1/$J$4)*(1+AB653)</f>
        <v>10</v>
      </c>
      <c r="M654" s="4" t="n">
        <f aca="false">L654+MAX(K654,Y$10:Y653)</f>
        <v>6668.82985076217</v>
      </c>
      <c r="N654" s="4" t="n">
        <f aca="false">K654</f>
        <v>6029.83188583655</v>
      </c>
      <c r="O654" s="4" t="n">
        <f aca="false">M654-K654</f>
        <v>638.997964925627</v>
      </c>
      <c r="P654" s="4" t="n">
        <f aca="false">N654-K654</f>
        <v>0</v>
      </c>
      <c r="Q654" s="4" t="n">
        <f aca="false">A654-MATCH(K654,$M$9:M653,1)</f>
        <v>63</v>
      </c>
      <c r="R654" s="0" t="n">
        <f aca="false">-G654*(O654/3600)</f>
        <v>-1.41575303601253</v>
      </c>
      <c r="S654" s="0" t="n">
        <f aca="false">-1*I654-(H654*(P654/3600))</f>
        <v>-19.5</v>
      </c>
      <c r="T654" s="0" t="n">
        <f aca="false">-H654*(O654/3600)</f>
        <v>-0.254169414308162</v>
      </c>
      <c r="U654" s="0" t="n">
        <f aca="false">T654-S654</f>
        <v>19.2458305856918</v>
      </c>
      <c r="V654" s="0" t="n">
        <f aca="false">1/(1+EXP(U654))</f>
        <v>4.38169329570957E-009</v>
      </c>
      <c r="W654" s="0" t="n">
        <f aca="true">RAND()</f>
        <v>0.362337757592285</v>
      </c>
      <c r="X654" s="0" t="n">
        <f aca="false">IF(W654&lt;V654,1,0)</f>
        <v>0</v>
      </c>
      <c r="Y654" s="0" t="n">
        <f aca="false">(M654*(1-X654)+N654*X654)*D654+M654*E654</f>
        <v>6668.82985076217</v>
      </c>
      <c r="Z654" s="0" t="n">
        <f aca="false">((1-X654)*O654+X654*P654)*D654+E654*O654</f>
        <v>638.997964925627</v>
      </c>
      <c r="AA654" s="0" t="n">
        <f aca="false">IF(D654*X654&gt;0,AA653,Q654)</f>
        <v>63</v>
      </c>
      <c r="AB654" s="0" t="n">
        <f aca="false">(X654*D654)</f>
        <v>0</v>
      </c>
      <c r="AC654" s="0" t="n">
        <f aca="false">SUM(AB$10:AB653)/K654</f>
        <v>0</v>
      </c>
      <c r="AD654" s="0" t="n">
        <f aca="false">R654*E654+D654*(X654*S654+(1-X654)*T654)</f>
        <v>-1.41575303601253</v>
      </c>
      <c r="AE654" s="0" t="n">
        <f aca="false">Z654</f>
        <v>638.997964925627</v>
      </c>
      <c r="AF654" s="0" t="n">
        <f aca="false">E654*O654</f>
        <v>638.997964925627</v>
      </c>
      <c r="AG654" s="0" t="n">
        <f aca="false">((1-X654)*O654+X654*P654)*D654</f>
        <v>0</v>
      </c>
      <c r="AH654" s="0" t="n">
        <f aca="false">D654*(LN(EXP(S654)+EXP(T654)))</f>
        <v>-0</v>
      </c>
      <c r="AJ654" s="0" t="n">
        <f aca="false">$J$5</f>
        <v>10</v>
      </c>
      <c r="AK654" s="4" t="n">
        <f aca="false">AJ654+MAX(K654,AK$10:AK653)</f>
        <v>6668.82985076217</v>
      </c>
      <c r="AL654" s="5" t="n">
        <f aca="false">AK654-K654</f>
        <v>638.997964925627</v>
      </c>
      <c r="AM654" s="0" t="n">
        <f aca="false">-G654*AL654/3600</f>
        <v>-1.41575303601253</v>
      </c>
      <c r="AN654" s="0" t="n">
        <f aca="false">-H654*AL654/3600</f>
        <v>-0.254169414308162</v>
      </c>
      <c r="AO654" s="0" t="n">
        <f aca="false">AM654*E654+AN654*D654</f>
        <v>-1.41575303601253</v>
      </c>
      <c r="AP654" s="0" t="n">
        <f aca="false">AL654*D654</f>
        <v>0</v>
      </c>
      <c r="AR654" s="0" t="n">
        <f aca="false">AN654*D654</f>
        <v>-0</v>
      </c>
      <c r="AS654" s="0" t="n">
        <f aca="false">AH654-AR654</f>
        <v>0</v>
      </c>
    </row>
    <row r="655" customFormat="false" ht="12" hidden="false" customHeight="false" outlineLevel="0" collapsed="false">
      <c r="A655" s="3" t="n">
        <f aca="false">A654+1</f>
        <v>646</v>
      </c>
      <c r="B655" s="3" t="n">
        <f aca="false">IF(A655&lt;$N$4/3,0.1,(IF(A655&gt;2*$N$4/3,0.05,0.12)))</f>
        <v>0.12</v>
      </c>
      <c r="C655" s="4" t="n">
        <f aca="true">RAND()</f>
        <v>0.89390837570597</v>
      </c>
      <c r="D655" s="0" t="n">
        <f aca="false">IF((C655&gt;$M$2),1,0)</f>
        <v>0</v>
      </c>
      <c r="E655" s="0" t="n">
        <f aca="false">1-D655</f>
        <v>1</v>
      </c>
      <c r="F655" s="0" t="n">
        <f aca="true">RAND()</f>
        <v>0.505687707179399</v>
      </c>
      <c r="G655" s="0" t="n">
        <f aca="false">7.75+F655*10</f>
        <v>12.806877071794</v>
      </c>
      <c r="H655" s="0" t="n">
        <f aca="false">LOGINV(F655,2.64,1.139)</f>
        <v>14.242625105489</v>
      </c>
      <c r="I655" s="0" t="n">
        <v>19.5</v>
      </c>
      <c r="J655" s="4" t="n">
        <f aca="true">-LN(RAND())/B655</f>
        <v>10.0765621329776</v>
      </c>
      <c r="K655" s="4" t="n">
        <f aca="false">K654+J655</f>
        <v>6039.90844796952</v>
      </c>
      <c r="L655" s="4" t="n">
        <f aca="false">(1/$J$4)*(1+AB654)</f>
        <v>10</v>
      </c>
      <c r="M655" s="4" t="n">
        <f aca="false">L655+MAX(K655,Y$10:Y654)</f>
        <v>6678.82985076217</v>
      </c>
      <c r="N655" s="4" t="n">
        <f aca="false">K655</f>
        <v>6039.90844796952</v>
      </c>
      <c r="O655" s="4" t="n">
        <f aca="false">M655-K655</f>
        <v>638.921402792649</v>
      </c>
      <c r="P655" s="4" t="n">
        <f aca="false">N655-K655</f>
        <v>0</v>
      </c>
      <c r="Q655" s="4" t="n">
        <f aca="false">A655-MATCH(K655,$M$9:M654,1)</f>
        <v>63</v>
      </c>
      <c r="R655" s="0" t="n">
        <f aca="false">-G655*(O655/3600)</f>
        <v>-2.27294107336212</v>
      </c>
      <c r="S655" s="0" t="n">
        <f aca="false">-1*I655-(H655*(P655/3600))</f>
        <v>-19.5</v>
      </c>
      <c r="T655" s="0" t="n">
        <f aca="false">-H655*(O655/3600)</f>
        <v>-2.52775500329135</v>
      </c>
      <c r="U655" s="0" t="n">
        <f aca="false">T655-S655</f>
        <v>16.9722449967087</v>
      </c>
      <c r="V655" s="0" t="n">
        <f aca="false">1/(1+EXP(U655))</f>
        <v>4.25645095832493E-008</v>
      </c>
      <c r="W655" s="0" t="n">
        <f aca="true">RAND()</f>
        <v>0.0824113468145692</v>
      </c>
      <c r="X655" s="0" t="n">
        <f aca="false">IF(W655&lt;V655,1,0)</f>
        <v>0</v>
      </c>
      <c r="Y655" s="0" t="n">
        <f aca="false">(M655*(1-X655)+N655*X655)*D655+M655*E655</f>
        <v>6678.82985076217</v>
      </c>
      <c r="Z655" s="0" t="n">
        <f aca="false">((1-X655)*O655+X655*P655)*D655+E655*O655</f>
        <v>638.921402792649</v>
      </c>
      <c r="AA655" s="0" t="n">
        <f aca="false">IF(D655*X655&gt;0,AA654,Q655)</f>
        <v>63</v>
      </c>
      <c r="AB655" s="0" t="n">
        <f aca="false">(X655*D655)</f>
        <v>0</v>
      </c>
      <c r="AC655" s="0" t="n">
        <f aca="false">SUM(AB$10:AB654)/K655</f>
        <v>0</v>
      </c>
      <c r="AD655" s="0" t="n">
        <f aca="false">R655*E655+D655*(X655*S655+(1-X655)*T655)</f>
        <v>-2.27294107336212</v>
      </c>
      <c r="AE655" s="0" t="n">
        <f aca="false">Z655</f>
        <v>638.921402792649</v>
      </c>
      <c r="AF655" s="0" t="n">
        <f aca="false">E655*O655</f>
        <v>638.921402792649</v>
      </c>
      <c r="AG655" s="0" t="n">
        <f aca="false">((1-X655)*O655+X655*P655)*D655</f>
        <v>0</v>
      </c>
      <c r="AH655" s="0" t="n">
        <f aca="false">D655*(LN(EXP(S655)+EXP(T655)))</f>
        <v>-0</v>
      </c>
      <c r="AJ655" s="0" t="n">
        <f aca="false">$J$5</f>
        <v>10</v>
      </c>
      <c r="AK655" s="4" t="n">
        <f aca="false">AJ655+MAX(K655,AK$10:AK654)</f>
        <v>6678.82985076217</v>
      </c>
      <c r="AL655" s="5" t="n">
        <f aca="false">AK655-K655</f>
        <v>638.921402792649</v>
      </c>
      <c r="AM655" s="0" t="n">
        <f aca="false">-G655*AL655/3600</f>
        <v>-2.27294107336212</v>
      </c>
      <c r="AN655" s="0" t="n">
        <f aca="false">-H655*AL655/3600</f>
        <v>-2.52775500329135</v>
      </c>
      <c r="AO655" s="0" t="n">
        <f aca="false">AM655*E655+AN655*D655</f>
        <v>-2.27294107336212</v>
      </c>
      <c r="AP655" s="0" t="n">
        <f aca="false">AL655*D655</f>
        <v>0</v>
      </c>
      <c r="AR655" s="0" t="n">
        <f aca="false">AN655*D655</f>
        <v>-0</v>
      </c>
      <c r="AS655" s="0" t="n">
        <f aca="false">AH655-AR655</f>
        <v>0</v>
      </c>
    </row>
    <row r="656" customFormat="false" ht="12" hidden="false" customHeight="false" outlineLevel="0" collapsed="false">
      <c r="A656" s="3" t="n">
        <f aca="false">A655+1</f>
        <v>647</v>
      </c>
      <c r="B656" s="3" t="n">
        <f aca="false">IF(A656&lt;$N$4/3,0.1,(IF(A656&gt;2*$N$4/3,0.05,0.12)))</f>
        <v>0.12</v>
      </c>
      <c r="C656" s="4" t="n">
        <f aca="true">RAND()</f>
        <v>0.67674568904538</v>
      </c>
      <c r="D656" s="0" t="n">
        <f aca="false">IF((C656&gt;$M$2),1,0)</f>
        <v>0</v>
      </c>
      <c r="E656" s="0" t="n">
        <f aca="false">1-D656</f>
        <v>1</v>
      </c>
      <c r="F656" s="0" t="n">
        <f aca="true">RAND()</f>
        <v>0.541165527679115</v>
      </c>
      <c r="G656" s="0" t="n">
        <f aca="false">7.75+F656*10</f>
        <v>13.1616552767912</v>
      </c>
      <c r="H656" s="0" t="n">
        <f aca="false">LOGINV(F656,2.64,1.139)</f>
        <v>15.7641593898876</v>
      </c>
      <c r="I656" s="0" t="n">
        <v>19.5</v>
      </c>
      <c r="J656" s="4" t="n">
        <f aca="true">-LN(RAND())/B656</f>
        <v>6.15947353885192</v>
      </c>
      <c r="K656" s="4" t="n">
        <f aca="false">K655+J656</f>
        <v>6046.06792150837</v>
      </c>
      <c r="L656" s="4" t="n">
        <f aca="false">(1/$J$4)*(1+AB655)</f>
        <v>10</v>
      </c>
      <c r="M656" s="4" t="n">
        <f aca="false">L656+MAX(K656,Y$10:Y655)</f>
        <v>6688.82985076217</v>
      </c>
      <c r="N656" s="4" t="n">
        <f aca="false">K656</f>
        <v>6046.06792150837</v>
      </c>
      <c r="O656" s="4" t="n">
        <f aca="false">M656-K656</f>
        <v>642.761929253798</v>
      </c>
      <c r="P656" s="4" t="n">
        <f aca="false">N656-K656</f>
        <v>0</v>
      </c>
      <c r="Q656" s="4" t="n">
        <f aca="false">A656-MATCH(K656,$M$9:M655,1)</f>
        <v>64</v>
      </c>
      <c r="R656" s="0" t="n">
        <f aca="false">-G656*(O656/3600)</f>
        <v>-2.34994748274547</v>
      </c>
      <c r="S656" s="0" t="n">
        <f aca="false">-1*I656-(H656*(P656/3600))</f>
        <v>-19.5</v>
      </c>
      <c r="T656" s="0" t="n">
        <f aca="false">-H656*(O656/3600)</f>
        <v>-2.8146115284746</v>
      </c>
      <c r="U656" s="0" t="n">
        <f aca="false">T656-S656</f>
        <v>16.6853884715254</v>
      </c>
      <c r="V656" s="0" t="n">
        <f aca="false">1/(1+EXP(U656))</f>
        <v>5.67058459568964E-008</v>
      </c>
      <c r="W656" s="0" t="n">
        <f aca="true">RAND()</f>
        <v>0.771424449669696</v>
      </c>
      <c r="X656" s="0" t="n">
        <f aca="false">IF(W656&lt;V656,1,0)</f>
        <v>0</v>
      </c>
      <c r="Y656" s="0" t="n">
        <f aca="false">(M656*(1-X656)+N656*X656)*D656+M656*E656</f>
        <v>6688.82985076217</v>
      </c>
      <c r="Z656" s="0" t="n">
        <f aca="false">((1-X656)*O656+X656*P656)*D656+E656*O656</f>
        <v>642.761929253798</v>
      </c>
      <c r="AA656" s="0" t="n">
        <f aca="false">IF(D656*X656&gt;0,AA655,Q656)</f>
        <v>64</v>
      </c>
      <c r="AB656" s="0" t="n">
        <f aca="false">(X656*D656)</f>
        <v>0</v>
      </c>
      <c r="AC656" s="0" t="n">
        <f aca="false">SUM(AB$10:AB655)/K656</f>
        <v>0</v>
      </c>
      <c r="AD656" s="0" t="n">
        <f aca="false">R656*E656+D656*(X656*S656+(1-X656)*T656)</f>
        <v>-2.34994748274547</v>
      </c>
      <c r="AE656" s="0" t="n">
        <f aca="false">Z656</f>
        <v>642.761929253798</v>
      </c>
      <c r="AF656" s="0" t="n">
        <f aca="false">E656*O656</f>
        <v>642.761929253798</v>
      </c>
      <c r="AG656" s="0" t="n">
        <f aca="false">((1-X656)*O656+X656*P656)*D656</f>
        <v>0</v>
      </c>
      <c r="AH656" s="0" t="n">
        <f aca="false">D656*(LN(EXP(S656)+EXP(T656)))</f>
        <v>-0</v>
      </c>
      <c r="AJ656" s="0" t="n">
        <f aca="false">$J$5</f>
        <v>10</v>
      </c>
      <c r="AK656" s="4" t="n">
        <f aca="false">AJ656+MAX(K656,AK$10:AK655)</f>
        <v>6688.82985076217</v>
      </c>
      <c r="AL656" s="5" t="n">
        <f aca="false">AK656-K656</f>
        <v>642.761929253798</v>
      </c>
      <c r="AM656" s="0" t="n">
        <f aca="false">-G656*AL656/3600</f>
        <v>-2.34994748274547</v>
      </c>
      <c r="AN656" s="0" t="n">
        <f aca="false">-H656*AL656/3600</f>
        <v>-2.8146115284746</v>
      </c>
      <c r="AO656" s="0" t="n">
        <f aca="false">AM656*E656+AN656*D656</f>
        <v>-2.34994748274547</v>
      </c>
      <c r="AP656" s="0" t="n">
        <f aca="false">AL656*D656</f>
        <v>0</v>
      </c>
      <c r="AR656" s="0" t="n">
        <f aca="false">AN656*D656</f>
        <v>-0</v>
      </c>
      <c r="AS656" s="0" t="n">
        <f aca="false">AH656-AR656</f>
        <v>0</v>
      </c>
    </row>
    <row r="657" customFormat="false" ht="12" hidden="false" customHeight="false" outlineLevel="0" collapsed="false">
      <c r="A657" s="3" t="n">
        <f aca="false">A656+1</f>
        <v>648</v>
      </c>
      <c r="B657" s="3" t="n">
        <f aca="false">IF(A657&lt;$N$4/3,0.1,(IF(A657&gt;2*$N$4/3,0.05,0.12)))</f>
        <v>0.12</v>
      </c>
      <c r="C657" s="4" t="n">
        <f aca="true">RAND()</f>
        <v>0.939278423258212</v>
      </c>
      <c r="D657" s="0" t="n">
        <f aca="false">IF((C657&gt;$M$2),1,0)</f>
        <v>1</v>
      </c>
      <c r="E657" s="0" t="n">
        <f aca="false">1-D657</f>
        <v>0</v>
      </c>
      <c r="F657" s="0" t="n">
        <f aca="true">RAND()</f>
        <v>0.873545551154401</v>
      </c>
      <c r="G657" s="0" t="n">
        <f aca="false">7.75+F657*10</f>
        <v>16.485455511544</v>
      </c>
      <c r="H657" s="0" t="n">
        <f aca="false">LOGINV(F657,2.64,1.139)</f>
        <v>51.5335397573104</v>
      </c>
      <c r="I657" s="0" t="n">
        <v>19.5</v>
      </c>
      <c r="J657" s="4" t="n">
        <f aca="true">-LN(RAND())/B657</f>
        <v>3.39326735300275</v>
      </c>
      <c r="K657" s="4" t="n">
        <f aca="false">K656+J657</f>
        <v>6049.46118886138</v>
      </c>
      <c r="L657" s="4" t="n">
        <f aca="false">(1/$J$4)*(1+AB656)</f>
        <v>10</v>
      </c>
      <c r="M657" s="4" t="n">
        <f aca="false">L657+MAX(K657,Y$10:Y656)</f>
        <v>6698.82985076217</v>
      </c>
      <c r="N657" s="4" t="n">
        <f aca="false">K657</f>
        <v>6049.46118886138</v>
      </c>
      <c r="O657" s="4" t="n">
        <f aca="false">M657-K657</f>
        <v>649.368661900795</v>
      </c>
      <c r="P657" s="4" t="n">
        <f aca="false">N657-K657</f>
        <v>0</v>
      </c>
      <c r="Q657" s="4" t="n">
        <f aca="false">A657-MATCH(K657,$M$9:M656,1)</f>
        <v>64</v>
      </c>
      <c r="R657" s="0" t="n">
        <f aca="false">-G657*(O657/3600)</f>
        <v>-2.97364949621012</v>
      </c>
      <c r="S657" s="0" t="n">
        <f aca="false">-1*I657-(H657*(P657/3600))</f>
        <v>-19.5</v>
      </c>
      <c r="T657" s="0" t="n">
        <f aca="false">-H657*(O657/3600)</f>
        <v>-9.29562937644891</v>
      </c>
      <c r="U657" s="0" t="n">
        <f aca="false">T657-S657</f>
        <v>10.2043706235511</v>
      </c>
      <c r="V657" s="0" t="n">
        <f aca="false">1/(1+EXP(U657))</f>
        <v>3.70068461601062E-005</v>
      </c>
      <c r="W657" s="0" t="n">
        <f aca="true">RAND()</f>
        <v>0.599274923606555</v>
      </c>
      <c r="X657" s="0" t="n">
        <f aca="false">IF(W657&lt;V657,1,0)</f>
        <v>0</v>
      </c>
      <c r="Y657" s="0" t="n">
        <f aca="false">(M657*(1-X657)+N657*X657)*D657+M657*E657</f>
        <v>6698.82985076217</v>
      </c>
      <c r="Z657" s="0" t="n">
        <f aca="false">((1-X657)*O657+X657*P657)*D657+E657*O657</f>
        <v>649.368661900795</v>
      </c>
      <c r="AA657" s="0" t="n">
        <f aca="false">IF(D657*X657&gt;0,AA656,Q657)</f>
        <v>64</v>
      </c>
      <c r="AB657" s="0" t="n">
        <f aca="false">(X657*D657)</f>
        <v>0</v>
      </c>
      <c r="AC657" s="0" t="n">
        <f aca="false">SUM(AB$10:AB656)/K657</f>
        <v>0</v>
      </c>
      <c r="AD657" s="0" t="n">
        <f aca="false">R657*E657+D657*(X657*S657+(1-X657)*T657)</f>
        <v>-9.29562937644891</v>
      </c>
      <c r="AE657" s="0" t="n">
        <f aca="false">Z657</f>
        <v>649.368661900795</v>
      </c>
      <c r="AF657" s="0" t="n">
        <f aca="false">E657*O657</f>
        <v>0</v>
      </c>
      <c r="AG657" s="0" t="n">
        <f aca="false">((1-X657)*O657+X657*P657)*D657</f>
        <v>649.368661900795</v>
      </c>
      <c r="AH657" s="0" t="n">
        <f aca="false">D657*(LN(EXP(S657)+EXP(T657)))</f>
        <v>-9.29559236891798</v>
      </c>
      <c r="AJ657" s="0" t="n">
        <f aca="false">$J$5</f>
        <v>10</v>
      </c>
      <c r="AK657" s="4" t="n">
        <f aca="false">AJ657+MAX(K657,AK$10:AK656)</f>
        <v>6698.82985076217</v>
      </c>
      <c r="AL657" s="5" t="n">
        <f aca="false">AK657-K657</f>
        <v>649.368661900795</v>
      </c>
      <c r="AM657" s="0" t="n">
        <f aca="false">-G657*AL657/3600</f>
        <v>-2.97364949621012</v>
      </c>
      <c r="AN657" s="0" t="n">
        <f aca="false">-H657*AL657/3600</f>
        <v>-9.29562937644891</v>
      </c>
      <c r="AO657" s="0" t="n">
        <f aca="false">AM657*E657+AN657*D657</f>
        <v>-9.29562937644891</v>
      </c>
      <c r="AP657" s="0" t="n">
        <f aca="false">AL657*D657</f>
        <v>649.368661900795</v>
      </c>
      <c r="AR657" s="0" t="n">
        <f aca="false">AN657*D657</f>
        <v>-9.29562937644891</v>
      </c>
      <c r="AS657" s="0" t="n">
        <f aca="false">AH657-AR657</f>
        <v>3.7007530927724E-005</v>
      </c>
    </row>
    <row r="658" customFormat="false" ht="12" hidden="false" customHeight="false" outlineLevel="0" collapsed="false">
      <c r="A658" s="3" t="n">
        <f aca="false">A657+1</f>
        <v>649</v>
      </c>
      <c r="B658" s="3" t="n">
        <f aca="false">IF(A658&lt;$N$4/3,0.1,(IF(A658&gt;2*$N$4/3,0.05,0.12)))</f>
        <v>0.12</v>
      </c>
      <c r="C658" s="4" t="n">
        <f aca="true">RAND()</f>
        <v>0.523971302901641</v>
      </c>
      <c r="D658" s="0" t="n">
        <f aca="false">IF((C658&gt;$M$2),1,0)</f>
        <v>0</v>
      </c>
      <c r="E658" s="0" t="n">
        <f aca="false">1-D658</f>
        <v>1</v>
      </c>
      <c r="F658" s="0" t="n">
        <f aca="true">RAND()</f>
        <v>0.542460713940892</v>
      </c>
      <c r="G658" s="0" t="n">
        <f aca="false">7.75+F658*10</f>
        <v>13.1746071394089</v>
      </c>
      <c r="H658" s="0" t="n">
        <f aca="false">LOGINV(F658,2.64,1.139)</f>
        <v>15.8228838089265</v>
      </c>
      <c r="I658" s="0" t="n">
        <v>19.5</v>
      </c>
      <c r="J658" s="4" t="n">
        <f aca="true">-LN(RAND())/B658</f>
        <v>4.13480829832542</v>
      </c>
      <c r="K658" s="4" t="n">
        <f aca="false">K657+J658</f>
        <v>6053.5959971597</v>
      </c>
      <c r="L658" s="4" t="n">
        <f aca="false">(1/$J$4)*(1+AB657)</f>
        <v>10</v>
      </c>
      <c r="M658" s="4" t="n">
        <f aca="false">L658+MAX(K658,Y$10:Y657)</f>
        <v>6708.82985076217</v>
      </c>
      <c r="N658" s="4" t="n">
        <f aca="false">K658</f>
        <v>6053.5959971597</v>
      </c>
      <c r="O658" s="4" t="n">
        <f aca="false">M658-K658</f>
        <v>655.233853602469</v>
      </c>
      <c r="P658" s="4" t="n">
        <f aca="false">N658-K658</f>
        <v>0</v>
      </c>
      <c r="Q658" s="4" t="n">
        <f aca="false">A658-MATCH(K658,$M$9:M657,1)</f>
        <v>65</v>
      </c>
      <c r="R658" s="0" t="n">
        <f aca="false">-G658*(O658/3600)</f>
        <v>-2.39790239045931</v>
      </c>
      <c r="S658" s="0" t="n">
        <f aca="false">-1*I658-(H658*(P658/3600))</f>
        <v>-19.5</v>
      </c>
      <c r="T658" s="0" t="n">
        <f aca="false">-H658*(O658/3600)</f>
        <v>-2.87991364811861</v>
      </c>
      <c r="U658" s="0" t="n">
        <f aca="false">T658-S658</f>
        <v>16.6200863518814</v>
      </c>
      <c r="V658" s="0" t="n">
        <f aca="false">1/(1+EXP(U658))</f>
        <v>6.05324402936818E-008</v>
      </c>
      <c r="W658" s="0" t="n">
        <f aca="true">RAND()</f>
        <v>0.0239636824092532</v>
      </c>
      <c r="X658" s="0" t="n">
        <f aca="false">IF(W658&lt;V658,1,0)</f>
        <v>0</v>
      </c>
      <c r="Y658" s="0" t="n">
        <f aca="false">(M658*(1-X658)+N658*X658)*D658+M658*E658</f>
        <v>6708.82985076217</v>
      </c>
      <c r="Z658" s="0" t="n">
        <f aca="false">((1-X658)*O658+X658*P658)*D658+E658*O658</f>
        <v>655.233853602469</v>
      </c>
      <c r="AA658" s="0" t="n">
        <f aca="false">IF(D658*X658&gt;0,AA657,Q658)</f>
        <v>65</v>
      </c>
      <c r="AB658" s="0" t="n">
        <f aca="false">(X658*D658)</f>
        <v>0</v>
      </c>
      <c r="AC658" s="0" t="n">
        <f aca="false">SUM(AB$10:AB657)/K658</f>
        <v>0</v>
      </c>
      <c r="AD658" s="0" t="n">
        <f aca="false">R658*E658+D658*(X658*S658+(1-X658)*T658)</f>
        <v>-2.39790239045931</v>
      </c>
      <c r="AE658" s="0" t="n">
        <f aca="false">Z658</f>
        <v>655.233853602469</v>
      </c>
      <c r="AF658" s="0" t="n">
        <f aca="false">E658*O658</f>
        <v>655.233853602469</v>
      </c>
      <c r="AG658" s="0" t="n">
        <f aca="false">((1-X658)*O658+X658*P658)*D658</f>
        <v>0</v>
      </c>
      <c r="AH658" s="0" t="n">
        <f aca="false">D658*(LN(EXP(S658)+EXP(T658)))</f>
        <v>-0</v>
      </c>
      <c r="AJ658" s="0" t="n">
        <f aca="false">$J$5</f>
        <v>10</v>
      </c>
      <c r="AK658" s="4" t="n">
        <f aca="false">AJ658+MAX(K658,AK$10:AK657)</f>
        <v>6708.82985076217</v>
      </c>
      <c r="AL658" s="5" t="n">
        <f aca="false">AK658-K658</f>
        <v>655.233853602469</v>
      </c>
      <c r="AM658" s="0" t="n">
        <f aca="false">-G658*AL658/3600</f>
        <v>-2.39790239045931</v>
      </c>
      <c r="AN658" s="0" t="n">
        <f aca="false">-H658*AL658/3600</f>
        <v>-2.87991364811861</v>
      </c>
      <c r="AO658" s="0" t="n">
        <f aca="false">AM658*E658+AN658*D658</f>
        <v>-2.39790239045931</v>
      </c>
      <c r="AP658" s="0" t="n">
        <f aca="false">AL658*D658</f>
        <v>0</v>
      </c>
      <c r="AR658" s="0" t="n">
        <f aca="false">AN658*D658</f>
        <v>-0</v>
      </c>
      <c r="AS658" s="0" t="n">
        <f aca="false">AH658-AR658</f>
        <v>0</v>
      </c>
    </row>
    <row r="659" customFormat="false" ht="12" hidden="false" customHeight="false" outlineLevel="0" collapsed="false">
      <c r="A659" s="3" t="n">
        <f aca="false">A658+1</f>
        <v>650</v>
      </c>
      <c r="B659" s="3" t="n">
        <f aca="false">IF(A659&lt;$N$4/3,0.1,(IF(A659&gt;2*$N$4/3,0.05,0.12)))</f>
        <v>0.12</v>
      </c>
      <c r="C659" s="4" t="n">
        <f aca="true">RAND()</f>
        <v>0.834235588824793</v>
      </c>
      <c r="D659" s="0" t="n">
        <f aca="false">IF((C659&gt;$M$2),1,0)</f>
        <v>0</v>
      </c>
      <c r="E659" s="0" t="n">
        <f aca="false">1-D659</f>
        <v>1</v>
      </c>
      <c r="F659" s="0" t="n">
        <f aca="true">RAND()</f>
        <v>0.845524908956066</v>
      </c>
      <c r="G659" s="0" t="n">
        <f aca="false">7.75+F659*10</f>
        <v>16.2052490895607</v>
      </c>
      <c r="H659" s="0" t="n">
        <f aca="false">LOGINV(F659,2.64,1.139)</f>
        <v>44.6497960118005</v>
      </c>
      <c r="I659" s="0" t="n">
        <v>19.5</v>
      </c>
      <c r="J659" s="4" t="n">
        <f aca="true">-LN(RAND())/B659</f>
        <v>2.88477938096043</v>
      </c>
      <c r="K659" s="4" t="n">
        <f aca="false">K658+J659</f>
        <v>6056.48077654066</v>
      </c>
      <c r="L659" s="4" t="n">
        <f aca="false">(1/$J$4)*(1+AB658)</f>
        <v>10</v>
      </c>
      <c r="M659" s="4" t="n">
        <f aca="false">L659+MAX(K659,Y$10:Y658)</f>
        <v>6718.82985076217</v>
      </c>
      <c r="N659" s="4" t="n">
        <f aca="false">K659</f>
        <v>6056.48077654066</v>
      </c>
      <c r="O659" s="4" t="n">
        <f aca="false">M659-K659</f>
        <v>662.349074221509</v>
      </c>
      <c r="P659" s="4" t="n">
        <f aca="false">N659-K659</f>
        <v>0</v>
      </c>
      <c r="Q659" s="4" t="n">
        <f aca="false">A659-MATCH(K659,$M$9:M658,1)</f>
        <v>66</v>
      </c>
      <c r="R659" s="0" t="n">
        <f aca="false">-G659*(O659/3600)</f>
        <v>-2.98153659222207</v>
      </c>
      <c r="S659" s="0" t="n">
        <f aca="false">-1*I659-(H659*(P659/3600))</f>
        <v>-19.5</v>
      </c>
      <c r="T659" s="0" t="n">
        <f aca="false">-H659*(O659/3600)</f>
        <v>-8.21493084794313</v>
      </c>
      <c r="U659" s="0" t="n">
        <f aca="false">T659-S659</f>
        <v>11.2850691520569</v>
      </c>
      <c r="V659" s="0" t="n">
        <f aca="false">1/(1+EXP(U659))</f>
        <v>1.25588908238533E-005</v>
      </c>
      <c r="W659" s="0" t="n">
        <f aca="true">RAND()</f>
        <v>0.6686364586129</v>
      </c>
      <c r="X659" s="0" t="n">
        <f aca="false">IF(W659&lt;V659,1,0)</f>
        <v>0</v>
      </c>
      <c r="Y659" s="0" t="n">
        <f aca="false">(M659*(1-X659)+N659*X659)*D659+M659*E659</f>
        <v>6718.82985076217</v>
      </c>
      <c r="Z659" s="0" t="n">
        <f aca="false">((1-X659)*O659+X659*P659)*D659+E659*O659</f>
        <v>662.349074221509</v>
      </c>
      <c r="AA659" s="0" t="n">
        <f aca="false">IF(D659*X659&gt;0,AA658,Q659)</f>
        <v>66</v>
      </c>
      <c r="AB659" s="0" t="n">
        <f aca="false">(X659*D659)</f>
        <v>0</v>
      </c>
      <c r="AC659" s="0" t="n">
        <f aca="false">SUM(AB$10:AB658)/K659</f>
        <v>0</v>
      </c>
      <c r="AD659" s="0" t="n">
        <f aca="false">R659*E659+D659*(X659*S659+(1-X659)*T659)</f>
        <v>-2.98153659222207</v>
      </c>
      <c r="AE659" s="0" t="n">
        <f aca="false">Z659</f>
        <v>662.349074221509</v>
      </c>
      <c r="AF659" s="0" t="n">
        <f aca="false">E659*O659</f>
        <v>662.349074221509</v>
      </c>
      <c r="AG659" s="0" t="n">
        <f aca="false">((1-X659)*O659+X659*P659)*D659</f>
        <v>0</v>
      </c>
      <c r="AH659" s="0" t="n">
        <f aca="false">D659*(LN(EXP(S659)+EXP(T659)))</f>
        <v>-0</v>
      </c>
      <c r="AJ659" s="0" t="n">
        <f aca="false">$J$5</f>
        <v>10</v>
      </c>
      <c r="AK659" s="4" t="n">
        <f aca="false">AJ659+MAX(K659,AK$10:AK658)</f>
        <v>6718.82985076217</v>
      </c>
      <c r="AL659" s="5" t="n">
        <f aca="false">AK659-K659</f>
        <v>662.349074221509</v>
      </c>
      <c r="AM659" s="0" t="n">
        <f aca="false">-G659*AL659/3600</f>
        <v>-2.98153659222207</v>
      </c>
      <c r="AN659" s="0" t="n">
        <f aca="false">-H659*AL659/3600</f>
        <v>-8.21493084794313</v>
      </c>
      <c r="AO659" s="0" t="n">
        <f aca="false">AM659*E659+AN659*D659</f>
        <v>-2.98153659222207</v>
      </c>
      <c r="AP659" s="0" t="n">
        <f aca="false">AL659*D659</f>
        <v>0</v>
      </c>
      <c r="AR659" s="0" t="n">
        <f aca="false">AN659*D659</f>
        <v>-0</v>
      </c>
      <c r="AS659" s="0" t="n">
        <f aca="false">AH659-AR659</f>
        <v>0</v>
      </c>
    </row>
    <row r="660" customFormat="false" ht="12" hidden="false" customHeight="false" outlineLevel="0" collapsed="false">
      <c r="A660" s="3" t="n">
        <f aca="false">A659+1</f>
        <v>651</v>
      </c>
      <c r="B660" s="3" t="n">
        <f aca="false">IF(A660&lt;$N$4/3,0.1,(IF(A660&gt;2*$N$4/3,0.05,0.12)))</f>
        <v>0.12</v>
      </c>
      <c r="C660" s="4" t="n">
        <f aca="true">RAND()</f>
        <v>0.773553796281366</v>
      </c>
      <c r="D660" s="0" t="n">
        <f aca="false">IF((C660&gt;$M$2),1,0)</f>
        <v>0</v>
      </c>
      <c r="E660" s="0" t="n">
        <f aca="false">1-D660</f>
        <v>1</v>
      </c>
      <c r="F660" s="0" t="n">
        <f aca="true">RAND()</f>
        <v>0.78722456361226</v>
      </c>
      <c r="G660" s="0" t="n">
        <f aca="false">7.75+F660*10</f>
        <v>15.6222456361226</v>
      </c>
      <c r="H660" s="0" t="n">
        <f aca="false">LOGINV(F660,2.64,1.139)</f>
        <v>34.7294213874183</v>
      </c>
      <c r="I660" s="0" t="n">
        <v>19.5</v>
      </c>
      <c r="J660" s="4" t="n">
        <f aca="true">-LN(RAND())/B660</f>
        <v>1.21570841049385</v>
      </c>
      <c r="K660" s="4" t="n">
        <f aca="false">K659+J660</f>
        <v>6057.69648495116</v>
      </c>
      <c r="L660" s="4" t="n">
        <f aca="false">(1/$J$4)*(1+AB659)</f>
        <v>10</v>
      </c>
      <c r="M660" s="4" t="n">
        <f aca="false">L660+MAX(K660,Y$10:Y659)</f>
        <v>6728.82985076217</v>
      </c>
      <c r="N660" s="4" t="n">
        <f aca="false">K660</f>
        <v>6057.69648495116</v>
      </c>
      <c r="O660" s="4" t="n">
        <f aca="false">M660-K660</f>
        <v>671.133365811015</v>
      </c>
      <c r="P660" s="4" t="n">
        <f aca="false">N660-K660</f>
        <v>0</v>
      </c>
      <c r="Q660" s="4" t="n">
        <f aca="false">A660-MATCH(K660,$M$9:M659,1)</f>
        <v>67</v>
      </c>
      <c r="R660" s="0" t="n">
        <f aca="false">-G660*(O660/3600)</f>
        <v>-2.91239174869372</v>
      </c>
      <c r="S660" s="0" t="n">
        <f aca="false">-1*I660-(H660*(P660/3600))</f>
        <v>-19.5</v>
      </c>
      <c r="T660" s="0" t="n">
        <f aca="false">-H660*(O660/3600)</f>
        <v>-6.4744648523353</v>
      </c>
      <c r="U660" s="0" t="n">
        <f aca="false">T660-S660</f>
        <v>13.0255351476647</v>
      </c>
      <c r="V660" s="0" t="n">
        <f aca="false">1/(1+EXP(U660))</f>
        <v>2.20333739135768E-006</v>
      </c>
      <c r="W660" s="0" t="n">
        <f aca="true">RAND()</f>
        <v>0.253374374018439</v>
      </c>
      <c r="X660" s="0" t="n">
        <f aca="false">IF(W660&lt;V660,1,0)</f>
        <v>0</v>
      </c>
      <c r="Y660" s="0" t="n">
        <f aca="false">(M660*(1-X660)+N660*X660)*D660+M660*E660</f>
        <v>6728.82985076217</v>
      </c>
      <c r="Z660" s="0" t="n">
        <f aca="false">((1-X660)*O660+X660*P660)*D660+E660*O660</f>
        <v>671.133365811015</v>
      </c>
      <c r="AA660" s="0" t="n">
        <f aca="false">IF(D660*X660&gt;0,AA659,Q660)</f>
        <v>67</v>
      </c>
      <c r="AB660" s="0" t="n">
        <f aca="false">(X660*D660)</f>
        <v>0</v>
      </c>
      <c r="AC660" s="0" t="n">
        <f aca="false">SUM(AB$10:AB659)/K660</f>
        <v>0</v>
      </c>
      <c r="AD660" s="0" t="n">
        <f aca="false">R660*E660+D660*(X660*S660+(1-X660)*T660)</f>
        <v>-2.91239174869372</v>
      </c>
      <c r="AE660" s="0" t="n">
        <f aca="false">Z660</f>
        <v>671.133365811015</v>
      </c>
      <c r="AF660" s="0" t="n">
        <f aca="false">E660*O660</f>
        <v>671.133365811015</v>
      </c>
      <c r="AG660" s="0" t="n">
        <f aca="false">((1-X660)*O660+X660*P660)*D660</f>
        <v>0</v>
      </c>
      <c r="AH660" s="0" t="n">
        <f aca="false">D660*(LN(EXP(S660)+EXP(T660)))</f>
        <v>-0</v>
      </c>
      <c r="AJ660" s="0" t="n">
        <f aca="false">$J$5</f>
        <v>10</v>
      </c>
      <c r="AK660" s="4" t="n">
        <f aca="false">AJ660+MAX(K660,AK$10:AK659)</f>
        <v>6728.82985076217</v>
      </c>
      <c r="AL660" s="5" t="n">
        <f aca="false">AK660-K660</f>
        <v>671.133365811015</v>
      </c>
      <c r="AM660" s="0" t="n">
        <f aca="false">-G660*AL660/3600</f>
        <v>-2.91239174869372</v>
      </c>
      <c r="AN660" s="0" t="n">
        <f aca="false">-H660*AL660/3600</f>
        <v>-6.4744648523353</v>
      </c>
      <c r="AO660" s="0" t="n">
        <f aca="false">AM660*E660+AN660*D660</f>
        <v>-2.91239174869372</v>
      </c>
      <c r="AP660" s="0" t="n">
        <f aca="false">AL660*D660</f>
        <v>0</v>
      </c>
      <c r="AR660" s="0" t="n">
        <f aca="false">AN660*D660</f>
        <v>-0</v>
      </c>
      <c r="AS660" s="0" t="n">
        <f aca="false">AH660-AR660</f>
        <v>0</v>
      </c>
    </row>
    <row r="661" customFormat="false" ht="12" hidden="false" customHeight="false" outlineLevel="0" collapsed="false">
      <c r="A661" s="3" t="n">
        <f aca="false">A660+1</f>
        <v>652</v>
      </c>
      <c r="B661" s="3" t="n">
        <f aca="false">IF(A661&lt;$N$4/3,0.1,(IF(A661&gt;2*$N$4/3,0.05,0.12)))</f>
        <v>0.12</v>
      </c>
      <c r="C661" s="4" t="n">
        <f aca="true">RAND()</f>
        <v>0.383249780425066</v>
      </c>
      <c r="D661" s="0" t="n">
        <f aca="false">IF((C661&gt;$M$2),1,0)</f>
        <v>0</v>
      </c>
      <c r="E661" s="0" t="n">
        <f aca="false">1-D661</f>
        <v>1</v>
      </c>
      <c r="F661" s="0" t="n">
        <f aca="true">RAND()</f>
        <v>0.158124923533171</v>
      </c>
      <c r="G661" s="0" t="n">
        <f aca="false">7.75+F661*10</f>
        <v>9.33124923533171</v>
      </c>
      <c r="H661" s="0" t="n">
        <f aca="false">LOGINV(F661,2.64,1.139)</f>
        <v>4.47497559085844</v>
      </c>
      <c r="I661" s="0" t="n">
        <v>19.5</v>
      </c>
      <c r="J661" s="4" t="n">
        <f aca="true">-LN(RAND())/B661</f>
        <v>15.2510733883508</v>
      </c>
      <c r="K661" s="4" t="n">
        <f aca="false">K660+J661</f>
        <v>6072.94755833951</v>
      </c>
      <c r="L661" s="4" t="n">
        <f aca="false">(1/$J$4)*(1+AB660)</f>
        <v>10</v>
      </c>
      <c r="M661" s="4" t="n">
        <f aca="false">L661+MAX(K661,Y$10:Y660)</f>
        <v>6738.82985076217</v>
      </c>
      <c r="N661" s="4" t="n">
        <f aca="false">K661</f>
        <v>6072.94755833951</v>
      </c>
      <c r="O661" s="4" t="n">
        <f aca="false">M661-K661</f>
        <v>665.882292422664</v>
      </c>
      <c r="P661" s="4" t="n">
        <f aca="false">N661-K661</f>
        <v>0</v>
      </c>
      <c r="Q661" s="4" t="n">
        <f aca="false">A661-MATCH(K661,$M$9:M660,1)</f>
        <v>66</v>
      </c>
      <c r="R661" s="0" t="n">
        <f aca="false">-G661*(O661/3600)</f>
        <v>-1.72597600888609</v>
      </c>
      <c r="S661" s="0" t="n">
        <f aca="false">-1*I661-(H661*(P661/3600))</f>
        <v>-19.5</v>
      </c>
      <c r="T661" s="0" t="n">
        <f aca="false">-H661*(O661/3600)</f>
        <v>-0.827724168048969</v>
      </c>
      <c r="U661" s="0" t="n">
        <f aca="false">T661-S661</f>
        <v>18.672275831951</v>
      </c>
      <c r="V661" s="0" t="n">
        <f aca="false">1/(1+EXP(U661))</f>
        <v>7.77559511470065E-009</v>
      </c>
      <c r="W661" s="0" t="n">
        <f aca="true">RAND()</f>
        <v>0.253370685430047</v>
      </c>
      <c r="X661" s="0" t="n">
        <f aca="false">IF(W661&lt;V661,1,0)</f>
        <v>0</v>
      </c>
      <c r="Y661" s="0" t="n">
        <f aca="false">(M661*(1-X661)+N661*X661)*D661+M661*E661</f>
        <v>6738.82985076217</v>
      </c>
      <c r="Z661" s="0" t="n">
        <f aca="false">((1-X661)*O661+X661*P661)*D661+E661*O661</f>
        <v>665.882292422664</v>
      </c>
      <c r="AA661" s="0" t="n">
        <f aca="false">IF(D661*X661&gt;0,AA660,Q661)</f>
        <v>66</v>
      </c>
      <c r="AB661" s="0" t="n">
        <f aca="false">(X661*D661)</f>
        <v>0</v>
      </c>
      <c r="AC661" s="0" t="n">
        <f aca="false">SUM(AB$10:AB660)/K661</f>
        <v>0</v>
      </c>
      <c r="AD661" s="0" t="n">
        <f aca="false">R661*E661+D661*(X661*S661+(1-X661)*T661)</f>
        <v>-1.72597600888609</v>
      </c>
      <c r="AE661" s="0" t="n">
        <f aca="false">Z661</f>
        <v>665.882292422664</v>
      </c>
      <c r="AF661" s="0" t="n">
        <f aca="false">E661*O661</f>
        <v>665.882292422664</v>
      </c>
      <c r="AG661" s="0" t="n">
        <f aca="false">((1-X661)*O661+X661*P661)*D661</f>
        <v>0</v>
      </c>
      <c r="AH661" s="0" t="n">
        <f aca="false">D661*(LN(EXP(S661)+EXP(T661)))</f>
        <v>-0</v>
      </c>
      <c r="AJ661" s="0" t="n">
        <f aca="false">$J$5</f>
        <v>10</v>
      </c>
      <c r="AK661" s="4" t="n">
        <f aca="false">AJ661+MAX(K661,AK$10:AK660)</f>
        <v>6738.82985076217</v>
      </c>
      <c r="AL661" s="5" t="n">
        <f aca="false">AK661-K661</f>
        <v>665.882292422664</v>
      </c>
      <c r="AM661" s="0" t="n">
        <f aca="false">-G661*AL661/3600</f>
        <v>-1.72597600888609</v>
      </c>
      <c r="AN661" s="0" t="n">
        <f aca="false">-H661*AL661/3600</f>
        <v>-0.827724168048969</v>
      </c>
      <c r="AO661" s="0" t="n">
        <f aca="false">AM661*E661+AN661*D661</f>
        <v>-1.72597600888609</v>
      </c>
      <c r="AP661" s="0" t="n">
        <f aca="false">AL661*D661</f>
        <v>0</v>
      </c>
      <c r="AR661" s="0" t="n">
        <f aca="false">AN661*D661</f>
        <v>-0</v>
      </c>
      <c r="AS661" s="0" t="n">
        <f aca="false">AH661-AR661</f>
        <v>0</v>
      </c>
    </row>
    <row r="662" customFormat="false" ht="12" hidden="false" customHeight="false" outlineLevel="0" collapsed="false">
      <c r="A662" s="3" t="n">
        <f aca="false">A661+1</f>
        <v>653</v>
      </c>
      <c r="B662" s="3" t="n">
        <f aca="false">IF(A662&lt;$N$4/3,0.1,(IF(A662&gt;2*$N$4/3,0.05,0.12)))</f>
        <v>0.12</v>
      </c>
      <c r="C662" s="4" t="n">
        <f aca="true">RAND()</f>
        <v>0.534002488724294</v>
      </c>
      <c r="D662" s="0" t="n">
        <f aca="false">IF((C662&gt;$M$2),1,0)</f>
        <v>0</v>
      </c>
      <c r="E662" s="0" t="n">
        <f aca="false">1-D662</f>
        <v>1</v>
      </c>
      <c r="F662" s="0" t="n">
        <f aca="true">RAND()</f>
        <v>0.57274779009594</v>
      </c>
      <c r="G662" s="0" t="n">
        <f aca="false">7.75+F662*10</f>
        <v>13.4774779009594</v>
      </c>
      <c r="H662" s="0" t="n">
        <f aca="false">LOGINV(F662,2.64,1.139)</f>
        <v>17.2681404502778</v>
      </c>
      <c r="I662" s="0" t="n">
        <v>19.5</v>
      </c>
      <c r="J662" s="4" t="n">
        <f aca="true">-LN(RAND())/B662</f>
        <v>3.78550239966114</v>
      </c>
      <c r="K662" s="4" t="n">
        <f aca="false">K661+J662</f>
        <v>6076.73306073917</v>
      </c>
      <c r="L662" s="4" t="n">
        <f aca="false">(1/$J$4)*(1+AB661)</f>
        <v>10</v>
      </c>
      <c r="M662" s="4" t="n">
        <f aca="false">L662+MAX(K662,Y$10:Y661)</f>
        <v>6748.82985076217</v>
      </c>
      <c r="N662" s="4" t="n">
        <f aca="false">K662</f>
        <v>6076.73306073917</v>
      </c>
      <c r="O662" s="4" t="n">
        <f aca="false">M662-K662</f>
        <v>672.096790023004</v>
      </c>
      <c r="P662" s="4" t="n">
        <f aca="false">N662-K662</f>
        <v>0</v>
      </c>
      <c r="Q662" s="4" t="n">
        <f aca="false">A662-MATCH(K662,$M$9:M661,1)</f>
        <v>67</v>
      </c>
      <c r="R662" s="0" t="n">
        <f aca="false">-G662*(O662/3600)</f>
        <v>-2.51615823190022</v>
      </c>
      <c r="S662" s="0" t="n">
        <f aca="false">-1*I662-(H662*(P662/3600))</f>
        <v>-19.5</v>
      </c>
      <c r="T662" s="0" t="n">
        <f aca="false">-H662*(O662/3600)</f>
        <v>-3.22385049063837</v>
      </c>
      <c r="U662" s="0" t="n">
        <f aca="false">T662-S662</f>
        <v>16.2761495093616</v>
      </c>
      <c r="V662" s="0" t="n">
        <f aca="false">1/(1+EXP(U662))</f>
        <v>8.53803723322839E-008</v>
      </c>
      <c r="W662" s="0" t="n">
        <f aca="true">RAND()</f>
        <v>0.426177007542067</v>
      </c>
      <c r="X662" s="0" t="n">
        <f aca="false">IF(W662&lt;V662,1,0)</f>
        <v>0</v>
      </c>
      <c r="Y662" s="0" t="n">
        <f aca="false">(M662*(1-X662)+N662*X662)*D662+M662*E662</f>
        <v>6748.82985076217</v>
      </c>
      <c r="Z662" s="0" t="n">
        <f aca="false">((1-X662)*O662+X662*P662)*D662+E662*O662</f>
        <v>672.096790023004</v>
      </c>
      <c r="AA662" s="0" t="n">
        <f aca="false">IF(D662*X662&gt;0,AA661,Q662)</f>
        <v>67</v>
      </c>
      <c r="AB662" s="0" t="n">
        <f aca="false">(X662*D662)</f>
        <v>0</v>
      </c>
      <c r="AC662" s="0" t="n">
        <f aca="false">SUM(AB$10:AB661)/K662</f>
        <v>0</v>
      </c>
      <c r="AD662" s="0" t="n">
        <f aca="false">R662*E662+D662*(X662*S662+(1-X662)*T662)</f>
        <v>-2.51615823190022</v>
      </c>
      <c r="AE662" s="0" t="n">
        <f aca="false">Z662</f>
        <v>672.096790023004</v>
      </c>
      <c r="AF662" s="0" t="n">
        <f aca="false">E662*O662</f>
        <v>672.096790023004</v>
      </c>
      <c r="AG662" s="0" t="n">
        <f aca="false">((1-X662)*O662+X662*P662)*D662</f>
        <v>0</v>
      </c>
      <c r="AH662" s="0" t="n">
        <f aca="false">D662*(LN(EXP(S662)+EXP(T662)))</f>
        <v>-0</v>
      </c>
      <c r="AJ662" s="0" t="n">
        <f aca="false">$J$5</f>
        <v>10</v>
      </c>
      <c r="AK662" s="4" t="n">
        <f aca="false">AJ662+MAX(K662,AK$10:AK661)</f>
        <v>6748.82985076217</v>
      </c>
      <c r="AL662" s="5" t="n">
        <f aca="false">AK662-K662</f>
        <v>672.096790023004</v>
      </c>
      <c r="AM662" s="0" t="n">
        <f aca="false">-G662*AL662/3600</f>
        <v>-2.51615823190022</v>
      </c>
      <c r="AN662" s="0" t="n">
        <f aca="false">-H662*AL662/3600</f>
        <v>-3.22385049063837</v>
      </c>
      <c r="AO662" s="0" t="n">
        <f aca="false">AM662*E662+AN662*D662</f>
        <v>-2.51615823190022</v>
      </c>
      <c r="AP662" s="0" t="n">
        <f aca="false">AL662*D662</f>
        <v>0</v>
      </c>
      <c r="AR662" s="0" t="n">
        <f aca="false">AN662*D662</f>
        <v>-0</v>
      </c>
      <c r="AS662" s="0" t="n">
        <f aca="false">AH662-AR662</f>
        <v>0</v>
      </c>
    </row>
    <row r="663" customFormat="false" ht="12" hidden="false" customHeight="false" outlineLevel="0" collapsed="false">
      <c r="A663" s="3" t="n">
        <f aca="false">A662+1</f>
        <v>654</v>
      </c>
      <c r="B663" s="3" t="n">
        <f aca="false">IF(A663&lt;$N$4/3,0.1,(IF(A663&gt;2*$N$4/3,0.05,0.12)))</f>
        <v>0.12</v>
      </c>
      <c r="C663" s="4" t="n">
        <f aca="true">RAND()</f>
        <v>0.919879592352756</v>
      </c>
      <c r="D663" s="0" t="n">
        <f aca="false">IF((C663&gt;$M$2),1,0)</f>
        <v>1</v>
      </c>
      <c r="E663" s="0" t="n">
        <f aca="false">1-D663</f>
        <v>0</v>
      </c>
      <c r="F663" s="0" t="n">
        <f aca="true">RAND()</f>
        <v>0.971257154039738</v>
      </c>
      <c r="G663" s="0" t="n">
        <f aca="false">7.75+F663*10</f>
        <v>17.4625715403974</v>
      </c>
      <c r="H663" s="0" t="n">
        <f aca="false">LOGINV(F663,2.64,1.139)</f>
        <v>121.953994866934</v>
      </c>
      <c r="I663" s="0" t="n">
        <v>19.5</v>
      </c>
      <c r="J663" s="4" t="n">
        <f aca="true">-LN(RAND())/B663</f>
        <v>4.62626451276847</v>
      </c>
      <c r="K663" s="4" t="n">
        <f aca="false">K662+J663</f>
        <v>6081.35932525194</v>
      </c>
      <c r="L663" s="4" t="n">
        <f aca="false">(1/$J$4)*(1+AB662)</f>
        <v>10</v>
      </c>
      <c r="M663" s="4" t="n">
        <f aca="false">L663+MAX(K663,Y$10:Y662)</f>
        <v>6758.82985076217</v>
      </c>
      <c r="N663" s="4" t="n">
        <f aca="false">K663</f>
        <v>6081.35932525194</v>
      </c>
      <c r="O663" s="4" t="n">
        <f aca="false">M663-K663</f>
        <v>677.470525510235</v>
      </c>
      <c r="P663" s="4" t="n">
        <f aca="false">N663-K663</f>
        <v>0</v>
      </c>
      <c r="Q663" s="4" t="n">
        <f aca="false">A663-MATCH(K663,$M$9:M662,1)</f>
        <v>67</v>
      </c>
      <c r="R663" s="0" t="n">
        <f aca="false">-G663*(O663/3600)</f>
        <v>-3.28621597728697</v>
      </c>
      <c r="S663" s="0" t="n">
        <f aca="false">-1*I663-(H663*(P663/3600))</f>
        <v>-19.5</v>
      </c>
      <c r="T663" s="0" t="n">
        <f aca="false">-H663*(O663/3600)</f>
        <v>-22.9500658307151</v>
      </c>
      <c r="U663" s="0" t="n">
        <f aca="false">T663-S663</f>
        <v>-3.45006583071506</v>
      </c>
      <c r="V663" s="0" t="n">
        <f aca="false">1/(1+EXP(U663))</f>
        <v>0.96923310379479</v>
      </c>
      <c r="W663" s="0" t="n">
        <f aca="true">RAND()</f>
        <v>0.47306005328924</v>
      </c>
      <c r="X663" s="0" t="n">
        <f aca="false">IF(W663&lt;V663,1,0)</f>
        <v>1</v>
      </c>
      <c r="Y663" s="0" t="n">
        <f aca="false">(M663*(1-X663)+N663*X663)*D663+M663*E663</f>
        <v>6081.35932525194</v>
      </c>
      <c r="Z663" s="0" t="n">
        <f aca="false">((1-X663)*O663+X663*P663)*D663+E663*O663</f>
        <v>0</v>
      </c>
      <c r="AA663" s="0" t="n">
        <f aca="false">IF(D663*X663&gt;0,AA662,Q663)</f>
        <v>67</v>
      </c>
      <c r="AB663" s="0" t="n">
        <f aca="false">(X663*D663)</f>
        <v>1</v>
      </c>
      <c r="AC663" s="0" t="n">
        <f aca="false">SUM(AB$10:AB662)/K663</f>
        <v>0</v>
      </c>
      <c r="AD663" s="0" t="n">
        <f aca="false">R663*E663+D663*(X663*S663+(1-X663)*T663)</f>
        <v>-19.5</v>
      </c>
      <c r="AE663" s="0" t="n">
        <f aca="false">Z663</f>
        <v>0</v>
      </c>
      <c r="AF663" s="0" t="n">
        <f aca="false">E663*O663</f>
        <v>0</v>
      </c>
      <c r="AG663" s="0" t="n">
        <f aca="false">((1-X663)*O663+X663*P663)*D663</f>
        <v>0</v>
      </c>
      <c r="AH663" s="0" t="n">
        <f aca="false">D663*(LN(EXP(S663)+EXP(T663)))</f>
        <v>-19.4687498651702</v>
      </c>
      <c r="AJ663" s="0" t="n">
        <f aca="false">$J$5</f>
        <v>10</v>
      </c>
      <c r="AK663" s="4" t="n">
        <f aca="false">AJ663+MAX(K663,AK$10:AK662)</f>
        <v>6758.82985076217</v>
      </c>
      <c r="AL663" s="5" t="n">
        <f aca="false">AK663-K663</f>
        <v>677.470525510235</v>
      </c>
      <c r="AM663" s="0" t="n">
        <f aca="false">-G663*AL663/3600</f>
        <v>-3.28621597728697</v>
      </c>
      <c r="AN663" s="0" t="n">
        <f aca="false">-H663*AL663/3600</f>
        <v>-22.9500658307151</v>
      </c>
      <c r="AO663" s="0" t="n">
        <f aca="false">AM663*E663+AN663*D663</f>
        <v>-22.9500658307151</v>
      </c>
      <c r="AP663" s="0" t="n">
        <f aca="false">AL663*D663</f>
        <v>677.470525510235</v>
      </c>
      <c r="AR663" s="0" t="n">
        <f aca="false">AN663*D663</f>
        <v>-22.9500658307151</v>
      </c>
      <c r="AS663" s="0" t="n">
        <f aca="false">AH663-AR663</f>
        <v>3.4813159655449</v>
      </c>
    </row>
    <row r="664" customFormat="false" ht="12" hidden="false" customHeight="false" outlineLevel="0" collapsed="false">
      <c r="A664" s="3" t="n">
        <f aca="false">A663+1</f>
        <v>655</v>
      </c>
      <c r="B664" s="3" t="n">
        <f aca="false">IF(A664&lt;$N$4/3,0.1,(IF(A664&gt;2*$N$4/3,0.05,0.12)))</f>
        <v>0.12</v>
      </c>
      <c r="C664" s="4" t="n">
        <f aca="true">RAND()</f>
        <v>0.155364059530333</v>
      </c>
      <c r="D664" s="0" t="n">
        <f aca="false">IF((C664&gt;$M$2),1,0)</f>
        <v>0</v>
      </c>
      <c r="E664" s="0" t="n">
        <f aca="false">1-D664</f>
        <v>1</v>
      </c>
      <c r="F664" s="0" t="n">
        <f aca="true">RAND()</f>
        <v>0.311736967493877</v>
      </c>
      <c r="G664" s="0" t="n">
        <f aca="false">7.75+F664*10</f>
        <v>10.8673696749388</v>
      </c>
      <c r="H664" s="0" t="n">
        <f aca="false">LOGINV(F664,2.64,1.139)</f>
        <v>8.01109513334948</v>
      </c>
      <c r="I664" s="0" t="n">
        <v>19.5</v>
      </c>
      <c r="J664" s="4" t="n">
        <f aca="true">-LN(RAND())/B664</f>
        <v>46.0983619249041</v>
      </c>
      <c r="K664" s="4" t="n">
        <f aca="false">K663+J664</f>
        <v>6127.45768717684</v>
      </c>
      <c r="L664" s="4" t="n">
        <f aca="false">(1/$J$4)*(1+AB663)</f>
        <v>20</v>
      </c>
      <c r="M664" s="4" t="n">
        <f aca="false">L664+MAX(K664,Y$10:Y663)</f>
        <v>6768.82985076217</v>
      </c>
      <c r="N664" s="4" t="n">
        <f aca="false">K664</f>
        <v>6127.45768717684</v>
      </c>
      <c r="O664" s="4" t="n">
        <f aca="false">M664-K664</f>
        <v>641.372163585332</v>
      </c>
      <c r="P664" s="4" t="n">
        <f aca="false">N664-K664</f>
        <v>0</v>
      </c>
      <c r="Q664" s="4" t="n">
        <f aca="false">A664-MATCH(K664,$M$9:M663,1)</f>
        <v>64</v>
      </c>
      <c r="R664" s="0" t="n">
        <f aca="false">-G664*(O664/3600)</f>
        <v>-1.93611900024919</v>
      </c>
      <c r="S664" s="0" t="n">
        <f aca="false">-1*I664-(H664*(P664/3600))</f>
        <v>-19.5</v>
      </c>
      <c r="T664" s="0" t="n">
        <f aca="false">-H664*(O664/3600)</f>
        <v>-1.42724817176786</v>
      </c>
      <c r="U664" s="0" t="n">
        <f aca="false">T664-S664</f>
        <v>18.0727518282321</v>
      </c>
      <c r="V664" s="0" t="n">
        <f aca="false">1/(1+EXP(U664))</f>
        <v>1.41613156141427E-008</v>
      </c>
      <c r="W664" s="0" t="n">
        <f aca="true">RAND()</f>
        <v>0.517189624089369</v>
      </c>
      <c r="X664" s="0" t="n">
        <f aca="false">IF(W664&lt;V664,1,0)</f>
        <v>0</v>
      </c>
      <c r="Y664" s="0" t="n">
        <f aca="false">(M664*(1-X664)+N664*X664)*D664+M664*E664</f>
        <v>6768.82985076217</v>
      </c>
      <c r="Z664" s="0" t="n">
        <f aca="false">((1-X664)*O664+X664*P664)*D664+E664*O664</f>
        <v>641.372163585332</v>
      </c>
      <c r="AA664" s="0" t="n">
        <f aca="false">IF(D664*X664&gt;0,AA663,Q664)</f>
        <v>64</v>
      </c>
      <c r="AB664" s="0" t="n">
        <f aca="false">(X664*D664)</f>
        <v>0</v>
      </c>
      <c r="AC664" s="0" t="n">
        <f aca="false">SUM(AB$10:AB663)/K664</f>
        <v>0.000163199821370083</v>
      </c>
      <c r="AD664" s="0" t="n">
        <f aca="false">R664*E664+D664*(X664*S664+(1-X664)*T664)</f>
        <v>-1.93611900024919</v>
      </c>
      <c r="AE664" s="0" t="n">
        <f aca="false">Z664</f>
        <v>641.372163585332</v>
      </c>
      <c r="AF664" s="0" t="n">
        <f aca="false">E664*O664</f>
        <v>641.372163585332</v>
      </c>
      <c r="AG664" s="0" t="n">
        <f aca="false">((1-X664)*O664+X664*P664)*D664</f>
        <v>0</v>
      </c>
      <c r="AH664" s="0" t="n">
        <f aca="false">D664*(LN(EXP(S664)+EXP(T664)))</f>
        <v>-0</v>
      </c>
      <c r="AJ664" s="0" t="n">
        <f aca="false">$J$5</f>
        <v>10</v>
      </c>
      <c r="AK664" s="4" t="n">
        <f aca="false">AJ664+MAX(K664,AK$10:AK663)</f>
        <v>6768.82985076217</v>
      </c>
      <c r="AL664" s="5" t="n">
        <f aca="false">AK664-K664</f>
        <v>641.372163585332</v>
      </c>
      <c r="AM664" s="0" t="n">
        <f aca="false">-G664*AL664/3600</f>
        <v>-1.93611900024919</v>
      </c>
      <c r="AN664" s="0" t="n">
        <f aca="false">-H664*AL664/3600</f>
        <v>-1.42724817176786</v>
      </c>
      <c r="AO664" s="0" t="n">
        <f aca="false">AM664*E664+AN664*D664</f>
        <v>-1.93611900024919</v>
      </c>
      <c r="AP664" s="0" t="n">
        <f aca="false">AL664*D664</f>
        <v>0</v>
      </c>
      <c r="AR664" s="0" t="n">
        <f aca="false">AN664*D664</f>
        <v>-0</v>
      </c>
      <c r="AS664" s="0" t="n">
        <f aca="false">AH664-AR664</f>
        <v>0</v>
      </c>
    </row>
    <row r="665" customFormat="false" ht="12" hidden="false" customHeight="false" outlineLevel="0" collapsed="false">
      <c r="A665" s="3" t="n">
        <f aca="false">A664+1</f>
        <v>656</v>
      </c>
      <c r="B665" s="3" t="n">
        <f aca="false">IF(A665&lt;$N$4/3,0.1,(IF(A665&gt;2*$N$4/3,0.05,0.12)))</f>
        <v>0.12</v>
      </c>
      <c r="C665" s="4" t="n">
        <f aca="true">RAND()</f>
        <v>0.045768001123834</v>
      </c>
      <c r="D665" s="0" t="n">
        <f aca="false">IF((C665&gt;$M$2),1,0)</f>
        <v>0</v>
      </c>
      <c r="E665" s="0" t="n">
        <f aca="false">1-D665</f>
        <v>1</v>
      </c>
      <c r="F665" s="0" t="n">
        <f aca="true">RAND()</f>
        <v>0.25994401723465</v>
      </c>
      <c r="G665" s="0" t="n">
        <f aca="false">7.75+F665*10</f>
        <v>10.3494401723465</v>
      </c>
      <c r="H665" s="0" t="n">
        <f aca="false">LOGINV(F665,2.64,1.139)</f>
        <v>6.73308201353985</v>
      </c>
      <c r="I665" s="0" t="n">
        <v>19.5</v>
      </c>
      <c r="J665" s="4" t="n">
        <f aca="true">-LN(RAND())/B665</f>
        <v>11.4343569720505</v>
      </c>
      <c r="K665" s="4" t="n">
        <f aca="false">K664+J665</f>
        <v>6138.89204414889</v>
      </c>
      <c r="L665" s="4" t="n">
        <f aca="false">(1/$J$4)*(1+AB664)</f>
        <v>10</v>
      </c>
      <c r="M665" s="4" t="n">
        <f aca="false">L665+MAX(K665,Y$10:Y664)</f>
        <v>6778.82985076217</v>
      </c>
      <c r="N665" s="4" t="n">
        <f aca="false">K665</f>
        <v>6138.89204414889</v>
      </c>
      <c r="O665" s="4" t="n">
        <f aca="false">M665-K665</f>
        <v>639.937806613281</v>
      </c>
      <c r="P665" s="4" t="n">
        <f aca="false">N665-K665</f>
        <v>0</v>
      </c>
      <c r="Q665" s="4" t="n">
        <f aca="false">A665-MATCH(K665,$M$9:M664,1)</f>
        <v>63</v>
      </c>
      <c r="R665" s="0" t="n">
        <f aca="false">-G665*(O665/3600)</f>
        <v>-1.83972167876855</v>
      </c>
      <c r="S665" s="0" t="n">
        <f aca="false">-1*I665-(H665*(P665/3600))</f>
        <v>-19.5</v>
      </c>
      <c r="T665" s="0" t="n">
        <f aca="false">-H665*(O665/3600)</f>
        <v>-1.19687603763667</v>
      </c>
      <c r="U665" s="0" t="n">
        <f aca="false">T665-S665</f>
        <v>18.3031239623633</v>
      </c>
      <c r="V665" s="0" t="n">
        <f aca="false">1/(1+EXP(U665))</f>
        <v>1.12474548031643E-008</v>
      </c>
      <c r="W665" s="0" t="n">
        <f aca="true">RAND()</f>
        <v>0.0120978859623107</v>
      </c>
      <c r="X665" s="0" t="n">
        <f aca="false">IF(W665&lt;V665,1,0)</f>
        <v>0</v>
      </c>
      <c r="Y665" s="0" t="n">
        <f aca="false">(M665*(1-X665)+N665*X665)*D665+M665*E665</f>
        <v>6778.82985076217</v>
      </c>
      <c r="Z665" s="0" t="n">
        <f aca="false">((1-X665)*O665+X665*P665)*D665+E665*O665</f>
        <v>639.937806613281</v>
      </c>
      <c r="AA665" s="0" t="n">
        <f aca="false">IF(D665*X665&gt;0,AA664,Q665)</f>
        <v>63</v>
      </c>
      <c r="AB665" s="0" t="n">
        <f aca="false">(X665*D665)</f>
        <v>0</v>
      </c>
      <c r="AC665" s="0" t="n">
        <f aca="false">SUM(AB$10:AB664)/K665</f>
        <v>0.000162895843876766</v>
      </c>
      <c r="AD665" s="0" t="n">
        <f aca="false">R665*E665+D665*(X665*S665+(1-X665)*T665)</f>
        <v>-1.83972167876855</v>
      </c>
      <c r="AE665" s="0" t="n">
        <f aca="false">Z665</f>
        <v>639.937806613281</v>
      </c>
      <c r="AF665" s="0" t="n">
        <f aca="false">E665*O665</f>
        <v>639.937806613281</v>
      </c>
      <c r="AG665" s="0" t="n">
        <f aca="false">((1-X665)*O665+X665*P665)*D665</f>
        <v>0</v>
      </c>
      <c r="AH665" s="0" t="n">
        <f aca="false">D665*(LN(EXP(S665)+EXP(T665)))</f>
        <v>-0</v>
      </c>
      <c r="AJ665" s="0" t="n">
        <f aca="false">$J$5</f>
        <v>10</v>
      </c>
      <c r="AK665" s="4" t="n">
        <f aca="false">AJ665+MAX(K665,AK$10:AK664)</f>
        <v>6778.82985076217</v>
      </c>
      <c r="AL665" s="5" t="n">
        <f aca="false">AK665-K665</f>
        <v>639.937806613281</v>
      </c>
      <c r="AM665" s="0" t="n">
        <f aca="false">-G665*AL665/3600</f>
        <v>-1.83972167876855</v>
      </c>
      <c r="AN665" s="0" t="n">
        <f aca="false">-H665*AL665/3600</f>
        <v>-1.19687603763667</v>
      </c>
      <c r="AO665" s="0" t="n">
        <f aca="false">AM665*E665+AN665*D665</f>
        <v>-1.83972167876855</v>
      </c>
      <c r="AP665" s="0" t="n">
        <f aca="false">AL665*D665</f>
        <v>0</v>
      </c>
      <c r="AR665" s="0" t="n">
        <f aca="false">AN665*D665</f>
        <v>-0</v>
      </c>
      <c r="AS665" s="0" t="n">
        <f aca="false">AH665-AR665</f>
        <v>0</v>
      </c>
    </row>
    <row r="666" customFormat="false" ht="12" hidden="false" customHeight="false" outlineLevel="0" collapsed="false">
      <c r="A666" s="3" t="n">
        <f aca="false">A665+1</f>
        <v>657</v>
      </c>
      <c r="B666" s="3" t="n">
        <f aca="false">IF(A666&lt;$N$4/3,0.1,(IF(A666&gt;2*$N$4/3,0.05,0.12)))</f>
        <v>0.12</v>
      </c>
      <c r="C666" s="4" t="n">
        <f aca="true">RAND()</f>
        <v>0.997804976203503</v>
      </c>
      <c r="D666" s="0" t="n">
        <f aca="false">IF((C666&gt;$M$2),1,0)</f>
        <v>1</v>
      </c>
      <c r="E666" s="0" t="n">
        <f aca="false">1-D666</f>
        <v>0</v>
      </c>
      <c r="F666" s="0" t="n">
        <f aca="true">RAND()</f>
        <v>0.0701205836276815</v>
      </c>
      <c r="G666" s="0" t="n">
        <f aca="false">7.75+F666*10</f>
        <v>8.45120583627682</v>
      </c>
      <c r="H666" s="0" t="n">
        <f aca="false">LOGINV(F666,2.64,1.139)</f>
        <v>2.61194788068396</v>
      </c>
      <c r="I666" s="0" t="n">
        <v>19.5</v>
      </c>
      <c r="J666" s="4" t="n">
        <f aca="true">-LN(RAND())/B666</f>
        <v>10.6669118379498</v>
      </c>
      <c r="K666" s="4" t="n">
        <f aca="false">K665+J666</f>
        <v>6149.55895598684</v>
      </c>
      <c r="L666" s="4" t="n">
        <f aca="false">(1/$J$4)*(1+AB665)</f>
        <v>10</v>
      </c>
      <c r="M666" s="4" t="n">
        <f aca="false">L666+MAX(K666,Y$10:Y665)</f>
        <v>6788.82985076217</v>
      </c>
      <c r="N666" s="4" t="n">
        <f aca="false">K666</f>
        <v>6149.55895598684</v>
      </c>
      <c r="O666" s="4" t="n">
        <f aca="false">M666-K666</f>
        <v>639.270894775332</v>
      </c>
      <c r="P666" s="4" t="n">
        <f aca="false">N666-K666</f>
        <v>0</v>
      </c>
      <c r="Q666" s="4" t="n">
        <f aca="false">A666-MATCH(K666,$M$9:M665,1)</f>
        <v>63</v>
      </c>
      <c r="R666" s="0" t="n">
        <f aca="false">-G666*(O666/3600)</f>
        <v>-1.50072497691311</v>
      </c>
      <c r="S666" s="0" t="n">
        <f aca="false">-1*I666-(H666*(P666/3600))</f>
        <v>-19.5</v>
      </c>
      <c r="T666" s="0" t="n">
        <f aca="false">-H666*(O666/3600)</f>
        <v>-0.463817294108713</v>
      </c>
      <c r="U666" s="0" t="n">
        <f aca="false">T666-S666</f>
        <v>19.0361827058913</v>
      </c>
      <c r="V666" s="0" t="n">
        <f aca="false">1/(1+EXP(U666))</f>
        <v>5.40369579337363E-009</v>
      </c>
      <c r="W666" s="0" t="n">
        <f aca="true">RAND()</f>
        <v>0.134470706065797</v>
      </c>
      <c r="X666" s="0" t="n">
        <f aca="false">IF(W666&lt;V666,1,0)</f>
        <v>0</v>
      </c>
      <c r="Y666" s="0" t="n">
        <f aca="false">(M666*(1-X666)+N666*X666)*D666+M666*E666</f>
        <v>6788.82985076217</v>
      </c>
      <c r="Z666" s="0" t="n">
        <f aca="false">((1-X666)*O666+X666*P666)*D666+E666*O666</f>
        <v>639.270894775332</v>
      </c>
      <c r="AA666" s="0" t="n">
        <f aca="false">IF(D666*X666&gt;0,AA665,Q666)</f>
        <v>63</v>
      </c>
      <c r="AB666" s="0" t="n">
        <f aca="false">(X666*D666)</f>
        <v>0</v>
      </c>
      <c r="AC666" s="0" t="n">
        <f aca="false">SUM(AB$10:AB665)/K666</f>
        <v>0.000162613287742605</v>
      </c>
      <c r="AD666" s="0" t="n">
        <f aca="false">R666*E666+D666*(X666*S666+(1-X666)*T666)</f>
        <v>-0.463817294108713</v>
      </c>
      <c r="AE666" s="0" t="n">
        <f aca="false">Z666</f>
        <v>639.270894775332</v>
      </c>
      <c r="AF666" s="0" t="n">
        <f aca="false">E666*O666</f>
        <v>0</v>
      </c>
      <c r="AG666" s="0" t="n">
        <f aca="false">((1-X666)*O666+X666*P666)*D666</f>
        <v>639.270894775332</v>
      </c>
      <c r="AH666" s="0" t="n">
        <f aca="false">D666*(LN(EXP(S666)+EXP(T666)))</f>
        <v>-0.463817288705017</v>
      </c>
      <c r="AJ666" s="0" t="n">
        <f aca="false">$J$5</f>
        <v>10</v>
      </c>
      <c r="AK666" s="4" t="n">
        <f aca="false">AJ666+MAX(K666,AK$10:AK665)</f>
        <v>6788.82985076217</v>
      </c>
      <c r="AL666" s="5" t="n">
        <f aca="false">AK666-K666</f>
        <v>639.270894775332</v>
      </c>
      <c r="AM666" s="0" t="n">
        <f aca="false">-G666*AL666/3600</f>
        <v>-1.50072497691311</v>
      </c>
      <c r="AN666" s="0" t="n">
        <f aca="false">-H666*AL666/3600</f>
        <v>-0.463817294108713</v>
      </c>
      <c r="AO666" s="0" t="n">
        <f aca="false">AM666*E666+AN666*D666</f>
        <v>-0.463817294108713</v>
      </c>
      <c r="AP666" s="0" t="n">
        <f aca="false">AL666*D666</f>
        <v>639.270894775332</v>
      </c>
      <c r="AR666" s="0" t="n">
        <f aca="false">AN666*D666</f>
        <v>-0.463817294108713</v>
      </c>
      <c r="AS666" s="0" t="n">
        <f aca="false">AH666-AR666</f>
        <v>5.40369576862432E-009</v>
      </c>
    </row>
    <row r="667" customFormat="false" ht="12" hidden="false" customHeight="false" outlineLevel="0" collapsed="false">
      <c r="A667" s="3" t="n">
        <f aca="false">A666+1</f>
        <v>658</v>
      </c>
      <c r="B667" s="3" t="n">
        <f aca="false">IF(A667&lt;$N$4/3,0.1,(IF(A667&gt;2*$N$4/3,0.05,0.12)))</f>
        <v>0.12</v>
      </c>
      <c r="C667" s="4" t="n">
        <f aca="true">RAND()</f>
        <v>0.66232340675287</v>
      </c>
      <c r="D667" s="0" t="n">
        <f aca="false">IF((C667&gt;$M$2),1,0)</f>
        <v>0</v>
      </c>
      <c r="E667" s="0" t="n">
        <f aca="false">1-D667</f>
        <v>1</v>
      </c>
      <c r="F667" s="0" t="n">
        <f aca="true">RAND()</f>
        <v>0.795789531307732</v>
      </c>
      <c r="G667" s="0" t="n">
        <f aca="false">7.75+F667*10</f>
        <v>15.7078953130773</v>
      </c>
      <c r="H667" s="0" t="n">
        <f aca="false">LOGINV(F667,2.64,1.139)</f>
        <v>35.9303931548924</v>
      </c>
      <c r="I667" s="0" t="n">
        <v>19.5</v>
      </c>
      <c r="J667" s="4" t="n">
        <f aca="true">-LN(RAND())/B667</f>
        <v>4.85127583601422</v>
      </c>
      <c r="K667" s="4" t="n">
        <f aca="false">K666+J667</f>
        <v>6154.41023182285</v>
      </c>
      <c r="L667" s="4" t="n">
        <f aca="false">(1/$J$4)*(1+AB666)</f>
        <v>10</v>
      </c>
      <c r="M667" s="4" t="n">
        <f aca="false">L667+MAX(K667,Y$10:Y666)</f>
        <v>6798.82985076217</v>
      </c>
      <c r="N667" s="4" t="n">
        <f aca="false">K667</f>
        <v>6154.41023182285</v>
      </c>
      <c r="O667" s="4" t="n">
        <f aca="false">M667-K667</f>
        <v>644.419618939318</v>
      </c>
      <c r="P667" s="4" t="n">
        <f aca="false">N667-K667</f>
        <v>0</v>
      </c>
      <c r="Q667" s="4" t="n">
        <f aca="false">A667-MATCH(K667,$M$9:M666,1)</f>
        <v>64</v>
      </c>
      <c r="R667" s="0" t="n">
        <f aca="false">-G667*(O667/3600)</f>
        <v>-2.81179886444222</v>
      </c>
      <c r="S667" s="0" t="n">
        <f aca="false">-1*I667-(H667*(P667/3600))</f>
        <v>-19.5</v>
      </c>
      <c r="T667" s="0" t="n">
        <f aca="false">-H667*(O667/3600)</f>
        <v>-6.43173618478213</v>
      </c>
      <c r="U667" s="0" t="n">
        <f aca="false">T667-S667</f>
        <v>13.0682638152179</v>
      </c>
      <c r="V667" s="0" t="n">
        <f aca="false">1/(1+EXP(U667))</f>
        <v>2.11117493041366E-006</v>
      </c>
      <c r="W667" s="0" t="n">
        <f aca="true">RAND()</f>
        <v>0.148102665991684</v>
      </c>
      <c r="X667" s="0" t="n">
        <f aca="false">IF(W667&lt;V667,1,0)</f>
        <v>0</v>
      </c>
      <c r="Y667" s="0" t="n">
        <f aca="false">(M667*(1-X667)+N667*X667)*D667+M667*E667</f>
        <v>6798.82985076217</v>
      </c>
      <c r="Z667" s="0" t="n">
        <f aca="false">((1-X667)*O667+X667*P667)*D667+E667*O667</f>
        <v>644.419618939318</v>
      </c>
      <c r="AA667" s="0" t="n">
        <f aca="false">IF(D667*X667&gt;0,AA666,Q667)</f>
        <v>64</v>
      </c>
      <c r="AB667" s="0" t="n">
        <f aca="false">(X667*D667)</f>
        <v>0</v>
      </c>
      <c r="AC667" s="0" t="n">
        <f aca="false">SUM(AB$10:AB666)/K667</f>
        <v>0.000162485106181135</v>
      </c>
      <c r="AD667" s="0" t="n">
        <f aca="false">R667*E667+D667*(X667*S667+(1-X667)*T667)</f>
        <v>-2.81179886444222</v>
      </c>
      <c r="AE667" s="0" t="n">
        <f aca="false">Z667</f>
        <v>644.419618939318</v>
      </c>
      <c r="AF667" s="0" t="n">
        <f aca="false">E667*O667</f>
        <v>644.419618939318</v>
      </c>
      <c r="AG667" s="0" t="n">
        <f aca="false">((1-X667)*O667+X667*P667)*D667</f>
        <v>0</v>
      </c>
      <c r="AH667" s="0" t="n">
        <f aca="false">D667*(LN(EXP(S667)+EXP(T667)))</f>
        <v>-0</v>
      </c>
      <c r="AJ667" s="0" t="n">
        <f aca="false">$J$5</f>
        <v>10</v>
      </c>
      <c r="AK667" s="4" t="n">
        <f aca="false">AJ667+MAX(K667,AK$10:AK666)</f>
        <v>6798.82985076217</v>
      </c>
      <c r="AL667" s="5" t="n">
        <f aca="false">AK667-K667</f>
        <v>644.419618939318</v>
      </c>
      <c r="AM667" s="0" t="n">
        <f aca="false">-G667*AL667/3600</f>
        <v>-2.81179886444222</v>
      </c>
      <c r="AN667" s="0" t="n">
        <f aca="false">-H667*AL667/3600</f>
        <v>-6.43173618478213</v>
      </c>
      <c r="AO667" s="0" t="n">
        <f aca="false">AM667*E667+AN667*D667</f>
        <v>-2.81179886444222</v>
      </c>
      <c r="AP667" s="0" t="n">
        <f aca="false">AL667*D667</f>
        <v>0</v>
      </c>
      <c r="AR667" s="0" t="n">
        <f aca="false">AN667*D667</f>
        <v>-0</v>
      </c>
      <c r="AS667" s="0" t="n">
        <f aca="false">AH667-AR667</f>
        <v>0</v>
      </c>
    </row>
    <row r="668" customFormat="false" ht="12" hidden="false" customHeight="false" outlineLevel="0" collapsed="false">
      <c r="A668" s="3" t="n">
        <f aca="false">A667+1</f>
        <v>659</v>
      </c>
      <c r="B668" s="3" t="n">
        <f aca="false">IF(A668&lt;$N$4/3,0.1,(IF(A668&gt;2*$N$4/3,0.05,0.12)))</f>
        <v>0.12</v>
      </c>
      <c r="C668" s="4" t="n">
        <f aca="true">RAND()</f>
        <v>0.0812020378469135</v>
      </c>
      <c r="D668" s="0" t="n">
        <f aca="false">IF((C668&gt;$M$2),1,0)</f>
        <v>0</v>
      </c>
      <c r="E668" s="0" t="n">
        <f aca="false">1-D668</f>
        <v>1</v>
      </c>
      <c r="F668" s="0" t="n">
        <f aca="true">RAND()</f>
        <v>0.182864304931729</v>
      </c>
      <c r="G668" s="0" t="n">
        <f aca="false">7.75+F668*10</f>
        <v>9.57864304931729</v>
      </c>
      <c r="H668" s="0" t="n">
        <f aca="false">LOGINV(F668,2.64,1.139)</f>
        <v>5.0016646850887</v>
      </c>
      <c r="I668" s="0" t="n">
        <v>19.5</v>
      </c>
      <c r="J668" s="4" t="n">
        <f aca="true">-LN(RAND())/B668</f>
        <v>10.0783640691047</v>
      </c>
      <c r="K668" s="4" t="n">
        <f aca="false">K667+J668</f>
        <v>6164.48859589196</v>
      </c>
      <c r="L668" s="4" t="n">
        <f aca="false">(1/$J$4)*(1+AB667)</f>
        <v>10</v>
      </c>
      <c r="M668" s="4" t="n">
        <f aca="false">L668+MAX(K668,Y$10:Y667)</f>
        <v>6808.82985076217</v>
      </c>
      <c r="N668" s="4" t="n">
        <f aca="false">K668</f>
        <v>6164.48859589196</v>
      </c>
      <c r="O668" s="4" t="n">
        <f aca="false">M668-K668</f>
        <v>644.341254870214</v>
      </c>
      <c r="P668" s="4" t="n">
        <f aca="false">N668-K668</f>
        <v>0</v>
      </c>
      <c r="Q668" s="4" t="n">
        <f aca="false">A668-MATCH(K668,$M$9:M667,1)</f>
        <v>64</v>
      </c>
      <c r="R668" s="0" t="n">
        <f aca="false">-G668*(O668/3600)</f>
        <v>-1.71442080065304</v>
      </c>
      <c r="S668" s="0" t="n">
        <f aca="false">-1*I668-(H668*(P668/3600))</f>
        <v>-19.5</v>
      </c>
      <c r="T668" s="0" t="n">
        <f aca="false">-H668*(O668/3600)</f>
        <v>-0.895216361008356</v>
      </c>
      <c r="U668" s="0" t="n">
        <f aca="false">T668-S668</f>
        <v>18.6047836389916</v>
      </c>
      <c r="V668" s="0" t="n">
        <f aca="false">1/(1+EXP(U668))</f>
        <v>8.31850199243574E-009</v>
      </c>
      <c r="W668" s="0" t="n">
        <f aca="true">RAND()</f>
        <v>0.142579896180147</v>
      </c>
      <c r="X668" s="0" t="n">
        <f aca="false">IF(W668&lt;V668,1,0)</f>
        <v>0</v>
      </c>
      <c r="Y668" s="0" t="n">
        <f aca="false">(M668*(1-X668)+N668*X668)*D668+M668*E668</f>
        <v>6808.82985076217</v>
      </c>
      <c r="Z668" s="0" t="n">
        <f aca="false">((1-X668)*O668+X668*P668)*D668+E668*O668</f>
        <v>644.341254870214</v>
      </c>
      <c r="AA668" s="0" t="n">
        <f aca="false">IF(D668*X668&gt;0,AA667,Q668)</f>
        <v>64</v>
      </c>
      <c r="AB668" s="0" t="n">
        <f aca="false">(X668*D668)</f>
        <v>0</v>
      </c>
      <c r="AC668" s="0" t="n">
        <f aca="false">SUM(AB$10:AB667)/K668</f>
        <v>0.000162219458182858</v>
      </c>
      <c r="AD668" s="0" t="n">
        <f aca="false">R668*E668+D668*(X668*S668+(1-X668)*T668)</f>
        <v>-1.71442080065304</v>
      </c>
      <c r="AE668" s="0" t="n">
        <f aca="false">Z668</f>
        <v>644.341254870214</v>
      </c>
      <c r="AF668" s="0" t="n">
        <f aca="false">E668*O668</f>
        <v>644.341254870214</v>
      </c>
      <c r="AG668" s="0" t="n">
        <f aca="false">((1-X668)*O668+X668*P668)*D668</f>
        <v>0</v>
      </c>
      <c r="AH668" s="0" t="n">
        <f aca="false">D668*(LN(EXP(S668)+EXP(T668)))</f>
        <v>-0</v>
      </c>
      <c r="AJ668" s="0" t="n">
        <f aca="false">$J$5</f>
        <v>10</v>
      </c>
      <c r="AK668" s="4" t="n">
        <f aca="false">AJ668+MAX(K668,AK$10:AK667)</f>
        <v>6808.82985076217</v>
      </c>
      <c r="AL668" s="5" t="n">
        <f aca="false">AK668-K668</f>
        <v>644.341254870214</v>
      </c>
      <c r="AM668" s="0" t="n">
        <f aca="false">-G668*AL668/3600</f>
        <v>-1.71442080065304</v>
      </c>
      <c r="AN668" s="0" t="n">
        <f aca="false">-H668*AL668/3600</f>
        <v>-0.895216361008356</v>
      </c>
      <c r="AO668" s="0" t="n">
        <f aca="false">AM668*E668+AN668*D668</f>
        <v>-1.71442080065304</v>
      </c>
      <c r="AP668" s="0" t="n">
        <f aca="false">AL668*D668</f>
        <v>0</v>
      </c>
      <c r="AR668" s="0" t="n">
        <f aca="false">AN668*D668</f>
        <v>-0</v>
      </c>
      <c r="AS668" s="0" t="n">
        <f aca="false">AH668-AR668</f>
        <v>0</v>
      </c>
    </row>
    <row r="669" customFormat="false" ht="12" hidden="false" customHeight="false" outlineLevel="0" collapsed="false">
      <c r="A669" s="3" t="n">
        <f aca="false">A668+1</f>
        <v>660</v>
      </c>
      <c r="B669" s="3" t="n">
        <f aca="false">IF(A669&lt;$N$4/3,0.1,(IF(A669&gt;2*$N$4/3,0.05,0.12)))</f>
        <v>0.12</v>
      </c>
      <c r="C669" s="4" t="n">
        <f aca="true">RAND()</f>
        <v>0.761657102950858</v>
      </c>
      <c r="D669" s="0" t="n">
        <f aca="false">IF((C669&gt;$M$2),1,0)</f>
        <v>0</v>
      </c>
      <c r="E669" s="0" t="n">
        <f aca="false">1-D669</f>
        <v>1</v>
      </c>
      <c r="F669" s="0" t="n">
        <f aca="true">RAND()</f>
        <v>0.8919351959922</v>
      </c>
      <c r="G669" s="0" t="n">
        <f aca="false">7.75+F669*10</f>
        <v>16.669351959922</v>
      </c>
      <c r="H669" s="0" t="n">
        <f aca="false">LOGINV(F669,2.64,1.139)</f>
        <v>57.3293403846479</v>
      </c>
      <c r="I669" s="0" t="n">
        <v>19.5</v>
      </c>
      <c r="J669" s="4" t="n">
        <f aca="true">-LN(RAND())/B669</f>
        <v>0.52327360793081</v>
      </c>
      <c r="K669" s="4" t="n">
        <f aca="false">K668+J669</f>
        <v>6165.01186949989</v>
      </c>
      <c r="L669" s="4" t="n">
        <f aca="false">(1/$J$4)*(1+AB668)</f>
        <v>10</v>
      </c>
      <c r="M669" s="4" t="n">
        <f aca="false">L669+MAX(K669,Y$10:Y668)</f>
        <v>6818.82985076217</v>
      </c>
      <c r="N669" s="4" t="n">
        <f aca="false">K669</f>
        <v>6165.01186949989</v>
      </c>
      <c r="O669" s="4" t="n">
        <f aca="false">M669-K669</f>
        <v>653.817981262283</v>
      </c>
      <c r="P669" s="4" t="n">
        <f aca="false">N669-K669</f>
        <v>0</v>
      </c>
      <c r="Q669" s="4" t="n">
        <f aca="false">A669-MATCH(K669,$M$9:M668,1)</f>
        <v>65</v>
      </c>
      <c r="R669" s="0" t="n">
        <f aca="false">-G669*(O669/3600)</f>
        <v>-3.02742279094075</v>
      </c>
      <c r="S669" s="0" t="n">
        <f aca="false">-1*I669-(H669*(P669/3600))</f>
        <v>-19.5</v>
      </c>
      <c r="T669" s="0" t="n">
        <f aca="false">-H669*(O669/3600)</f>
        <v>-10.4119315548302</v>
      </c>
      <c r="U669" s="0" t="n">
        <f aca="false">T669-S669</f>
        <v>9.08806844516978</v>
      </c>
      <c r="V669" s="0" t="n">
        <f aca="false">1/(1+EXP(U669))</f>
        <v>0.000112993366454171</v>
      </c>
      <c r="W669" s="0" t="n">
        <f aca="true">RAND()</f>
        <v>0.0438849812196174</v>
      </c>
      <c r="X669" s="0" t="n">
        <f aca="false">IF(W669&lt;V669,1,0)</f>
        <v>0</v>
      </c>
      <c r="Y669" s="0" t="n">
        <f aca="false">(M669*(1-X669)+N669*X669)*D669+M669*E669</f>
        <v>6818.82985076217</v>
      </c>
      <c r="Z669" s="0" t="n">
        <f aca="false">((1-X669)*O669+X669*P669)*D669+E669*O669</f>
        <v>653.817981262283</v>
      </c>
      <c r="AA669" s="0" t="n">
        <f aca="false">IF(D669*X669&gt;0,AA668,Q669)</f>
        <v>65</v>
      </c>
      <c r="AB669" s="0" t="n">
        <f aca="false">(X669*D669)</f>
        <v>0</v>
      </c>
      <c r="AC669" s="0" t="n">
        <f aca="false">SUM(AB$10:AB668)/K669</f>
        <v>0.000162205689326778</v>
      </c>
      <c r="AD669" s="0" t="n">
        <f aca="false">R669*E669+D669*(X669*S669+(1-X669)*T669)</f>
        <v>-3.02742279094075</v>
      </c>
      <c r="AE669" s="0" t="n">
        <f aca="false">Z669</f>
        <v>653.817981262283</v>
      </c>
      <c r="AF669" s="0" t="n">
        <f aca="false">E669*O669</f>
        <v>653.817981262283</v>
      </c>
      <c r="AG669" s="0" t="n">
        <f aca="false">((1-X669)*O669+X669*P669)*D669</f>
        <v>0</v>
      </c>
      <c r="AH669" s="0" t="n">
        <f aca="false">D669*(LN(EXP(S669)+EXP(T669)))</f>
        <v>-0</v>
      </c>
      <c r="AJ669" s="0" t="n">
        <f aca="false">$J$5</f>
        <v>10</v>
      </c>
      <c r="AK669" s="4" t="n">
        <f aca="false">AJ669+MAX(K669,AK$10:AK668)</f>
        <v>6818.82985076217</v>
      </c>
      <c r="AL669" s="5" t="n">
        <f aca="false">AK669-K669</f>
        <v>653.817981262283</v>
      </c>
      <c r="AM669" s="0" t="n">
        <f aca="false">-G669*AL669/3600</f>
        <v>-3.02742279094075</v>
      </c>
      <c r="AN669" s="0" t="n">
        <f aca="false">-H669*AL669/3600</f>
        <v>-10.4119315548302</v>
      </c>
      <c r="AO669" s="0" t="n">
        <f aca="false">AM669*E669+AN669*D669</f>
        <v>-3.02742279094075</v>
      </c>
      <c r="AP669" s="0" t="n">
        <f aca="false">AL669*D669</f>
        <v>0</v>
      </c>
      <c r="AR669" s="0" t="n">
        <f aca="false">AN669*D669</f>
        <v>-0</v>
      </c>
      <c r="AS669" s="0" t="n">
        <f aca="false">AH669-AR669</f>
        <v>0</v>
      </c>
    </row>
    <row r="670" customFormat="false" ht="12" hidden="false" customHeight="false" outlineLevel="0" collapsed="false">
      <c r="A670" s="3" t="n">
        <f aca="false">A669+1</f>
        <v>661</v>
      </c>
      <c r="B670" s="3" t="n">
        <f aca="false">IF(A670&lt;$N$4/3,0.1,(IF(A670&gt;2*$N$4/3,0.05,0.12)))</f>
        <v>0.12</v>
      </c>
      <c r="C670" s="4" t="n">
        <f aca="true">RAND()</f>
        <v>0.384737368622222</v>
      </c>
      <c r="D670" s="0" t="n">
        <f aca="false">IF((C670&gt;$M$2),1,0)</f>
        <v>0</v>
      </c>
      <c r="E670" s="0" t="n">
        <f aca="false">1-D670</f>
        <v>1</v>
      </c>
      <c r="F670" s="0" t="n">
        <f aca="true">RAND()</f>
        <v>0.799752979087916</v>
      </c>
      <c r="G670" s="0" t="n">
        <f aca="false">7.75+F670*10</f>
        <v>15.7475297908792</v>
      </c>
      <c r="H670" s="0" t="n">
        <f aca="false">LOGINV(F670,2.64,1.139)</f>
        <v>36.5105761230835</v>
      </c>
      <c r="I670" s="0" t="n">
        <v>19.5</v>
      </c>
      <c r="J670" s="4" t="n">
        <f aca="true">-LN(RAND())/B670</f>
        <v>34.6599583143035</v>
      </c>
      <c r="K670" s="4" t="n">
        <f aca="false">K669+J670</f>
        <v>6199.67182781419</v>
      </c>
      <c r="L670" s="4" t="n">
        <f aca="false">(1/$J$4)*(1+AB669)</f>
        <v>10</v>
      </c>
      <c r="M670" s="4" t="n">
        <f aca="false">L670+MAX(K670,Y$10:Y669)</f>
        <v>6828.82985076217</v>
      </c>
      <c r="N670" s="4" t="n">
        <f aca="false">K670</f>
        <v>6199.67182781419</v>
      </c>
      <c r="O670" s="4" t="n">
        <f aca="false">M670-K670</f>
        <v>629.15802294798</v>
      </c>
      <c r="P670" s="4" t="n">
        <f aca="false">N670-K670</f>
        <v>0</v>
      </c>
      <c r="Q670" s="4" t="n">
        <f aca="false">A670-MATCH(K670,$M$9:M669,1)</f>
        <v>62</v>
      </c>
      <c r="R670" s="0" t="n">
        <f aca="false">-G670*(O670/3600)</f>
        <v>-2.75213464153998</v>
      </c>
      <c r="S670" s="0" t="n">
        <f aca="false">-1*I670-(H670*(P670/3600))</f>
        <v>-19.5</v>
      </c>
      <c r="T670" s="0" t="n">
        <f aca="false">-H670*(O670/3600)</f>
        <v>-6.38081163619192</v>
      </c>
      <c r="U670" s="0" t="n">
        <f aca="false">T670-S670</f>
        <v>13.1191883638081</v>
      </c>
      <c r="V670" s="0" t="n">
        <f aca="false">1/(1+EXP(U670))</f>
        <v>2.00635609310825E-006</v>
      </c>
      <c r="W670" s="0" t="n">
        <f aca="true">RAND()</f>
        <v>0.961583917553071</v>
      </c>
      <c r="X670" s="0" t="n">
        <f aca="false">IF(W670&lt;V670,1,0)</f>
        <v>0</v>
      </c>
      <c r="Y670" s="0" t="n">
        <f aca="false">(M670*(1-X670)+N670*X670)*D670+M670*E670</f>
        <v>6828.82985076217</v>
      </c>
      <c r="Z670" s="0" t="n">
        <f aca="false">((1-X670)*O670+X670*P670)*D670+E670*O670</f>
        <v>629.15802294798</v>
      </c>
      <c r="AA670" s="0" t="n">
        <f aca="false">IF(D670*X670&gt;0,AA669,Q670)</f>
        <v>62</v>
      </c>
      <c r="AB670" s="0" t="n">
        <f aca="false">(X670*D670)</f>
        <v>0</v>
      </c>
      <c r="AC670" s="0" t="n">
        <f aca="false">SUM(AB$10:AB669)/K670</f>
        <v>0.00016129886029025</v>
      </c>
      <c r="AD670" s="0" t="n">
        <f aca="false">R670*E670+D670*(X670*S670+(1-X670)*T670)</f>
        <v>-2.75213464153998</v>
      </c>
      <c r="AE670" s="0" t="n">
        <f aca="false">Z670</f>
        <v>629.15802294798</v>
      </c>
      <c r="AF670" s="0" t="n">
        <f aca="false">E670*O670</f>
        <v>629.15802294798</v>
      </c>
      <c r="AG670" s="0" t="n">
        <f aca="false">((1-X670)*O670+X670*P670)*D670</f>
        <v>0</v>
      </c>
      <c r="AH670" s="0" t="n">
        <f aca="false">D670*(LN(EXP(S670)+EXP(T670)))</f>
        <v>-0</v>
      </c>
      <c r="AJ670" s="0" t="n">
        <f aca="false">$J$5</f>
        <v>10</v>
      </c>
      <c r="AK670" s="4" t="n">
        <f aca="false">AJ670+MAX(K670,AK$10:AK669)</f>
        <v>6828.82985076217</v>
      </c>
      <c r="AL670" s="5" t="n">
        <f aca="false">AK670-K670</f>
        <v>629.15802294798</v>
      </c>
      <c r="AM670" s="0" t="n">
        <f aca="false">-G670*AL670/3600</f>
        <v>-2.75213464153998</v>
      </c>
      <c r="AN670" s="0" t="n">
        <f aca="false">-H670*AL670/3600</f>
        <v>-6.38081163619192</v>
      </c>
      <c r="AO670" s="0" t="n">
        <f aca="false">AM670*E670+AN670*D670</f>
        <v>-2.75213464153998</v>
      </c>
      <c r="AP670" s="0" t="n">
        <f aca="false">AL670*D670</f>
        <v>0</v>
      </c>
      <c r="AR670" s="0" t="n">
        <f aca="false">AN670*D670</f>
        <v>-0</v>
      </c>
      <c r="AS670" s="0" t="n">
        <f aca="false">AH670-AR670</f>
        <v>0</v>
      </c>
    </row>
    <row r="671" customFormat="false" ht="12" hidden="false" customHeight="false" outlineLevel="0" collapsed="false">
      <c r="A671" s="3" t="n">
        <f aca="false">A670+1</f>
        <v>662</v>
      </c>
      <c r="B671" s="3" t="n">
        <f aca="false">IF(A671&lt;$N$4/3,0.1,(IF(A671&gt;2*$N$4/3,0.05,0.12)))</f>
        <v>0.12</v>
      </c>
      <c r="C671" s="4" t="n">
        <f aca="true">RAND()</f>
        <v>0.177717775226143</v>
      </c>
      <c r="D671" s="0" t="n">
        <f aca="false">IF((C671&gt;$M$2),1,0)</f>
        <v>0</v>
      </c>
      <c r="E671" s="0" t="n">
        <f aca="false">1-D671</f>
        <v>1</v>
      </c>
      <c r="F671" s="0" t="n">
        <f aca="true">RAND()</f>
        <v>0.179116744416195</v>
      </c>
      <c r="G671" s="0" t="n">
        <f aca="false">7.75+F671*10</f>
        <v>9.54116744416195</v>
      </c>
      <c r="H671" s="0" t="n">
        <f aca="false">LOGINV(F671,2.64,1.139)</f>
        <v>4.92123389453304</v>
      </c>
      <c r="I671" s="0" t="n">
        <v>19.5</v>
      </c>
      <c r="J671" s="4" t="n">
        <f aca="true">-LN(RAND())/B671</f>
        <v>16.5234134832035</v>
      </c>
      <c r="K671" s="4" t="n">
        <f aca="false">K670+J671</f>
        <v>6216.1952412974</v>
      </c>
      <c r="L671" s="4" t="n">
        <f aca="false">(1/$J$4)*(1+AB670)</f>
        <v>10</v>
      </c>
      <c r="M671" s="4" t="n">
        <f aca="false">L671+MAX(K671,Y$10:Y670)</f>
        <v>6838.82985076217</v>
      </c>
      <c r="N671" s="4" t="n">
        <f aca="false">K671</f>
        <v>6216.1952412974</v>
      </c>
      <c r="O671" s="4" t="n">
        <f aca="false">M671-K671</f>
        <v>622.634609464776</v>
      </c>
      <c r="P671" s="4" t="n">
        <f aca="false">N671-K671</f>
        <v>0</v>
      </c>
      <c r="Q671" s="4" t="n">
        <f aca="false">A671-MATCH(K671,$M$9:M670,1)</f>
        <v>62</v>
      </c>
      <c r="R671" s="0" t="n">
        <f aca="false">-G671*(O671/3600)</f>
        <v>-1.65018362928717</v>
      </c>
      <c r="S671" s="0" t="n">
        <f aca="false">-1*I671-(H671*(P671/3600))</f>
        <v>-19.5</v>
      </c>
      <c r="T671" s="0" t="n">
        <f aca="false">-H671*(O671/3600)</f>
        <v>-0.851147373335389</v>
      </c>
      <c r="U671" s="0" t="n">
        <f aca="false">T671-S671</f>
        <v>18.6488526266646</v>
      </c>
      <c r="V671" s="0" t="n">
        <f aca="false">1/(1+EXP(U671))</f>
        <v>7.95987425261971E-009</v>
      </c>
      <c r="W671" s="0" t="n">
        <f aca="true">RAND()</f>
        <v>0.533054116770135</v>
      </c>
      <c r="X671" s="0" t="n">
        <f aca="false">IF(W671&lt;V671,1,0)</f>
        <v>0</v>
      </c>
      <c r="Y671" s="0" t="n">
        <f aca="false">(M671*(1-X671)+N671*X671)*D671+M671*E671</f>
        <v>6838.82985076217</v>
      </c>
      <c r="Z671" s="0" t="n">
        <f aca="false">((1-X671)*O671+X671*P671)*D671+E671*O671</f>
        <v>622.634609464776</v>
      </c>
      <c r="AA671" s="0" t="n">
        <f aca="false">IF(D671*X671&gt;0,AA670,Q671)</f>
        <v>62</v>
      </c>
      <c r="AB671" s="0" t="n">
        <f aca="false">(X671*D671)</f>
        <v>0</v>
      </c>
      <c r="AC671" s="0" t="n">
        <f aca="false">SUM(AB$10:AB670)/K671</f>
        <v>0.000160870108029504</v>
      </c>
      <c r="AD671" s="0" t="n">
        <f aca="false">R671*E671+D671*(X671*S671+(1-X671)*T671)</f>
        <v>-1.65018362928717</v>
      </c>
      <c r="AE671" s="0" t="n">
        <f aca="false">Z671</f>
        <v>622.634609464776</v>
      </c>
      <c r="AF671" s="0" t="n">
        <f aca="false">E671*O671</f>
        <v>622.634609464776</v>
      </c>
      <c r="AG671" s="0" t="n">
        <f aca="false">((1-X671)*O671+X671*P671)*D671</f>
        <v>0</v>
      </c>
      <c r="AH671" s="0" t="n">
        <f aca="false">D671*(LN(EXP(S671)+EXP(T671)))</f>
        <v>-0</v>
      </c>
      <c r="AJ671" s="0" t="n">
        <f aca="false">$J$5</f>
        <v>10</v>
      </c>
      <c r="AK671" s="4" t="n">
        <f aca="false">AJ671+MAX(K671,AK$10:AK670)</f>
        <v>6838.82985076217</v>
      </c>
      <c r="AL671" s="5" t="n">
        <f aca="false">AK671-K671</f>
        <v>622.634609464776</v>
      </c>
      <c r="AM671" s="0" t="n">
        <f aca="false">-G671*AL671/3600</f>
        <v>-1.65018362928717</v>
      </c>
      <c r="AN671" s="0" t="n">
        <f aca="false">-H671*AL671/3600</f>
        <v>-0.851147373335389</v>
      </c>
      <c r="AO671" s="0" t="n">
        <f aca="false">AM671*E671+AN671*D671</f>
        <v>-1.65018362928717</v>
      </c>
      <c r="AP671" s="0" t="n">
        <f aca="false">AL671*D671</f>
        <v>0</v>
      </c>
      <c r="AR671" s="0" t="n">
        <f aca="false">AN671*D671</f>
        <v>-0</v>
      </c>
      <c r="AS671" s="0" t="n">
        <f aca="false">AH671-AR671</f>
        <v>0</v>
      </c>
    </row>
    <row r="672" customFormat="false" ht="12" hidden="false" customHeight="false" outlineLevel="0" collapsed="false">
      <c r="A672" s="3" t="n">
        <f aca="false">A671+1</f>
        <v>663</v>
      </c>
      <c r="B672" s="3" t="n">
        <f aca="false">IF(A672&lt;$N$4/3,0.1,(IF(A672&gt;2*$N$4/3,0.05,0.12)))</f>
        <v>0.12</v>
      </c>
      <c r="C672" s="4" t="n">
        <f aca="true">RAND()</f>
        <v>0.674552313353117</v>
      </c>
      <c r="D672" s="0" t="n">
        <f aca="false">IF((C672&gt;$M$2),1,0)</f>
        <v>0</v>
      </c>
      <c r="E672" s="0" t="n">
        <f aca="false">1-D672</f>
        <v>1</v>
      </c>
      <c r="F672" s="0" t="n">
        <f aca="true">RAND()</f>
        <v>0.973377462564972</v>
      </c>
      <c r="G672" s="0" t="n">
        <f aca="false">7.75+F672*10</f>
        <v>17.4837746256497</v>
      </c>
      <c r="H672" s="0" t="n">
        <f aca="false">LOGINV(F672,2.64,1.139)</f>
        <v>126.672488989902</v>
      </c>
      <c r="I672" s="0" t="n">
        <v>19.5</v>
      </c>
      <c r="J672" s="4" t="n">
        <f aca="true">-LN(RAND())/B672</f>
        <v>10.7353315238999</v>
      </c>
      <c r="K672" s="4" t="n">
        <f aca="false">K671+J672</f>
        <v>6226.9305728213</v>
      </c>
      <c r="L672" s="4" t="n">
        <f aca="false">(1/$J$4)*(1+AB671)</f>
        <v>10</v>
      </c>
      <c r="M672" s="4" t="n">
        <f aca="false">L672+MAX(K672,Y$10:Y671)</f>
        <v>6848.82985076217</v>
      </c>
      <c r="N672" s="4" t="n">
        <f aca="false">K672</f>
        <v>6226.9305728213</v>
      </c>
      <c r="O672" s="4" t="n">
        <f aca="false">M672-K672</f>
        <v>621.899277940876</v>
      </c>
      <c r="P672" s="4" t="n">
        <f aca="false">N672-K672</f>
        <v>0</v>
      </c>
      <c r="Q672" s="4" t="n">
        <f aca="false">A672-MATCH(K672,$M$9:M671,1)</f>
        <v>62</v>
      </c>
      <c r="R672" s="0" t="n">
        <f aca="false">-G672*(O672/3600)</f>
        <v>-3.02031855982572</v>
      </c>
      <c r="S672" s="0" t="n">
        <f aca="false">-1*I672-(H672*(P672/3600))</f>
        <v>-19.5</v>
      </c>
      <c r="T672" s="0" t="n">
        <f aca="false">-H672*(O672/3600)</f>
        <v>-21.8826470660539</v>
      </c>
      <c r="U672" s="0" t="n">
        <f aca="false">T672-S672</f>
        <v>-2.38264706605385</v>
      </c>
      <c r="V672" s="0" t="n">
        <f aca="false">1/(1+EXP(U672))</f>
        <v>0.915494448212756</v>
      </c>
      <c r="W672" s="0" t="n">
        <f aca="true">RAND()</f>
        <v>0.870438067699998</v>
      </c>
      <c r="X672" s="0" t="n">
        <f aca="false">IF(W672&lt;V672,1,0)</f>
        <v>1</v>
      </c>
      <c r="Y672" s="0" t="n">
        <f aca="false">(M672*(1-X672)+N672*X672)*D672+M672*E672</f>
        <v>6848.82985076217</v>
      </c>
      <c r="Z672" s="0" t="n">
        <f aca="false">((1-X672)*O672+X672*P672)*D672+E672*O672</f>
        <v>621.899277940876</v>
      </c>
      <c r="AA672" s="0" t="n">
        <f aca="false">IF(D672*X672&gt;0,AA671,Q672)</f>
        <v>62</v>
      </c>
      <c r="AB672" s="0" t="n">
        <f aca="false">(X672*D672)</f>
        <v>0</v>
      </c>
      <c r="AC672" s="0" t="n">
        <f aca="false">SUM(AB$10:AB671)/K672</f>
        <v>0.00016059276529671</v>
      </c>
      <c r="AD672" s="0" t="n">
        <f aca="false">R672*E672+D672*(X672*S672+(1-X672)*T672)</f>
        <v>-3.02031855982572</v>
      </c>
      <c r="AE672" s="0" t="n">
        <f aca="false">Z672</f>
        <v>621.899277940876</v>
      </c>
      <c r="AF672" s="0" t="n">
        <f aca="false">E672*O672</f>
        <v>621.899277940876</v>
      </c>
      <c r="AG672" s="0" t="n">
        <f aca="false">((1-X672)*O672+X672*P672)*D672</f>
        <v>0</v>
      </c>
      <c r="AH672" s="0" t="n">
        <f aca="false">D672*(LN(EXP(S672)+EXP(T672)))</f>
        <v>-0</v>
      </c>
      <c r="AJ672" s="0" t="n">
        <f aca="false">$J$5</f>
        <v>10</v>
      </c>
      <c r="AK672" s="4" t="n">
        <f aca="false">AJ672+MAX(K672,AK$10:AK671)</f>
        <v>6848.82985076217</v>
      </c>
      <c r="AL672" s="5" t="n">
        <f aca="false">AK672-K672</f>
        <v>621.899277940876</v>
      </c>
      <c r="AM672" s="0" t="n">
        <f aca="false">-G672*AL672/3600</f>
        <v>-3.02031855982572</v>
      </c>
      <c r="AN672" s="0" t="n">
        <f aca="false">-H672*AL672/3600</f>
        <v>-21.8826470660539</v>
      </c>
      <c r="AO672" s="0" t="n">
        <f aca="false">AM672*E672+AN672*D672</f>
        <v>-3.02031855982572</v>
      </c>
      <c r="AP672" s="0" t="n">
        <f aca="false">AL672*D672</f>
        <v>0</v>
      </c>
      <c r="AR672" s="0" t="n">
        <f aca="false">AN672*D672</f>
        <v>-0</v>
      </c>
      <c r="AS672" s="0" t="n">
        <f aca="false">AH672-AR672</f>
        <v>0</v>
      </c>
    </row>
    <row r="673" customFormat="false" ht="12" hidden="false" customHeight="false" outlineLevel="0" collapsed="false">
      <c r="A673" s="3" t="n">
        <f aca="false">A672+1</f>
        <v>664</v>
      </c>
      <c r="B673" s="3" t="n">
        <f aca="false">IF(A673&lt;$N$4/3,0.1,(IF(A673&gt;2*$N$4/3,0.05,0.12)))</f>
        <v>0.12</v>
      </c>
      <c r="C673" s="4" t="n">
        <f aca="true">RAND()</f>
        <v>0.553271150727084</v>
      </c>
      <c r="D673" s="0" t="n">
        <f aca="false">IF((C673&gt;$M$2),1,0)</f>
        <v>0</v>
      </c>
      <c r="E673" s="0" t="n">
        <f aca="false">1-D673</f>
        <v>1</v>
      </c>
      <c r="F673" s="0" t="n">
        <f aca="true">RAND()</f>
        <v>0.553062011093618</v>
      </c>
      <c r="G673" s="0" t="n">
        <f aca="false">7.75+F673*10</f>
        <v>13.2806201109362</v>
      </c>
      <c r="H673" s="0" t="n">
        <f aca="false">LOGINV(F673,2.64,1.139)</f>
        <v>16.3127031336056</v>
      </c>
      <c r="I673" s="0" t="n">
        <v>19.5</v>
      </c>
      <c r="J673" s="4" t="n">
        <f aca="true">-LN(RAND())/B673</f>
        <v>7.17147068885373</v>
      </c>
      <c r="K673" s="4" t="n">
        <f aca="false">K672+J673</f>
        <v>6234.10204351015</v>
      </c>
      <c r="L673" s="4" t="n">
        <f aca="false">(1/$J$4)*(1+AB672)</f>
        <v>10</v>
      </c>
      <c r="M673" s="4" t="n">
        <f aca="false">L673+MAX(K673,Y$10:Y672)</f>
        <v>6858.82985076217</v>
      </c>
      <c r="N673" s="4" t="n">
        <f aca="false">K673</f>
        <v>6234.10204351015</v>
      </c>
      <c r="O673" s="4" t="n">
        <f aca="false">M673-K673</f>
        <v>624.727807252023</v>
      </c>
      <c r="P673" s="4" t="n">
        <f aca="false">N673-K673</f>
        <v>0</v>
      </c>
      <c r="Q673" s="4" t="n">
        <f aca="false">A673-MATCH(K673,$M$9:M672,1)</f>
        <v>62</v>
      </c>
      <c r="R673" s="0" t="n">
        <f aca="false">-G673*(O673/3600)</f>
        <v>-2.30465907801452</v>
      </c>
      <c r="S673" s="0" t="n">
        <f aca="false">-1*I673-(H673*(P673/3600))</f>
        <v>-19.5</v>
      </c>
      <c r="T673" s="0" t="n">
        <f aca="false">-H673*(O673/3600)</f>
        <v>-2.83083312750295</v>
      </c>
      <c r="U673" s="0" t="n">
        <f aca="false">T673-S673</f>
        <v>16.6691668724971</v>
      </c>
      <c r="V673" s="0" t="n">
        <f aca="false">1/(1+EXP(U673))</f>
        <v>5.76332067012252E-008</v>
      </c>
      <c r="W673" s="0" t="n">
        <f aca="true">RAND()</f>
        <v>0.198429758700836</v>
      </c>
      <c r="X673" s="0" t="n">
        <f aca="false">IF(W673&lt;V673,1,0)</f>
        <v>0</v>
      </c>
      <c r="Y673" s="0" t="n">
        <f aca="false">(M673*(1-X673)+N673*X673)*D673+M673*E673</f>
        <v>6858.82985076217</v>
      </c>
      <c r="Z673" s="0" t="n">
        <f aca="false">((1-X673)*O673+X673*P673)*D673+E673*O673</f>
        <v>624.727807252023</v>
      </c>
      <c r="AA673" s="0" t="n">
        <f aca="false">IF(D673*X673&gt;0,AA672,Q673)</f>
        <v>62</v>
      </c>
      <c r="AB673" s="0" t="n">
        <f aca="false">(X673*D673)</f>
        <v>0</v>
      </c>
      <c r="AC673" s="0" t="n">
        <f aca="false">SUM(AB$10:AB672)/K673</f>
        <v>0.000160408025569781</v>
      </c>
      <c r="AD673" s="0" t="n">
        <f aca="false">R673*E673+D673*(X673*S673+(1-X673)*T673)</f>
        <v>-2.30465907801452</v>
      </c>
      <c r="AE673" s="0" t="n">
        <f aca="false">Z673</f>
        <v>624.727807252023</v>
      </c>
      <c r="AF673" s="0" t="n">
        <f aca="false">E673*O673</f>
        <v>624.727807252023</v>
      </c>
      <c r="AG673" s="0" t="n">
        <f aca="false">((1-X673)*O673+X673*P673)*D673</f>
        <v>0</v>
      </c>
      <c r="AH673" s="0" t="n">
        <f aca="false">D673*(LN(EXP(S673)+EXP(T673)))</f>
        <v>-0</v>
      </c>
      <c r="AJ673" s="0" t="n">
        <f aca="false">$J$5</f>
        <v>10</v>
      </c>
      <c r="AK673" s="4" t="n">
        <f aca="false">AJ673+MAX(K673,AK$10:AK672)</f>
        <v>6858.82985076217</v>
      </c>
      <c r="AL673" s="5" t="n">
        <f aca="false">AK673-K673</f>
        <v>624.727807252023</v>
      </c>
      <c r="AM673" s="0" t="n">
        <f aca="false">-G673*AL673/3600</f>
        <v>-2.30465907801452</v>
      </c>
      <c r="AN673" s="0" t="n">
        <f aca="false">-H673*AL673/3600</f>
        <v>-2.83083312750295</v>
      </c>
      <c r="AO673" s="0" t="n">
        <f aca="false">AM673*E673+AN673*D673</f>
        <v>-2.30465907801452</v>
      </c>
      <c r="AP673" s="0" t="n">
        <f aca="false">AL673*D673</f>
        <v>0</v>
      </c>
      <c r="AR673" s="0" t="n">
        <f aca="false">AN673*D673</f>
        <v>-0</v>
      </c>
      <c r="AS673" s="0" t="n">
        <f aca="false">AH673-AR673</f>
        <v>0</v>
      </c>
    </row>
    <row r="674" customFormat="false" ht="12" hidden="false" customHeight="false" outlineLevel="0" collapsed="false">
      <c r="A674" s="3" t="n">
        <f aca="false">A673+1</f>
        <v>665</v>
      </c>
      <c r="B674" s="3" t="n">
        <f aca="false">IF(A674&lt;$N$4/3,0.1,(IF(A674&gt;2*$N$4/3,0.05,0.12)))</f>
        <v>0.12</v>
      </c>
      <c r="C674" s="4" t="n">
        <f aca="true">RAND()</f>
        <v>0.937760305331439</v>
      </c>
      <c r="D674" s="0" t="n">
        <f aca="false">IF((C674&gt;$M$2),1,0)</f>
        <v>1</v>
      </c>
      <c r="E674" s="0" t="n">
        <f aca="false">1-D674</f>
        <v>0</v>
      </c>
      <c r="F674" s="0" t="n">
        <f aca="true">RAND()</f>
        <v>0.661981418038168</v>
      </c>
      <c r="G674" s="0" t="n">
        <f aca="false">7.75+F674*10</f>
        <v>14.3698141803817</v>
      </c>
      <c r="H674" s="0" t="n">
        <f aca="false">LOGINV(F674,2.64,1.139)</f>
        <v>22.5551117348135</v>
      </c>
      <c r="I674" s="0" t="n">
        <v>19.5</v>
      </c>
      <c r="J674" s="4" t="n">
        <f aca="true">-LN(RAND())/B674</f>
        <v>19.9941002893921</v>
      </c>
      <c r="K674" s="4" t="n">
        <f aca="false">K673+J674</f>
        <v>6254.09614379954</v>
      </c>
      <c r="L674" s="4" t="n">
        <f aca="false">(1/$J$4)*(1+AB673)</f>
        <v>10</v>
      </c>
      <c r="M674" s="4" t="n">
        <f aca="false">L674+MAX(K674,Y$10:Y673)</f>
        <v>6868.82985076217</v>
      </c>
      <c r="N674" s="4" t="n">
        <f aca="false">K674</f>
        <v>6254.09614379954</v>
      </c>
      <c r="O674" s="4" t="n">
        <f aca="false">M674-K674</f>
        <v>614.733706962631</v>
      </c>
      <c r="P674" s="4" t="n">
        <f aca="false">N674-K674</f>
        <v>0</v>
      </c>
      <c r="Q674" s="4" t="n">
        <f aca="false">A674-MATCH(K674,$M$9:M673,1)</f>
        <v>61</v>
      </c>
      <c r="R674" s="0" t="n">
        <f aca="false">-G674*(O674/3600)</f>
        <v>-2.4537803165195</v>
      </c>
      <c r="S674" s="0" t="n">
        <f aca="false">-1*I674-(H674*(P674/3600))</f>
        <v>-19.5</v>
      </c>
      <c r="T674" s="0" t="n">
        <f aca="false">-H674*(O674/3600)</f>
        <v>-3.85149651324951</v>
      </c>
      <c r="U674" s="0" t="n">
        <f aca="false">T674-S674</f>
        <v>15.6485034867505</v>
      </c>
      <c r="V674" s="0" t="n">
        <f aca="false">1/(1+EXP(U674))</f>
        <v>1.59934153557418E-007</v>
      </c>
      <c r="W674" s="0" t="n">
        <f aca="true">RAND()</f>
        <v>0.036235059149328</v>
      </c>
      <c r="X674" s="0" t="n">
        <f aca="false">IF(W674&lt;V674,1,0)</f>
        <v>0</v>
      </c>
      <c r="Y674" s="0" t="n">
        <f aca="false">(M674*(1-X674)+N674*X674)*D674+M674*E674</f>
        <v>6868.82985076217</v>
      </c>
      <c r="Z674" s="0" t="n">
        <f aca="false">((1-X674)*O674+X674*P674)*D674+E674*O674</f>
        <v>614.733706962631</v>
      </c>
      <c r="AA674" s="0" t="n">
        <f aca="false">IF(D674*X674&gt;0,AA673,Q674)</f>
        <v>61</v>
      </c>
      <c r="AB674" s="0" t="n">
        <f aca="false">(X674*D674)</f>
        <v>0</v>
      </c>
      <c r="AC674" s="0" t="n">
        <f aca="false">SUM(AB$10:AB673)/K674</f>
        <v>0.000159895207398022</v>
      </c>
      <c r="AD674" s="0" t="n">
        <f aca="false">R674*E674+D674*(X674*S674+(1-X674)*T674)</f>
        <v>-3.85149651324951</v>
      </c>
      <c r="AE674" s="0" t="n">
        <f aca="false">Z674</f>
        <v>614.733706962631</v>
      </c>
      <c r="AF674" s="0" t="n">
        <f aca="false">E674*O674</f>
        <v>0</v>
      </c>
      <c r="AG674" s="0" t="n">
        <f aca="false">((1-X674)*O674+X674*P674)*D674</f>
        <v>614.733706962631</v>
      </c>
      <c r="AH674" s="0" t="n">
        <f aca="false">D674*(LN(EXP(S674)+EXP(T674)))</f>
        <v>-3.85149635331534</v>
      </c>
      <c r="AJ674" s="0" t="n">
        <f aca="false">$J$5</f>
        <v>10</v>
      </c>
      <c r="AK674" s="4" t="n">
        <f aca="false">AJ674+MAX(K674,AK$10:AK673)</f>
        <v>6868.82985076217</v>
      </c>
      <c r="AL674" s="5" t="n">
        <f aca="false">AK674-K674</f>
        <v>614.733706962631</v>
      </c>
      <c r="AM674" s="0" t="n">
        <f aca="false">-G674*AL674/3600</f>
        <v>-2.4537803165195</v>
      </c>
      <c r="AN674" s="0" t="n">
        <f aca="false">-H674*AL674/3600</f>
        <v>-3.85149651324951</v>
      </c>
      <c r="AO674" s="0" t="n">
        <f aca="false">AM674*E674+AN674*D674</f>
        <v>-3.85149651324951</v>
      </c>
      <c r="AP674" s="0" t="n">
        <f aca="false">AL674*D674</f>
        <v>614.733706962631</v>
      </c>
      <c r="AR674" s="0" t="n">
        <f aca="false">AN674*D674</f>
        <v>-3.85149651324951</v>
      </c>
      <c r="AS674" s="0" t="n">
        <f aca="false">AH674-AR674</f>
        <v>1.59934166799047E-007</v>
      </c>
    </row>
    <row r="675" customFormat="false" ht="12" hidden="false" customHeight="false" outlineLevel="0" collapsed="false">
      <c r="A675" s="3" t="n">
        <f aca="false">A674+1</f>
        <v>666</v>
      </c>
      <c r="B675" s="3" t="n">
        <f aca="false">IF(A675&lt;$N$4/3,0.1,(IF(A675&gt;2*$N$4/3,0.05,0.12)))</f>
        <v>0.12</v>
      </c>
      <c r="C675" s="4" t="n">
        <f aca="true">RAND()</f>
        <v>0.94222811834078</v>
      </c>
      <c r="D675" s="0" t="n">
        <f aca="false">IF((C675&gt;$M$2),1,0)</f>
        <v>1</v>
      </c>
      <c r="E675" s="0" t="n">
        <f aca="false">1-D675</f>
        <v>0</v>
      </c>
      <c r="F675" s="0" t="n">
        <f aca="true">RAND()</f>
        <v>0.462274137974329</v>
      </c>
      <c r="G675" s="0" t="n">
        <f aca="false">7.75+F675*10</f>
        <v>12.3727413797433</v>
      </c>
      <c r="H675" s="0" t="n">
        <f aca="false">LOGINV(F675,2.64,1.139)</f>
        <v>12.5802705426432</v>
      </c>
      <c r="I675" s="0" t="n">
        <v>19.5</v>
      </c>
      <c r="J675" s="4" t="n">
        <f aca="true">-LN(RAND())/B675</f>
        <v>3.51760375368952</v>
      </c>
      <c r="K675" s="4" t="n">
        <f aca="false">K674+J675</f>
        <v>6257.61374755323</v>
      </c>
      <c r="L675" s="4" t="n">
        <f aca="false">(1/$J$4)*(1+AB674)</f>
        <v>10</v>
      </c>
      <c r="M675" s="4" t="n">
        <f aca="false">L675+MAX(K675,Y$10:Y674)</f>
        <v>6878.82985076217</v>
      </c>
      <c r="N675" s="4" t="n">
        <f aca="false">K675</f>
        <v>6257.61374755323</v>
      </c>
      <c r="O675" s="4" t="n">
        <f aca="false">M675-K675</f>
        <v>621.216103208942</v>
      </c>
      <c r="P675" s="4" t="n">
        <f aca="false">N675-K675</f>
        <v>0</v>
      </c>
      <c r="Q675" s="4" t="n">
        <f aca="false">A675-MATCH(K675,$M$9:M674,1)</f>
        <v>62</v>
      </c>
      <c r="R675" s="0" t="n">
        <f aca="false">-G675*(O675/3600)</f>
        <v>-2.13504060720449</v>
      </c>
      <c r="S675" s="0" t="n">
        <f aca="false">-1*I675-(H675*(P675/3600))</f>
        <v>-19.5</v>
      </c>
      <c r="T675" s="0" t="n">
        <f aca="false">-H675*(O675/3600)</f>
        <v>-2.17085184550418</v>
      </c>
      <c r="U675" s="0" t="n">
        <f aca="false">T675-S675</f>
        <v>17.3291481544958</v>
      </c>
      <c r="V675" s="0" t="n">
        <f aca="false">1/(1+EXP(U675))</f>
        <v>2.9788358197308E-008</v>
      </c>
      <c r="W675" s="0" t="n">
        <f aca="true">RAND()</f>
        <v>0.800277991277377</v>
      </c>
      <c r="X675" s="0" t="n">
        <f aca="false">IF(W675&lt;V675,1,0)</f>
        <v>0</v>
      </c>
      <c r="Y675" s="0" t="n">
        <f aca="false">(M675*(1-X675)+N675*X675)*D675+M675*E675</f>
        <v>6878.82985076217</v>
      </c>
      <c r="Z675" s="0" t="n">
        <f aca="false">((1-X675)*O675+X675*P675)*D675+E675*O675</f>
        <v>621.216103208942</v>
      </c>
      <c r="AA675" s="0" t="n">
        <f aca="false">IF(D675*X675&gt;0,AA674,Q675)</f>
        <v>62</v>
      </c>
      <c r="AB675" s="0" t="n">
        <f aca="false">(X675*D675)</f>
        <v>0</v>
      </c>
      <c r="AC675" s="0" t="n">
        <f aca="false">SUM(AB$10:AB674)/K675</f>
        <v>0.000159805325215384</v>
      </c>
      <c r="AD675" s="0" t="n">
        <f aca="false">R675*E675+D675*(X675*S675+(1-X675)*T675)</f>
        <v>-2.17085184550418</v>
      </c>
      <c r="AE675" s="0" t="n">
        <f aca="false">Z675</f>
        <v>621.216103208942</v>
      </c>
      <c r="AF675" s="0" t="n">
        <f aca="false">E675*O675</f>
        <v>0</v>
      </c>
      <c r="AG675" s="0" t="n">
        <f aca="false">((1-X675)*O675+X675*P675)*D675</f>
        <v>621.216103208942</v>
      </c>
      <c r="AH675" s="0" t="n">
        <f aca="false">D675*(LN(EXP(S675)+EXP(T675)))</f>
        <v>-2.17085181571582</v>
      </c>
      <c r="AJ675" s="0" t="n">
        <f aca="false">$J$5</f>
        <v>10</v>
      </c>
      <c r="AK675" s="4" t="n">
        <f aca="false">AJ675+MAX(K675,AK$10:AK674)</f>
        <v>6878.82985076217</v>
      </c>
      <c r="AL675" s="5" t="n">
        <f aca="false">AK675-K675</f>
        <v>621.216103208942</v>
      </c>
      <c r="AM675" s="0" t="n">
        <f aca="false">-G675*AL675/3600</f>
        <v>-2.13504060720449</v>
      </c>
      <c r="AN675" s="0" t="n">
        <f aca="false">-H675*AL675/3600</f>
        <v>-2.17085184550418</v>
      </c>
      <c r="AO675" s="0" t="n">
        <f aca="false">AM675*E675+AN675*D675</f>
        <v>-2.17085184550418</v>
      </c>
      <c r="AP675" s="0" t="n">
        <f aca="false">AL675*D675</f>
        <v>621.216103208942</v>
      </c>
      <c r="AR675" s="0" t="n">
        <f aca="false">AN675*D675</f>
        <v>-2.17085184550418</v>
      </c>
      <c r="AS675" s="0" t="n">
        <f aca="false">AH675-AR675</f>
        <v>2.97883584465808E-008</v>
      </c>
    </row>
    <row r="676" customFormat="false" ht="12" hidden="false" customHeight="false" outlineLevel="0" collapsed="false">
      <c r="A676" s="3" t="n">
        <f aca="false">A675+1</f>
        <v>667</v>
      </c>
      <c r="B676" s="3" t="n">
        <f aca="false">IF(A676&lt;$N$4/3,0.1,(IF(A676&gt;2*$N$4/3,0.05,0.12)))</f>
        <v>0.05</v>
      </c>
      <c r="C676" s="4" t="n">
        <f aca="true">RAND()</f>
        <v>0.151466685052589</v>
      </c>
      <c r="D676" s="0" t="n">
        <f aca="false">IF((C676&gt;$M$2),1,0)</f>
        <v>0</v>
      </c>
      <c r="E676" s="0" t="n">
        <f aca="false">1-D676</f>
        <v>1</v>
      </c>
      <c r="F676" s="0" t="n">
        <f aca="true">RAND()</f>
        <v>0.848530110698295</v>
      </c>
      <c r="G676" s="0" t="n">
        <f aca="false">7.75+F676*10</f>
        <v>16.2353011069829</v>
      </c>
      <c r="H676" s="0" t="n">
        <f aca="false">LOGINV(F676,2.64,1.139)</f>
        <v>45.3015119822039</v>
      </c>
      <c r="I676" s="0" t="n">
        <v>19.5</v>
      </c>
      <c r="J676" s="4" t="n">
        <f aca="true">-LN(RAND())/B676</f>
        <v>0.555979631639054</v>
      </c>
      <c r="K676" s="4" t="n">
        <f aca="false">K675+J676</f>
        <v>6258.16972718487</v>
      </c>
      <c r="L676" s="4" t="n">
        <f aca="false">(1/$J$4)*(1+AB675)</f>
        <v>10</v>
      </c>
      <c r="M676" s="4" t="n">
        <f aca="false">L676+MAX(K676,Y$10:Y675)</f>
        <v>6888.82985076217</v>
      </c>
      <c r="N676" s="4" t="n">
        <f aca="false">K676</f>
        <v>6258.16972718487</v>
      </c>
      <c r="O676" s="4" t="n">
        <f aca="false">M676-K676</f>
        <v>630.660123577302</v>
      </c>
      <c r="P676" s="4" t="n">
        <f aca="false">N676-K676</f>
        <v>0</v>
      </c>
      <c r="Q676" s="4" t="n">
        <f aca="false">A676-MATCH(K676,$M$9:M675,1)</f>
        <v>63</v>
      </c>
      <c r="R676" s="0" t="n">
        <f aca="false">-G676*(O676/3600)</f>
        <v>-2.84415472290127</v>
      </c>
      <c r="S676" s="0" t="n">
        <f aca="false">-1*I676-(H676*(P676/3600))</f>
        <v>-19.5</v>
      </c>
      <c r="T676" s="0" t="n">
        <f aca="false">-H676*(O676/3600)</f>
        <v>-7.93607142914872</v>
      </c>
      <c r="U676" s="0" t="n">
        <f aca="false">T676-S676</f>
        <v>11.5639285708513</v>
      </c>
      <c r="V676" s="0" t="n">
        <f aca="false">1/(1+EXP(U676))</f>
        <v>9.50266688930878E-006</v>
      </c>
      <c r="W676" s="0" t="n">
        <f aca="true">RAND()</f>
        <v>0.794920115530123</v>
      </c>
      <c r="X676" s="0" t="n">
        <f aca="false">IF(W676&lt;V676,1,0)</f>
        <v>0</v>
      </c>
      <c r="Y676" s="0" t="n">
        <f aca="false">(M676*(1-X676)+N676*X676)*D676+M676*E676</f>
        <v>6888.82985076217</v>
      </c>
      <c r="Z676" s="0" t="n">
        <f aca="false">((1-X676)*O676+X676*P676)*D676+E676*O676</f>
        <v>630.660123577302</v>
      </c>
      <c r="AA676" s="0" t="n">
        <f aca="false">IF(D676*X676&gt;0,AA675,Q676)</f>
        <v>63</v>
      </c>
      <c r="AB676" s="0" t="n">
        <f aca="false">(X676*D676)</f>
        <v>0</v>
      </c>
      <c r="AC676" s="0" t="n">
        <f aca="false">SUM(AB$10:AB675)/K676</f>
        <v>0.000159791128012412</v>
      </c>
      <c r="AD676" s="0" t="n">
        <f aca="false">R676*E676+D676*(X676*S676+(1-X676)*T676)</f>
        <v>-2.84415472290127</v>
      </c>
      <c r="AE676" s="0" t="n">
        <f aca="false">Z676</f>
        <v>630.660123577302</v>
      </c>
      <c r="AF676" s="0" t="n">
        <f aca="false">E676*O676</f>
        <v>630.660123577302</v>
      </c>
      <c r="AG676" s="0" t="n">
        <f aca="false">((1-X676)*O676+X676*P676)*D676</f>
        <v>0</v>
      </c>
      <c r="AH676" s="0" t="n">
        <f aca="false">D676*(LN(EXP(S676)+EXP(T676)))</f>
        <v>-0</v>
      </c>
      <c r="AJ676" s="0" t="n">
        <f aca="false">$J$5</f>
        <v>10</v>
      </c>
      <c r="AK676" s="4" t="n">
        <f aca="false">AJ676+MAX(K676,AK$10:AK675)</f>
        <v>6888.82985076217</v>
      </c>
      <c r="AL676" s="5" t="n">
        <f aca="false">AK676-K676</f>
        <v>630.660123577302</v>
      </c>
      <c r="AM676" s="0" t="n">
        <f aca="false">-G676*AL676/3600</f>
        <v>-2.84415472290127</v>
      </c>
      <c r="AN676" s="0" t="n">
        <f aca="false">-H676*AL676/3600</f>
        <v>-7.93607142914871</v>
      </c>
      <c r="AO676" s="0" t="n">
        <f aca="false">AM676*E676+AN676*D676</f>
        <v>-2.84415472290127</v>
      </c>
      <c r="AP676" s="0" t="n">
        <f aca="false">AL676*D676</f>
        <v>0</v>
      </c>
      <c r="AR676" s="0" t="n">
        <f aca="false">AN676*D676</f>
        <v>-0</v>
      </c>
      <c r="AS676" s="0" t="n">
        <f aca="false">AH676-AR676</f>
        <v>0</v>
      </c>
    </row>
    <row r="677" customFormat="false" ht="12" hidden="false" customHeight="false" outlineLevel="0" collapsed="false">
      <c r="A677" s="3" t="n">
        <f aca="false">A676+1</f>
        <v>668</v>
      </c>
      <c r="B677" s="3" t="n">
        <f aca="false">IF(A677&lt;$N$4/3,0.1,(IF(A677&gt;2*$N$4/3,0.05,0.12)))</f>
        <v>0.05</v>
      </c>
      <c r="C677" s="4" t="n">
        <f aca="true">RAND()</f>
        <v>0.314185260492051</v>
      </c>
      <c r="D677" s="0" t="n">
        <f aca="false">IF((C677&gt;$M$2),1,0)</f>
        <v>0</v>
      </c>
      <c r="E677" s="0" t="n">
        <f aca="false">1-D677</f>
        <v>1</v>
      </c>
      <c r="F677" s="0" t="n">
        <f aca="true">RAND()</f>
        <v>0.355904253611761</v>
      </c>
      <c r="G677" s="0" t="n">
        <f aca="false">7.75+F677*10</f>
        <v>11.3090425361176</v>
      </c>
      <c r="H677" s="0" t="n">
        <f aca="false">LOGINV(F677,2.64,1.139)</f>
        <v>9.20016267870557</v>
      </c>
      <c r="I677" s="0" t="n">
        <v>19.5</v>
      </c>
      <c r="J677" s="4" t="n">
        <f aca="true">-LN(RAND())/B677</f>
        <v>57.6852640728645</v>
      </c>
      <c r="K677" s="4" t="n">
        <f aca="false">K676+J677</f>
        <v>6315.85499125773</v>
      </c>
      <c r="L677" s="4" t="n">
        <f aca="false">(1/$J$4)*(1+AB676)</f>
        <v>10</v>
      </c>
      <c r="M677" s="4" t="n">
        <f aca="false">L677+MAX(K677,Y$10:Y676)</f>
        <v>6898.82985076217</v>
      </c>
      <c r="N677" s="4" t="n">
        <f aca="false">K677</f>
        <v>6315.85499125773</v>
      </c>
      <c r="O677" s="4" t="n">
        <f aca="false">M677-K677</f>
        <v>582.974859504438</v>
      </c>
      <c r="P677" s="4" t="n">
        <f aca="false">N677-K677</f>
        <v>0</v>
      </c>
      <c r="Q677" s="4" t="n">
        <f aca="false">A677-MATCH(K677,$M$9:M676,1)</f>
        <v>58</v>
      </c>
      <c r="R677" s="0" t="n">
        <f aca="false">-G677*(O677/3600)</f>
        <v>-1.83135763433969</v>
      </c>
      <c r="S677" s="0" t="n">
        <f aca="false">-1*I677-(H677*(P677/3600))</f>
        <v>-19.5</v>
      </c>
      <c r="T677" s="0" t="n">
        <f aca="false">-H677*(O677/3600)</f>
        <v>-1.48985098473232</v>
      </c>
      <c r="U677" s="0" t="n">
        <f aca="false">T677-S677</f>
        <v>18.0101490152677</v>
      </c>
      <c r="V677" s="0" t="n">
        <f aca="false">1/(1+EXP(U677))</f>
        <v>1.50761919367576E-008</v>
      </c>
      <c r="W677" s="0" t="n">
        <f aca="true">RAND()</f>
        <v>0.844002090074218</v>
      </c>
      <c r="X677" s="0" t="n">
        <f aca="false">IF(W677&lt;V677,1,0)</f>
        <v>0</v>
      </c>
      <c r="Y677" s="0" t="n">
        <f aca="false">(M677*(1-X677)+N677*X677)*D677+M677*E677</f>
        <v>6898.82985076217</v>
      </c>
      <c r="Z677" s="0" t="n">
        <f aca="false">((1-X677)*O677+X677*P677)*D677+E677*O677</f>
        <v>582.974859504438</v>
      </c>
      <c r="AA677" s="0" t="n">
        <f aca="false">IF(D677*X677&gt;0,AA676,Q677)</f>
        <v>58</v>
      </c>
      <c r="AB677" s="0" t="n">
        <f aca="false">(X677*D677)</f>
        <v>0</v>
      </c>
      <c r="AC677" s="0" t="n">
        <f aca="false">SUM(AB$10:AB676)/K677</f>
        <v>0.000158331690861202</v>
      </c>
      <c r="AD677" s="0" t="n">
        <f aca="false">R677*E677+D677*(X677*S677+(1-X677)*T677)</f>
        <v>-1.83135763433969</v>
      </c>
      <c r="AE677" s="0" t="n">
        <f aca="false">Z677</f>
        <v>582.974859504438</v>
      </c>
      <c r="AF677" s="0" t="n">
        <f aca="false">E677*O677</f>
        <v>582.974859504438</v>
      </c>
      <c r="AG677" s="0" t="n">
        <f aca="false">((1-X677)*O677+X677*P677)*D677</f>
        <v>0</v>
      </c>
      <c r="AH677" s="0" t="n">
        <f aca="false">D677*(LN(EXP(S677)+EXP(T677)))</f>
        <v>-0</v>
      </c>
      <c r="AJ677" s="0" t="n">
        <f aca="false">$J$5</f>
        <v>10</v>
      </c>
      <c r="AK677" s="4" t="n">
        <f aca="false">AJ677+MAX(K677,AK$10:AK676)</f>
        <v>6898.82985076217</v>
      </c>
      <c r="AL677" s="5" t="n">
        <f aca="false">AK677-K677</f>
        <v>582.974859504438</v>
      </c>
      <c r="AM677" s="0" t="n">
        <f aca="false">-G677*AL677/3600</f>
        <v>-1.83135763433969</v>
      </c>
      <c r="AN677" s="0" t="n">
        <f aca="false">-H677*AL677/3600</f>
        <v>-1.48985098473232</v>
      </c>
      <c r="AO677" s="0" t="n">
        <f aca="false">AM677*E677+AN677*D677</f>
        <v>-1.83135763433969</v>
      </c>
      <c r="AP677" s="0" t="n">
        <f aca="false">AL677*D677</f>
        <v>0</v>
      </c>
      <c r="AR677" s="0" t="n">
        <f aca="false">AN677*D677</f>
        <v>-0</v>
      </c>
      <c r="AS677" s="0" t="n">
        <f aca="false">AH677-AR677</f>
        <v>0</v>
      </c>
    </row>
    <row r="678" customFormat="false" ht="12" hidden="false" customHeight="false" outlineLevel="0" collapsed="false">
      <c r="A678" s="3" t="n">
        <f aca="false">A677+1</f>
        <v>669</v>
      </c>
      <c r="B678" s="3" t="n">
        <f aca="false">IF(A678&lt;$N$4/3,0.1,(IF(A678&gt;2*$N$4/3,0.05,0.12)))</f>
        <v>0.05</v>
      </c>
      <c r="C678" s="4" t="n">
        <f aca="true">RAND()</f>
        <v>0.412723292664135</v>
      </c>
      <c r="D678" s="0" t="n">
        <f aca="false">IF((C678&gt;$M$2),1,0)</f>
        <v>0</v>
      </c>
      <c r="E678" s="0" t="n">
        <f aca="false">1-D678</f>
        <v>1</v>
      </c>
      <c r="F678" s="0" t="n">
        <f aca="true">RAND()</f>
        <v>0.256910482109891</v>
      </c>
      <c r="G678" s="0" t="n">
        <f aca="false">7.75+F678*10</f>
        <v>10.3191048210989</v>
      </c>
      <c r="H678" s="0" t="n">
        <f aca="false">LOGINV(F678,2.64,1.139)</f>
        <v>6.66151729231958</v>
      </c>
      <c r="I678" s="0" t="n">
        <v>19.5</v>
      </c>
      <c r="J678" s="4" t="n">
        <f aca="true">-LN(RAND())/B678</f>
        <v>8.40586358379407</v>
      </c>
      <c r="K678" s="4" t="n">
        <f aca="false">K677+J678</f>
        <v>6324.26085484153</v>
      </c>
      <c r="L678" s="4" t="n">
        <f aca="false">(1/$J$4)*(1+AB677)</f>
        <v>10</v>
      </c>
      <c r="M678" s="4" t="n">
        <f aca="false">L678+MAX(K678,Y$10:Y677)</f>
        <v>6908.82985076217</v>
      </c>
      <c r="N678" s="4" t="n">
        <f aca="false">K678</f>
        <v>6324.26085484153</v>
      </c>
      <c r="O678" s="4" t="n">
        <f aca="false">M678-K678</f>
        <v>584.568995920644</v>
      </c>
      <c r="P678" s="4" t="n">
        <f aca="false">N678-K678</f>
        <v>0</v>
      </c>
      <c r="Q678" s="4" t="n">
        <f aca="false">A678-MATCH(K678,$M$9:M677,1)</f>
        <v>58</v>
      </c>
      <c r="R678" s="0" t="n">
        <f aca="false">-G678*(O678/3600)</f>
        <v>-1.67561909557491</v>
      </c>
      <c r="S678" s="0" t="n">
        <f aca="false">-1*I678-(H678*(P678/3600))</f>
        <v>-19.5</v>
      </c>
      <c r="T678" s="0" t="n">
        <f aca="false">-H678*(O678/3600)</f>
        <v>-1.0816990207998</v>
      </c>
      <c r="U678" s="0" t="n">
        <f aca="false">T678-S678</f>
        <v>18.4183009792002</v>
      </c>
      <c r="V678" s="0" t="n">
        <f aca="false">1/(1+EXP(U678))</f>
        <v>1.00238258859214E-008</v>
      </c>
      <c r="W678" s="0" t="n">
        <f aca="true">RAND()</f>
        <v>0.770888182266396</v>
      </c>
      <c r="X678" s="0" t="n">
        <f aca="false">IF(W678&lt;V678,1,0)</f>
        <v>0</v>
      </c>
      <c r="Y678" s="0" t="n">
        <f aca="false">(M678*(1-X678)+N678*X678)*D678+M678*E678</f>
        <v>6908.82985076217</v>
      </c>
      <c r="Z678" s="0" t="n">
        <f aca="false">((1-X678)*O678+X678*P678)*D678+E678*O678</f>
        <v>584.568995920644</v>
      </c>
      <c r="AA678" s="0" t="n">
        <f aca="false">IF(D678*X678&gt;0,AA677,Q678)</f>
        <v>58</v>
      </c>
      <c r="AB678" s="0" t="n">
        <f aca="false">(X678*D678)</f>
        <v>0</v>
      </c>
      <c r="AC678" s="0" t="n">
        <f aca="false">SUM(AB$10:AB677)/K678</f>
        <v>0.000158121244988567</v>
      </c>
      <c r="AD678" s="0" t="n">
        <f aca="false">R678*E678+D678*(X678*S678+(1-X678)*T678)</f>
        <v>-1.67561909557491</v>
      </c>
      <c r="AE678" s="0" t="n">
        <f aca="false">Z678</f>
        <v>584.568995920644</v>
      </c>
      <c r="AF678" s="0" t="n">
        <f aca="false">E678*O678</f>
        <v>584.568995920644</v>
      </c>
      <c r="AG678" s="0" t="n">
        <f aca="false">((1-X678)*O678+X678*P678)*D678</f>
        <v>0</v>
      </c>
      <c r="AH678" s="0" t="n">
        <f aca="false">D678*(LN(EXP(S678)+EXP(T678)))</f>
        <v>-0</v>
      </c>
      <c r="AJ678" s="0" t="n">
        <f aca="false">$J$5</f>
        <v>10</v>
      </c>
      <c r="AK678" s="4" t="n">
        <f aca="false">AJ678+MAX(K678,AK$10:AK677)</f>
        <v>6908.82985076217</v>
      </c>
      <c r="AL678" s="5" t="n">
        <f aca="false">AK678-K678</f>
        <v>584.568995920644</v>
      </c>
      <c r="AM678" s="0" t="n">
        <f aca="false">-G678*AL678/3600</f>
        <v>-1.67561909557491</v>
      </c>
      <c r="AN678" s="0" t="n">
        <f aca="false">-H678*AL678/3600</f>
        <v>-1.0816990207998</v>
      </c>
      <c r="AO678" s="0" t="n">
        <f aca="false">AM678*E678+AN678*D678</f>
        <v>-1.67561909557491</v>
      </c>
      <c r="AP678" s="0" t="n">
        <f aca="false">AL678*D678</f>
        <v>0</v>
      </c>
      <c r="AR678" s="0" t="n">
        <f aca="false">AN678*D678</f>
        <v>-0</v>
      </c>
      <c r="AS678" s="0" t="n">
        <f aca="false">AH678-AR678</f>
        <v>0</v>
      </c>
    </row>
    <row r="679" customFormat="false" ht="12" hidden="false" customHeight="false" outlineLevel="0" collapsed="false">
      <c r="A679" s="3" t="n">
        <f aca="false">A678+1</f>
        <v>670</v>
      </c>
      <c r="B679" s="3" t="n">
        <f aca="false">IF(A679&lt;$N$4/3,0.1,(IF(A679&gt;2*$N$4/3,0.05,0.12)))</f>
        <v>0.05</v>
      </c>
      <c r="C679" s="4" t="n">
        <f aca="true">RAND()</f>
        <v>0.300884566669408</v>
      </c>
      <c r="D679" s="0" t="n">
        <f aca="false">IF((C679&gt;$M$2),1,0)</f>
        <v>0</v>
      </c>
      <c r="E679" s="0" t="n">
        <f aca="false">1-D679</f>
        <v>1</v>
      </c>
      <c r="F679" s="0" t="n">
        <f aca="true">RAND()</f>
        <v>0.712413989534916</v>
      </c>
      <c r="G679" s="0" t="n">
        <f aca="false">7.75+F679*10</f>
        <v>14.8741398953492</v>
      </c>
      <c r="H679" s="0" t="n">
        <f aca="false">LOGINV(F679,2.64,1.139)</f>
        <v>26.5320492769693</v>
      </c>
      <c r="I679" s="0" t="n">
        <v>19.5</v>
      </c>
      <c r="J679" s="4" t="n">
        <f aca="true">-LN(RAND())/B679</f>
        <v>4.72149237000897</v>
      </c>
      <c r="K679" s="4" t="n">
        <f aca="false">K678+J679</f>
        <v>6328.98234721154</v>
      </c>
      <c r="L679" s="4" t="n">
        <f aca="false">(1/$J$4)*(1+AB678)</f>
        <v>10</v>
      </c>
      <c r="M679" s="4" t="n">
        <f aca="false">L679+MAX(K679,Y$10:Y678)</f>
        <v>6918.82985076217</v>
      </c>
      <c r="N679" s="4" t="n">
        <f aca="false">K679</f>
        <v>6328.98234721154</v>
      </c>
      <c r="O679" s="4" t="n">
        <f aca="false">M679-K679</f>
        <v>589.847503550634</v>
      </c>
      <c r="P679" s="4" t="n">
        <f aca="false">N679-K679</f>
        <v>0</v>
      </c>
      <c r="Q679" s="4" t="n">
        <f aca="false">A679-MATCH(K679,$M$9:M678,1)</f>
        <v>58</v>
      </c>
      <c r="R679" s="0" t="n">
        <f aca="false">-G679*(O679/3600)</f>
        <v>-2.43707619020405</v>
      </c>
      <c r="S679" s="0" t="n">
        <f aca="false">-1*I679-(H679*(P679/3600))</f>
        <v>-19.5</v>
      </c>
      <c r="T679" s="0" t="n">
        <f aca="false">-H679*(O679/3600)</f>
        <v>-4.34718417502855</v>
      </c>
      <c r="U679" s="0" t="n">
        <f aca="false">T679-S679</f>
        <v>15.1528158249715</v>
      </c>
      <c r="V679" s="0" t="n">
        <f aca="false">1/(1+EXP(U679))</f>
        <v>2.62552155370775E-007</v>
      </c>
      <c r="W679" s="0" t="n">
        <f aca="true">RAND()</f>
        <v>0.854318408324564</v>
      </c>
      <c r="X679" s="0" t="n">
        <f aca="false">IF(W679&lt;V679,1,0)</f>
        <v>0</v>
      </c>
      <c r="Y679" s="0" t="n">
        <f aca="false">(M679*(1-X679)+N679*X679)*D679+M679*E679</f>
        <v>6918.82985076217</v>
      </c>
      <c r="Z679" s="0" t="n">
        <f aca="false">((1-X679)*O679+X679*P679)*D679+E679*O679</f>
        <v>589.847503550634</v>
      </c>
      <c r="AA679" s="0" t="n">
        <f aca="false">IF(D679*X679&gt;0,AA678,Q679)</f>
        <v>58</v>
      </c>
      <c r="AB679" s="0" t="n">
        <f aca="false">(X679*D679)</f>
        <v>0</v>
      </c>
      <c r="AC679" s="0" t="n">
        <f aca="false">SUM(AB$10:AB678)/K679</f>
        <v>0.000158003284752498</v>
      </c>
      <c r="AD679" s="0" t="n">
        <f aca="false">R679*E679+D679*(X679*S679+(1-X679)*T679)</f>
        <v>-2.43707619020405</v>
      </c>
      <c r="AE679" s="0" t="n">
        <f aca="false">Z679</f>
        <v>589.847503550634</v>
      </c>
      <c r="AF679" s="0" t="n">
        <f aca="false">E679*O679</f>
        <v>589.847503550634</v>
      </c>
      <c r="AG679" s="0" t="n">
        <f aca="false">((1-X679)*O679+X679*P679)*D679</f>
        <v>0</v>
      </c>
      <c r="AH679" s="0" t="n">
        <f aca="false">D679*(LN(EXP(S679)+EXP(T679)))</f>
        <v>-0</v>
      </c>
      <c r="AJ679" s="0" t="n">
        <f aca="false">$J$5</f>
        <v>10</v>
      </c>
      <c r="AK679" s="4" t="n">
        <f aca="false">AJ679+MAX(K679,AK$10:AK678)</f>
        <v>6918.82985076217</v>
      </c>
      <c r="AL679" s="5" t="n">
        <f aca="false">AK679-K679</f>
        <v>589.847503550634</v>
      </c>
      <c r="AM679" s="0" t="n">
        <f aca="false">-G679*AL679/3600</f>
        <v>-2.43707619020405</v>
      </c>
      <c r="AN679" s="0" t="n">
        <f aca="false">-H679*AL679/3600</f>
        <v>-4.34718417502855</v>
      </c>
      <c r="AO679" s="0" t="n">
        <f aca="false">AM679*E679+AN679*D679</f>
        <v>-2.43707619020405</v>
      </c>
      <c r="AP679" s="0" t="n">
        <f aca="false">AL679*D679</f>
        <v>0</v>
      </c>
      <c r="AR679" s="0" t="n">
        <f aca="false">AN679*D679</f>
        <v>-0</v>
      </c>
      <c r="AS679" s="0" t="n">
        <f aca="false">AH679-AR679</f>
        <v>0</v>
      </c>
    </row>
    <row r="680" customFormat="false" ht="12" hidden="false" customHeight="false" outlineLevel="0" collapsed="false">
      <c r="A680" s="3" t="n">
        <f aca="false">A679+1</f>
        <v>671</v>
      </c>
      <c r="B680" s="3" t="n">
        <f aca="false">IF(A680&lt;$N$4/3,0.1,(IF(A680&gt;2*$N$4/3,0.05,0.12)))</f>
        <v>0.05</v>
      </c>
      <c r="C680" s="4" t="n">
        <f aca="true">RAND()</f>
        <v>0.890800288336155</v>
      </c>
      <c r="D680" s="0" t="n">
        <f aca="false">IF((C680&gt;$M$2),1,0)</f>
        <v>0</v>
      </c>
      <c r="E680" s="0" t="n">
        <f aca="false">1-D680</f>
        <v>1</v>
      </c>
      <c r="F680" s="0" t="n">
        <f aca="true">RAND()</f>
        <v>0.267097065125146</v>
      </c>
      <c r="G680" s="0" t="n">
        <f aca="false">7.75+F680*10</f>
        <v>10.4209706512515</v>
      </c>
      <c r="H680" s="0" t="n">
        <f aca="false">LOGINV(F680,2.64,1.139)</f>
        <v>6.90315748140803</v>
      </c>
      <c r="I680" s="0" t="n">
        <v>19.5</v>
      </c>
      <c r="J680" s="4" t="n">
        <f aca="true">-LN(RAND())/B680</f>
        <v>6.4136424754261</v>
      </c>
      <c r="K680" s="4" t="n">
        <f aca="false">K679+J680</f>
        <v>6335.39598968696</v>
      </c>
      <c r="L680" s="4" t="n">
        <f aca="false">(1/$J$4)*(1+AB679)</f>
        <v>10</v>
      </c>
      <c r="M680" s="4" t="n">
        <f aca="false">L680+MAX(K680,Y$10:Y679)</f>
        <v>6928.82985076217</v>
      </c>
      <c r="N680" s="4" t="n">
        <f aca="false">K680</f>
        <v>6335.39598968696</v>
      </c>
      <c r="O680" s="4" t="n">
        <f aca="false">M680-K680</f>
        <v>593.433861075208</v>
      </c>
      <c r="P680" s="4" t="n">
        <f aca="false">N680-K680</f>
        <v>0</v>
      </c>
      <c r="Q680" s="4" t="n">
        <f aca="false">A680-MATCH(K680,$M$9:M679,1)</f>
        <v>59</v>
      </c>
      <c r="R680" s="0" t="n">
        <f aca="false">-G680*(O680/3600)</f>
        <v>-1.71782134714544</v>
      </c>
      <c r="S680" s="0" t="n">
        <f aca="false">-1*I680-(H680*(P680/3600))</f>
        <v>-19.5</v>
      </c>
      <c r="T680" s="0" t="n">
        <f aca="false">-H680*(O680/3600)</f>
        <v>-1.13793538827838</v>
      </c>
      <c r="U680" s="0" t="n">
        <f aca="false">T680-S680</f>
        <v>18.3620646117216</v>
      </c>
      <c r="V680" s="0" t="n">
        <f aca="false">1/(1+EXP(U680))</f>
        <v>1.060368110216E-008</v>
      </c>
      <c r="W680" s="0" t="n">
        <f aca="true">RAND()</f>
        <v>0.47554206721041</v>
      </c>
      <c r="X680" s="0" t="n">
        <f aca="false">IF(W680&lt;V680,1,0)</f>
        <v>0</v>
      </c>
      <c r="Y680" s="0" t="n">
        <f aca="false">(M680*(1-X680)+N680*X680)*D680+M680*E680</f>
        <v>6928.82985076217</v>
      </c>
      <c r="Z680" s="0" t="n">
        <f aca="false">((1-X680)*O680+X680*P680)*D680+E680*O680</f>
        <v>593.433861075208</v>
      </c>
      <c r="AA680" s="0" t="n">
        <f aca="false">IF(D680*X680&gt;0,AA679,Q680)</f>
        <v>59</v>
      </c>
      <c r="AB680" s="0" t="n">
        <f aca="false">(X680*D680)</f>
        <v>0</v>
      </c>
      <c r="AC680" s="0" t="n">
        <f aca="false">SUM(AB$10:AB679)/K680</f>
        <v>0.000157843330018809</v>
      </c>
      <c r="AD680" s="0" t="n">
        <f aca="false">R680*E680+D680*(X680*S680+(1-X680)*T680)</f>
        <v>-1.71782134714544</v>
      </c>
      <c r="AE680" s="0" t="n">
        <f aca="false">Z680</f>
        <v>593.433861075208</v>
      </c>
      <c r="AF680" s="0" t="n">
        <f aca="false">E680*O680</f>
        <v>593.433861075208</v>
      </c>
      <c r="AG680" s="0" t="n">
        <f aca="false">((1-X680)*O680+X680*P680)*D680</f>
        <v>0</v>
      </c>
      <c r="AH680" s="0" t="n">
        <f aca="false">D680*(LN(EXP(S680)+EXP(T680)))</f>
        <v>-0</v>
      </c>
      <c r="AJ680" s="0" t="n">
        <f aca="false">$J$5</f>
        <v>10</v>
      </c>
      <c r="AK680" s="4" t="n">
        <f aca="false">AJ680+MAX(K680,AK$10:AK679)</f>
        <v>6928.82985076217</v>
      </c>
      <c r="AL680" s="5" t="n">
        <f aca="false">AK680-K680</f>
        <v>593.433861075208</v>
      </c>
      <c r="AM680" s="0" t="n">
        <f aca="false">-G680*AL680/3600</f>
        <v>-1.71782134714544</v>
      </c>
      <c r="AN680" s="0" t="n">
        <f aca="false">-H680*AL680/3600</f>
        <v>-1.13793538827838</v>
      </c>
      <c r="AO680" s="0" t="n">
        <f aca="false">AM680*E680+AN680*D680</f>
        <v>-1.71782134714544</v>
      </c>
      <c r="AP680" s="0" t="n">
        <f aca="false">AL680*D680</f>
        <v>0</v>
      </c>
      <c r="AR680" s="0" t="n">
        <f aca="false">AN680*D680</f>
        <v>-0</v>
      </c>
      <c r="AS680" s="0" t="n">
        <f aca="false">AH680-AR680</f>
        <v>0</v>
      </c>
    </row>
    <row r="681" customFormat="false" ht="12" hidden="false" customHeight="false" outlineLevel="0" collapsed="false">
      <c r="A681" s="3" t="n">
        <f aca="false">A680+1</f>
        <v>672</v>
      </c>
      <c r="B681" s="3" t="n">
        <f aca="false">IF(A681&lt;$N$4/3,0.1,(IF(A681&gt;2*$N$4/3,0.05,0.12)))</f>
        <v>0.05</v>
      </c>
      <c r="C681" s="4" t="n">
        <f aca="true">RAND()</f>
        <v>0.397217367632343</v>
      </c>
      <c r="D681" s="0" t="n">
        <f aca="false">IF((C681&gt;$M$2),1,0)</f>
        <v>0</v>
      </c>
      <c r="E681" s="0" t="n">
        <f aca="false">1-D681</f>
        <v>1</v>
      </c>
      <c r="F681" s="0" t="n">
        <f aca="true">RAND()</f>
        <v>0.454981842325246</v>
      </c>
      <c r="G681" s="0" t="n">
        <f aca="false">7.75+F681*10</f>
        <v>12.2998184232525</v>
      </c>
      <c r="H681" s="0" t="n">
        <f aca="false">LOGINV(F681,2.64,1.139)</f>
        <v>12.3196670027593</v>
      </c>
      <c r="I681" s="0" t="n">
        <v>19.5</v>
      </c>
      <c r="J681" s="4" t="n">
        <f aca="true">-LN(RAND())/B681</f>
        <v>18.7677677958655</v>
      </c>
      <c r="K681" s="4" t="n">
        <f aca="false">K680+J681</f>
        <v>6354.16375748283</v>
      </c>
      <c r="L681" s="4" t="n">
        <f aca="false">(1/$J$4)*(1+AB680)</f>
        <v>10</v>
      </c>
      <c r="M681" s="4" t="n">
        <f aca="false">L681+MAX(K681,Y$10:Y680)</f>
        <v>6938.82985076217</v>
      </c>
      <c r="N681" s="4" t="n">
        <f aca="false">K681</f>
        <v>6354.16375748283</v>
      </c>
      <c r="O681" s="4" t="n">
        <f aca="false">M681-K681</f>
        <v>584.666093279343</v>
      </c>
      <c r="P681" s="4" t="n">
        <f aca="false">N681-K681</f>
        <v>0</v>
      </c>
      <c r="Q681" s="4" t="n">
        <f aca="false">A681-MATCH(K681,$M$9:M680,1)</f>
        <v>58</v>
      </c>
      <c r="R681" s="0" t="n">
        <f aca="false">-G681*(O681/3600)</f>
        <v>-1.99757966265786</v>
      </c>
      <c r="S681" s="0" t="n">
        <f aca="false">-1*I681-(H681*(P681/3600))</f>
        <v>-19.5</v>
      </c>
      <c r="T681" s="0" t="n">
        <f aca="false">-H681*(O681/3600)</f>
        <v>-2.00080321583493</v>
      </c>
      <c r="U681" s="0" t="n">
        <f aca="false">T681-S681</f>
        <v>17.4991967841651</v>
      </c>
      <c r="V681" s="0" t="n">
        <f aca="false">1/(1+EXP(U681))</f>
        <v>2.51301677708442E-008</v>
      </c>
      <c r="W681" s="0" t="n">
        <f aca="true">RAND()</f>
        <v>0.176060921257053</v>
      </c>
      <c r="X681" s="0" t="n">
        <f aca="false">IF(W681&lt;V681,1,0)</f>
        <v>0</v>
      </c>
      <c r="Y681" s="0" t="n">
        <f aca="false">(M681*(1-X681)+N681*X681)*D681+M681*E681</f>
        <v>6938.82985076217</v>
      </c>
      <c r="Z681" s="0" t="n">
        <f aca="false">((1-X681)*O681+X681*P681)*D681+E681*O681</f>
        <v>584.666093279343</v>
      </c>
      <c r="AA681" s="0" t="n">
        <f aca="false">IF(D681*X681&gt;0,AA680,Q681)</f>
        <v>58</v>
      </c>
      <c r="AB681" s="0" t="n">
        <f aca="false">(X681*D681)</f>
        <v>0</v>
      </c>
      <c r="AC681" s="0" t="n">
        <f aca="false">SUM(AB$10:AB680)/K681</f>
        <v>0.000157377121233675</v>
      </c>
      <c r="AD681" s="0" t="n">
        <f aca="false">R681*E681+D681*(X681*S681+(1-X681)*T681)</f>
        <v>-1.99757966265786</v>
      </c>
      <c r="AE681" s="0" t="n">
        <f aca="false">Z681</f>
        <v>584.666093279343</v>
      </c>
      <c r="AF681" s="0" t="n">
        <f aca="false">E681*O681</f>
        <v>584.666093279343</v>
      </c>
      <c r="AG681" s="0" t="n">
        <f aca="false">((1-X681)*O681+X681*P681)*D681</f>
        <v>0</v>
      </c>
      <c r="AH681" s="0" t="n">
        <f aca="false">D681*(LN(EXP(S681)+EXP(T681)))</f>
        <v>-0</v>
      </c>
      <c r="AJ681" s="0" t="n">
        <f aca="false">$J$5</f>
        <v>10</v>
      </c>
      <c r="AK681" s="4" t="n">
        <f aca="false">AJ681+MAX(K681,AK$10:AK680)</f>
        <v>6938.82985076217</v>
      </c>
      <c r="AL681" s="5" t="n">
        <f aca="false">AK681-K681</f>
        <v>584.666093279343</v>
      </c>
      <c r="AM681" s="0" t="n">
        <f aca="false">-G681*AL681/3600</f>
        <v>-1.99757966265786</v>
      </c>
      <c r="AN681" s="0" t="n">
        <f aca="false">-H681*AL681/3600</f>
        <v>-2.00080321583493</v>
      </c>
      <c r="AO681" s="0" t="n">
        <f aca="false">AM681*E681+AN681*D681</f>
        <v>-1.99757966265786</v>
      </c>
      <c r="AP681" s="0" t="n">
        <f aca="false">AL681*D681</f>
        <v>0</v>
      </c>
      <c r="AR681" s="0" t="n">
        <f aca="false">AN681*D681</f>
        <v>-0</v>
      </c>
      <c r="AS681" s="0" t="n">
        <f aca="false">AH681-AR681</f>
        <v>0</v>
      </c>
    </row>
    <row r="682" customFormat="false" ht="12" hidden="false" customHeight="false" outlineLevel="0" collapsed="false">
      <c r="A682" s="3" t="n">
        <f aca="false">A681+1</f>
        <v>673</v>
      </c>
      <c r="B682" s="3" t="n">
        <f aca="false">IF(A682&lt;$N$4/3,0.1,(IF(A682&gt;2*$N$4/3,0.05,0.12)))</f>
        <v>0.05</v>
      </c>
      <c r="C682" s="4" t="n">
        <f aca="true">RAND()</f>
        <v>0.131075849076054</v>
      </c>
      <c r="D682" s="0" t="n">
        <f aca="false">IF((C682&gt;$M$2),1,0)</f>
        <v>0</v>
      </c>
      <c r="E682" s="0" t="n">
        <f aca="false">1-D682</f>
        <v>1</v>
      </c>
      <c r="F682" s="0" t="n">
        <f aca="true">RAND()</f>
        <v>0.579412320090028</v>
      </c>
      <c r="G682" s="0" t="n">
        <f aca="false">7.75+F682*10</f>
        <v>13.5441232009003</v>
      </c>
      <c r="H682" s="0" t="n">
        <f aca="false">LOGINV(F682,2.64,1.139)</f>
        <v>17.606084108386</v>
      </c>
      <c r="I682" s="0" t="n">
        <v>19.5</v>
      </c>
      <c r="J682" s="4" t="n">
        <f aca="true">-LN(RAND())/B682</f>
        <v>8.29321812139957</v>
      </c>
      <c r="K682" s="4" t="n">
        <f aca="false">K681+J682</f>
        <v>6362.45697560423</v>
      </c>
      <c r="L682" s="4" t="n">
        <f aca="false">(1/$J$4)*(1+AB681)</f>
        <v>10</v>
      </c>
      <c r="M682" s="4" t="n">
        <f aca="false">L682+MAX(K682,Y$10:Y681)</f>
        <v>6948.82985076217</v>
      </c>
      <c r="N682" s="4" t="n">
        <f aca="false">K682</f>
        <v>6362.45697560423</v>
      </c>
      <c r="O682" s="4" t="n">
        <f aca="false">M682-K682</f>
        <v>586.372875157944</v>
      </c>
      <c r="P682" s="4" t="n">
        <f aca="false">N682-K682</f>
        <v>0</v>
      </c>
      <c r="Q682" s="4" t="n">
        <f aca="false">A682-MATCH(K682,$M$9:M681,1)</f>
        <v>58</v>
      </c>
      <c r="R682" s="0" t="n">
        <f aca="false">-G682*(O682/3600)</f>
        <v>-2.20608512855703</v>
      </c>
      <c r="S682" s="0" t="n">
        <f aca="false">-1*I682-(H682*(P682/3600))</f>
        <v>-19.5</v>
      </c>
      <c r="T682" s="0" t="n">
        <f aca="false">-H682*(O682/3600)</f>
        <v>-2.86770282191857</v>
      </c>
      <c r="U682" s="0" t="n">
        <f aca="false">T682-S682</f>
        <v>16.6322971780814</v>
      </c>
      <c r="V682" s="0" t="n">
        <f aca="false">1/(1+EXP(U682))</f>
        <v>5.97977837400843E-008</v>
      </c>
      <c r="W682" s="0" t="n">
        <f aca="true">RAND()</f>
        <v>0.26441227425617</v>
      </c>
      <c r="X682" s="0" t="n">
        <f aca="false">IF(W682&lt;V682,1,0)</f>
        <v>0</v>
      </c>
      <c r="Y682" s="0" t="n">
        <f aca="false">(M682*(1-X682)+N682*X682)*D682+M682*E682</f>
        <v>6948.82985076217</v>
      </c>
      <c r="Z682" s="0" t="n">
        <f aca="false">((1-X682)*O682+X682*P682)*D682+E682*O682</f>
        <v>586.372875157944</v>
      </c>
      <c r="AA682" s="0" t="n">
        <f aca="false">IF(D682*X682&gt;0,AA681,Q682)</f>
        <v>58</v>
      </c>
      <c r="AB682" s="0" t="n">
        <f aca="false">(X682*D682)</f>
        <v>0</v>
      </c>
      <c r="AC682" s="0" t="n">
        <f aca="false">SUM(AB$10:AB681)/K682</f>
        <v>0.000157171986205067</v>
      </c>
      <c r="AD682" s="0" t="n">
        <f aca="false">R682*E682+D682*(X682*S682+(1-X682)*T682)</f>
        <v>-2.20608512855703</v>
      </c>
      <c r="AE682" s="0" t="n">
        <f aca="false">Z682</f>
        <v>586.372875157944</v>
      </c>
      <c r="AF682" s="0" t="n">
        <f aca="false">E682*O682</f>
        <v>586.372875157944</v>
      </c>
      <c r="AG682" s="0" t="n">
        <f aca="false">((1-X682)*O682+X682*P682)*D682</f>
        <v>0</v>
      </c>
      <c r="AH682" s="0" t="n">
        <f aca="false">D682*(LN(EXP(S682)+EXP(T682)))</f>
        <v>-0</v>
      </c>
      <c r="AJ682" s="0" t="n">
        <f aca="false">$J$5</f>
        <v>10</v>
      </c>
      <c r="AK682" s="4" t="n">
        <f aca="false">AJ682+MAX(K682,AK$10:AK681)</f>
        <v>6948.82985076217</v>
      </c>
      <c r="AL682" s="5" t="n">
        <f aca="false">AK682-K682</f>
        <v>586.372875157944</v>
      </c>
      <c r="AM682" s="0" t="n">
        <f aca="false">-G682*AL682/3600</f>
        <v>-2.20608512855703</v>
      </c>
      <c r="AN682" s="0" t="n">
        <f aca="false">-H682*AL682/3600</f>
        <v>-2.86770282191857</v>
      </c>
      <c r="AO682" s="0" t="n">
        <f aca="false">AM682*E682+AN682*D682</f>
        <v>-2.20608512855703</v>
      </c>
      <c r="AP682" s="0" t="n">
        <f aca="false">AL682*D682</f>
        <v>0</v>
      </c>
      <c r="AR682" s="0" t="n">
        <f aca="false">AN682*D682</f>
        <v>-0</v>
      </c>
      <c r="AS682" s="0" t="n">
        <f aca="false">AH682-AR682</f>
        <v>0</v>
      </c>
    </row>
    <row r="683" customFormat="false" ht="12" hidden="false" customHeight="false" outlineLevel="0" collapsed="false">
      <c r="A683" s="3" t="n">
        <f aca="false">A682+1</f>
        <v>674</v>
      </c>
      <c r="B683" s="3" t="n">
        <f aca="false">IF(A683&lt;$N$4/3,0.1,(IF(A683&gt;2*$N$4/3,0.05,0.12)))</f>
        <v>0.05</v>
      </c>
      <c r="C683" s="4" t="n">
        <f aca="true">RAND()</f>
        <v>0.532771535939869</v>
      </c>
      <c r="D683" s="0" t="n">
        <f aca="false">IF((C683&gt;$M$2),1,0)</f>
        <v>0</v>
      </c>
      <c r="E683" s="0" t="n">
        <f aca="false">1-D683</f>
        <v>1</v>
      </c>
      <c r="F683" s="0" t="n">
        <f aca="true">RAND()</f>
        <v>0.0230568967297511</v>
      </c>
      <c r="G683" s="0" t="n">
        <f aca="false">7.75+F683*10</f>
        <v>7.98056896729751</v>
      </c>
      <c r="H683" s="0" t="n">
        <f aca="false">LOGINV(F683,2.64,1.139)</f>
        <v>1.44547080860584</v>
      </c>
      <c r="I683" s="0" t="n">
        <v>19.5</v>
      </c>
      <c r="J683" s="4" t="n">
        <f aca="true">-LN(RAND())/B683</f>
        <v>41.7452788145876</v>
      </c>
      <c r="K683" s="4" t="n">
        <f aca="false">K682+J683</f>
        <v>6404.20225441882</v>
      </c>
      <c r="L683" s="4" t="n">
        <f aca="false">(1/$J$4)*(1+AB682)</f>
        <v>10</v>
      </c>
      <c r="M683" s="4" t="n">
        <f aca="false">L683+MAX(K683,Y$10:Y682)</f>
        <v>6958.82985076217</v>
      </c>
      <c r="N683" s="4" t="n">
        <f aca="false">K683</f>
        <v>6404.20225441882</v>
      </c>
      <c r="O683" s="4" t="n">
        <f aca="false">M683-K683</f>
        <v>554.627596343356</v>
      </c>
      <c r="P683" s="4" t="n">
        <f aca="false">N683-K683</f>
        <v>0</v>
      </c>
      <c r="Q683" s="4" t="n">
        <f aca="false">A683-MATCH(K683,$M$9:M682,1)</f>
        <v>55</v>
      </c>
      <c r="R683" s="0" t="n">
        <f aca="false">-G683*(O683/3600)</f>
        <v>-1.22951216216239</v>
      </c>
      <c r="S683" s="0" t="n">
        <f aca="false">-1*I683-(H683*(P683/3600))</f>
        <v>-19.5</v>
      </c>
      <c r="T683" s="0" t="n">
        <f aca="false">-H683*(O683/3600)</f>
        <v>-0.222693888933763</v>
      </c>
      <c r="U683" s="0" t="n">
        <f aca="false">T683-S683</f>
        <v>19.2773061110662</v>
      </c>
      <c r="V683" s="0" t="n">
        <f aca="false">1/(1+EXP(U683))</f>
        <v>4.24592509422835E-009</v>
      </c>
      <c r="W683" s="0" t="n">
        <f aca="true">RAND()</f>
        <v>0.856449211622779</v>
      </c>
      <c r="X683" s="0" t="n">
        <f aca="false">IF(W683&lt;V683,1,0)</f>
        <v>0</v>
      </c>
      <c r="Y683" s="0" t="n">
        <f aca="false">(M683*(1-X683)+N683*X683)*D683+M683*E683</f>
        <v>6958.82985076217</v>
      </c>
      <c r="Z683" s="0" t="n">
        <f aca="false">((1-X683)*O683+X683*P683)*D683+E683*O683</f>
        <v>554.627596343356</v>
      </c>
      <c r="AA683" s="0" t="n">
        <f aca="false">IF(D683*X683&gt;0,AA682,Q683)</f>
        <v>55</v>
      </c>
      <c r="AB683" s="0" t="n">
        <f aca="false">(X683*D683)</f>
        <v>0</v>
      </c>
      <c r="AC683" s="0" t="n">
        <f aca="false">SUM(AB$10:AB682)/K683</f>
        <v>0.000156147473217295</v>
      </c>
      <c r="AD683" s="0" t="n">
        <f aca="false">R683*E683+D683*(X683*S683+(1-X683)*T683)</f>
        <v>-1.22951216216239</v>
      </c>
      <c r="AE683" s="0" t="n">
        <f aca="false">Z683</f>
        <v>554.627596343356</v>
      </c>
      <c r="AF683" s="0" t="n">
        <f aca="false">E683*O683</f>
        <v>554.627596343356</v>
      </c>
      <c r="AG683" s="0" t="n">
        <f aca="false">((1-X683)*O683+X683*P683)*D683</f>
        <v>0</v>
      </c>
      <c r="AH683" s="0" t="n">
        <f aca="false">D683*(LN(EXP(S683)+EXP(T683)))</f>
        <v>-0</v>
      </c>
      <c r="AJ683" s="0" t="n">
        <f aca="false">$J$5</f>
        <v>10</v>
      </c>
      <c r="AK683" s="4" t="n">
        <f aca="false">AJ683+MAX(K683,AK$10:AK682)</f>
        <v>6958.82985076217</v>
      </c>
      <c r="AL683" s="5" t="n">
        <f aca="false">AK683-K683</f>
        <v>554.627596343356</v>
      </c>
      <c r="AM683" s="0" t="n">
        <f aca="false">-G683*AL683/3600</f>
        <v>-1.22951216216239</v>
      </c>
      <c r="AN683" s="0" t="n">
        <f aca="false">-H683*AL683/3600</f>
        <v>-0.222693888933763</v>
      </c>
      <c r="AO683" s="0" t="n">
        <f aca="false">AM683*E683+AN683*D683</f>
        <v>-1.22951216216239</v>
      </c>
      <c r="AP683" s="0" t="n">
        <f aca="false">AL683*D683</f>
        <v>0</v>
      </c>
      <c r="AR683" s="0" t="n">
        <f aca="false">AN683*D683</f>
        <v>-0</v>
      </c>
      <c r="AS683" s="0" t="n">
        <f aca="false">AH683-AR683</f>
        <v>0</v>
      </c>
    </row>
    <row r="684" customFormat="false" ht="12" hidden="false" customHeight="false" outlineLevel="0" collapsed="false">
      <c r="A684" s="3" t="n">
        <f aca="false">A683+1</f>
        <v>675</v>
      </c>
      <c r="B684" s="3" t="n">
        <f aca="false">IF(A684&lt;$N$4/3,0.1,(IF(A684&gt;2*$N$4/3,0.05,0.12)))</f>
        <v>0.05</v>
      </c>
      <c r="C684" s="4" t="n">
        <f aca="true">RAND()</f>
        <v>0.107759242163361</v>
      </c>
      <c r="D684" s="0" t="n">
        <f aca="false">IF((C684&gt;$M$2),1,0)</f>
        <v>0</v>
      </c>
      <c r="E684" s="0" t="n">
        <f aca="false">1-D684</f>
        <v>1</v>
      </c>
      <c r="F684" s="0" t="n">
        <f aca="true">RAND()</f>
        <v>0.826295656003257</v>
      </c>
      <c r="G684" s="0" t="n">
        <f aca="false">7.75+F684*10</f>
        <v>16.0129565600326</v>
      </c>
      <c r="H684" s="0" t="n">
        <f aca="false">LOGINV(F684,2.64,1.139)</f>
        <v>40.8634357598843</v>
      </c>
      <c r="I684" s="0" t="n">
        <v>19.5</v>
      </c>
      <c r="J684" s="4" t="n">
        <f aca="true">-LN(RAND())/B684</f>
        <v>32.7632853939773</v>
      </c>
      <c r="K684" s="4" t="n">
        <f aca="false">K683+J684</f>
        <v>6436.96553981279</v>
      </c>
      <c r="L684" s="4" t="n">
        <f aca="false">(1/$J$4)*(1+AB683)</f>
        <v>10</v>
      </c>
      <c r="M684" s="4" t="n">
        <f aca="false">L684+MAX(K684,Y$10:Y683)</f>
        <v>6968.82985076217</v>
      </c>
      <c r="N684" s="4" t="n">
        <f aca="false">K684</f>
        <v>6436.96553981279</v>
      </c>
      <c r="O684" s="4" t="n">
        <f aca="false">M684-K684</f>
        <v>531.864310949379</v>
      </c>
      <c r="P684" s="4" t="n">
        <f aca="false">N684-K684</f>
        <v>0</v>
      </c>
      <c r="Q684" s="4" t="n">
        <f aca="false">A684-MATCH(K684,$M$9:M683,1)</f>
        <v>53</v>
      </c>
      <c r="R684" s="0" t="n">
        <f aca="false">-G684*(O684/3600)</f>
        <v>-2.36575558529557</v>
      </c>
      <c r="S684" s="0" t="n">
        <f aca="false">-1*I684-(H684*(P684/3600))</f>
        <v>-19.5</v>
      </c>
      <c r="T684" s="0" t="n">
        <f aca="false">-H684*(O684/3600)</f>
        <v>-6.03716752873752</v>
      </c>
      <c r="U684" s="0" t="n">
        <f aca="false">T684-S684</f>
        <v>13.4628324712625</v>
      </c>
      <c r="V684" s="0" t="n">
        <f aca="false">1/(1+EXP(U684))</f>
        <v>1.4228710033867E-006</v>
      </c>
      <c r="W684" s="0" t="n">
        <f aca="true">RAND()</f>
        <v>0.321263180346502</v>
      </c>
      <c r="X684" s="0" t="n">
        <f aca="false">IF(W684&lt;V684,1,0)</f>
        <v>0</v>
      </c>
      <c r="Y684" s="0" t="n">
        <f aca="false">(M684*(1-X684)+N684*X684)*D684+M684*E684</f>
        <v>6968.82985076217</v>
      </c>
      <c r="Z684" s="0" t="n">
        <f aca="false">((1-X684)*O684+X684*P684)*D684+E684*O684</f>
        <v>531.864310949379</v>
      </c>
      <c r="AA684" s="0" t="n">
        <f aca="false">IF(D684*X684&gt;0,AA683,Q684)</f>
        <v>53</v>
      </c>
      <c r="AB684" s="0" t="n">
        <f aca="false">(X684*D684)</f>
        <v>0</v>
      </c>
      <c r="AC684" s="0" t="n">
        <f aca="false">SUM(AB$10:AB683)/K684</f>
        <v>0.000155352703663702</v>
      </c>
      <c r="AD684" s="0" t="n">
        <f aca="false">R684*E684+D684*(X684*S684+(1-X684)*T684)</f>
        <v>-2.36575558529557</v>
      </c>
      <c r="AE684" s="0" t="n">
        <f aca="false">Z684</f>
        <v>531.864310949379</v>
      </c>
      <c r="AF684" s="0" t="n">
        <f aca="false">E684*O684</f>
        <v>531.864310949379</v>
      </c>
      <c r="AG684" s="0" t="n">
        <f aca="false">((1-X684)*O684+X684*P684)*D684</f>
        <v>0</v>
      </c>
      <c r="AH684" s="0" t="n">
        <f aca="false">D684*(LN(EXP(S684)+EXP(T684)))</f>
        <v>-0</v>
      </c>
      <c r="AJ684" s="0" t="n">
        <f aca="false">$J$5</f>
        <v>10</v>
      </c>
      <c r="AK684" s="4" t="n">
        <f aca="false">AJ684+MAX(K684,AK$10:AK683)</f>
        <v>6968.82985076217</v>
      </c>
      <c r="AL684" s="5" t="n">
        <f aca="false">AK684-K684</f>
        <v>531.864310949379</v>
      </c>
      <c r="AM684" s="0" t="n">
        <f aca="false">-G684*AL684/3600</f>
        <v>-2.36575558529557</v>
      </c>
      <c r="AN684" s="0" t="n">
        <f aca="false">-H684*AL684/3600</f>
        <v>-6.03716752873752</v>
      </c>
      <c r="AO684" s="0" t="n">
        <f aca="false">AM684*E684+AN684*D684</f>
        <v>-2.36575558529557</v>
      </c>
      <c r="AP684" s="0" t="n">
        <f aca="false">AL684*D684</f>
        <v>0</v>
      </c>
      <c r="AR684" s="0" t="n">
        <f aca="false">AN684*D684</f>
        <v>-0</v>
      </c>
      <c r="AS684" s="0" t="n">
        <f aca="false">AH684-AR684</f>
        <v>0</v>
      </c>
    </row>
    <row r="685" customFormat="false" ht="12" hidden="false" customHeight="false" outlineLevel="0" collapsed="false">
      <c r="A685" s="3" t="n">
        <f aca="false">A684+1</f>
        <v>676</v>
      </c>
      <c r="B685" s="3" t="n">
        <f aca="false">IF(A685&lt;$N$4/3,0.1,(IF(A685&gt;2*$N$4/3,0.05,0.12)))</f>
        <v>0.05</v>
      </c>
      <c r="C685" s="4" t="n">
        <f aca="true">RAND()</f>
        <v>0.693069230759786</v>
      </c>
      <c r="D685" s="0" t="n">
        <f aca="false">IF((C685&gt;$M$2),1,0)</f>
        <v>0</v>
      </c>
      <c r="E685" s="0" t="n">
        <f aca="false">1-D685</f>
        <v>1</v>
      </c>
      <c r="F685" s="0" t="n">
        <f aca="true">RAND()</f>
        <v>0.459861983338353</v>
      </c>
      <c r="G685" s="0" t="n">
        <f aca="false">7.75+F685*10</f>
        <v>12.3486198333835</v>
      </c>
      <c r="H685" s="0" t="n">
        <f aca="false">LOGINV(F685,2.64,1.139)</f>
        <v>12.4935179852546</v>
      </c>
      <c r="I685" s="0" t="n">
        <v>19.5</v>
      </c>
      <c r="J685" s="4" t="n">
        <f aca="true">-LN(RAND())/B685</f>
        <v>15.5358784544495</v>
      </c>
      <c r="K685" s="4" t="n">
        <f aca="false">K684+J685</f>
        <v>6452.50141826724</v>
      </c>
      <c r="L685" s="4" t="n">
        <f aca="false">(1/$J$4)*(1+AB684)</f>
        <v>10</v>
      </c>
      <c r="M685" s="4" t="n">
        <f aca="false">L685+MAX(K685,Y$10:Y684)</f>
        <v>6978.82985076217</v>
      </c>
      <c r="N685" s="4" t="n">
        <f aca="false">K685</f>
        <v>6452.50141826724</v>
      </c>
      <c r="O685" s="4" t="n">
        <f aca="false">M685-K685</f>
        <v>526.328432494929</v>
      </c>
      <c r="P685" s="4" t="n">
        <f aca="false">N685-K685</f>
        <v>0</v>
      </c>
      <c r="Q685" s="4" t="n">
        <f aca="false">A685-MATCH(K685,$M$9:M684,1)</f>
        <v>52</v>
      </c>
      <c r="R685" s="0" t="n">
        <f aca="false">-G685*(O685/3600)</f>
        <v>-1.80539714455015</v>
      </c>
      <c r="S685" s="0" t="n">
        <f aca="false">-1*I685-(H685*(P685/3600))</f>
        <v>-19.5</v>
      </c>
      <c r="T685" s="0" t="n">
        <f aca="false">-H685*(O685/3600)</f>
        <v>-1.82658159375729</v>
      </c>
      <c r="U685" s="0" t="n">
        <f aca="false">T685-S685</f>
        <v>17.6734184062427</v>
      </c>
      <c r="V685" s="0" t="n">
        <f aca="false">1/(1+EXP(U685))</f>
        <v>2.11121226693218E-008</v>
      </c>
      <c r="W685" s="0" t="n">
        <f aca="true">RAND()</f>
        <v>0.493098552858194</v>
      </c>
      <c r="X685" s="0" t="n">
        <f aca="false">IF(W685&lt;V685,1,0)</f>
        <v>0</v>
      </c>
      <c r="Y685" s="0" t="n">
        <f aca="false">(M685*(1-X685)+N685*X685)*D685+M685*E685</f>
        <v>6978.82985076217</v>
      </c>
      <c r="Z685" s="0" t="n">
        <f aca="false">((1-X685)*O685+X685*P685)*D685+E685*O685</f>
        <v>526.328432494929</v>
      </c>
      <c r="AA685" s="0" t="n">
        <f aca="false">IF(D685*X685&gt;0,AA684,Q685)</f>
        <v>52</v>
      </c>
      <c r="AB685" s="0" t="n">
        <f aca="false">(X685*D685)</f>
        <v>0</v>
      </c>
      <c r="AC685" s="0" t="n">
        <f aca="false">SUM(AB$10:AB684)/K685</f>
        <v>0.000154978656365571</v>
      </c>
      <c r="AD685" s="0" t="n">
        <f aca="false">R685*E685+D685*(X685*S685+(1-X685)*T685)</f>
        <v>-1.80539714455015</v>
      </c>
      <c r="AE685" s="0" t="n">
        <f aca="false">Z685</f>
        <v>526.328432494929</v>
      </c>
      <c r="AF685" s="0" t="n">
        <f aca="false">E685*O685</f>
        <v>526.328432494929</v>
      </c>
      <c r="AG685" s="0" t="n">
        <f aca="false">((1-X685)*O685+X685*P685)*D685</f>
        <v>0</v>
      </c>
      <c r="AH685" s="0" t="n">
        <f aca="false">D685*(LN(EXP(S685)+EXP(T685)))</f>
        <v>-0</v>
      </c>
      <c r="AJ685" s="0" t="n">
        <f aca="false">$J$5</f>
        <v>10</v>
      </c>
      <c r="AK685" s="4" t="n">
        <f aca="false">AJ685+MAX(K685,AK$10:AK684)</f>
        <v>6978.82985076217</v>
      </c>
      <c r="AL685" s="5" t="n">
        <f aca="false">AK685-K685</f>
        <v>526.328432494929</v>
      </c>
      <c r="AM685" s="0" t="n">
        <f aca="false">-G685*AL685/3600</f>
        <v>-1.80539714455015</v>
      </c>
      <c r="AN685" s="0" t="n">
        <f aca="false">-H685*AL685/3600</f>
        <v>-1.82658159375729</v>
      </c>
      <c r="AO685" s="0" t="n">
        <f aca="false">AM685*E685+AN685*D685</f>
        <v>-1.80539714455015</v>
      </c>
      <c r="AP685" s="0" t="n">
        <f aca="false">AL685*D685</f>
        <v>0</v>
      </c>
      <c r="AR685" s="0" t="n">
        <f aca="false">AN685*D685</f>
        <v>-0</v>
      </c>
      <c r="AS685" s="0" t="n">
        <f aca="false">AH685-AR685</f>
        <v>0</v>
      </c>
    </row>
    <row r="686" customFormat="false" ht="12" hidden="false" customHeight="false" outlineLevel="0" collapsed="false">
      <c r="A686" s="3" t="n">
        <f aca="false">A685+1</f>
        <v>677</v>
      </c>
      <c r="B686" s="3" t="n">
        <f aca="false">IF(A686&lt;$N$4/3,0.1,(IF(A686&gt;2*$N$4/3,0.05,0.12)))</f>
        <v>0.05</v>
      </c>
      <c r="C686" s="4" t="n">
        <f aca="true">RAND()</f>
        <v>0.27934658374841</v>
      </c>
      <c r="D686" s="0" t="n">
        <f aca="false">IF((C686&gt;$M$2),1,0)</f>
        <v>0</v>
      </c>
      <c r="E686" s="0" t="n">
        <f aca="false">1-D686</f>
        <v>1</v>
      </c>
      <c r="F686" s="0" t="n">
        <f aca="true">RAND()</f>
        <v>0.269339601844445</v>
      </c>
      <c r="G686" s="0" t="n">
        <f aca="false">7.75+F686*10</f>
        <v>10.4433960184445</v>
      </c>
      <c r="H686" s="0" t="n">
        <f aca="false">LOGINV(F686,2.64,1.139)</f>
        <v>6.95687016414087</v>
      </c>
      <c r="I686" s="0" t="n">
        <v>19.5</v>
      </c>
      <c r="J686" s="4" t="n">
        <f aca="true">-LN(RAND())/B686</f>
        <v>91.8275464842108</v>
      </c>
      <c r="K686" s="4" t="n">
        <f aca="false">K685+J686</f>
        <v>6544.32896475145</v>
      </c>
      <c r="L686" s="4" t="n">
        <f aca="false">(1/$J$4)*(1+AB685)</f>
        <v>10</v>
      </c>
      <c r="M686" s="4" t="n">
        <f aca="false">L686+MAX(K686,Y$10:Y685)</f>
        <v>6988.82985076217</v>
      </c>
      <c r="N686" s="4" t="n">
        <f aca="false">K686</f>
        <v>6544.32896475145</v>
      </c>
      <c r="O686" s="4" t="n">
        <f aca="false">M686-K686</f>
        <v>444.500886010718</v>
      </c>
      <c r="P686" s="4" t="n">
        <f aca="false">N686-K686</f>
        <v>0</v>
      </c>
      <c r="Q686" s="4" t="n">
        <f aca="false">A686-MATCH(K686,$M$9:M685,1)</f>
        <v>44</v>
      </c>
      <c r="R686" s="0" t="n">
        <f aca="false">-G686*(O686/3600)</f>
        <v>-1.28947188421093</v>
      </c>
      <c r="S686" s="0" t="n">
        <f aca="false">-1*I686-(H686*(P686/3600))</f>
        <v>-19.5</v>
      </c>
      <c r="T686" s="0" t="n">
        <f aca="false">-H686*(O686/3600)</f>
        <v>-0.858981931061707</v>
      </c>
      <c r="U686" s="0" t="n">
        <f aca="false">T686-S686</f>
        <v>18.6410180689383</v>
      </c>
      <c r="V686" s="0" t="n">
        <f aca="false">1/(1+EXP(U686))</f>
        <v>8.02248127537657E-009</v>
      </c>
      <c r="W686" s="0" t="n">
        <f aca="true">RAND()</f>
        <v>0.667970445292197</v>
      </c>
      <c r="X686" s="0" t="n">
        <f aca="false">IF(W686&lt;V686,1,0)</f>
        <v>0</v>
      </c>
      <c r="Y686" s="0" t="n">
        <f aca="false">(M686*(1-X686)+N686*X686)*D686+M686*E686</f>
        <v>6988.82985076217</v>
      </c>
      <c r="Z686" s="0" t="n">
        <f aca="false">((1-X686)*O686+X686*P686)*D686+E686*O686</f>
        <v>444.500886010718</v>
      </c>
      <c r="AA686" s="0" t="n">
        <f aca="false">IF(D686*X686&gt;0,AA685,Q686)</f>
        <v>44</v>
      </c>
      <c r="AB686" s="0" t="n">
        <f aca="false">(X686*D686)</f>
        <v>0</v>
      </c>
      <c r="AC686" s="0" t="n">
        <f aca="false">SUM(AB$10:AB685)/K686</f>
        <v>0.000152804054531201</v>
      </c>
      <c r="AD686" s="0" t="n">
        <f aca="false">R686*E686+D686*(X686*S686+(1-X686)*T686)</f>
        <v>-1.28947188421093</v>
      </c>
      <c r="AE686" s="0" t="n">
        <f aca="false">Z686</f>
        <v>444.500886010718</v>
      </c>
      <c r="AF686" s="0" t="n">
        <f aca="false">E686*O686</f>
        <v>444.500886010718</v>
      </c>
      <c r="AG686" s="0" t="n">
        <f aca="false">((1-X686)*O686+X686*P686)*D686</f>
        <v>0</v>
      </c>
      <c r="AH686" s="0" t="n">
        <f aca="false">D686*(LN(EXP(S686)+EXP(T686)))</f>
        <v>-0</v>
      </c>
      <c r="AJ686" s="0" t="n">
        <f aca="false">$J$5</f>
        <v>10</v>
      </c>
      <c r="AK686" s="4" t="n">
        <f aca="false">AJ686+MAX(K686,AK$10:AK685)</f>
        <v>6988.82985076217</v>
      </c>
      <c r="AL686" s="5" t="n">
        <f aca="false">AK686-K686</f>
        <v>444.500886010718</v>
      </c>
      <c r="AM686" s="0" t="n">
        <f aca="false">-G686*AL686/3600</f>
        <v>-1.28947188421093</v>
      </c>
      <c r="AN686" s="0" t="n">
        <f aca="false">-H686*AL686/3600</f>
        <v>-0.858981931061707</v>
      </c>
      <c r="AO686" s="0" t="n">
        <f aca="false">AM686*E686+AN686*D686</f>
        <v>-1.28947188421093</v>
      </c>
      <c r="AP686" s="0" t="n">
        <f aca="false">AL686*D686</f>
        <v>0</v>
      </c>
      <c r="AR686" s="0" t="n">
        <f aca="false">AN686*D686</f>
        <v>-0</v>
      </c>
      <c r="AS686" s="0" t="n">
        <f aca="false">AH686-AR686</f>
        <v>0</v>
      </c>
    </row>
    <row r="687" customFormat="false" ht="12" hidden="false" customHeight="false" outlineLevel="0" collapsed="false">
      <c r="A687" s="3" t="n">
        <f aca="false">A686+1</f>
        <v>678</v>
      </c>
      <c r="B687" s="3" t="n">
        <f aca="false">IF(A687&lt;$N$4/3,0.1,(IF(A687&gt;2*$N$4/3,0.05,0.12)))</f>
        <v>0.05</v>
      </c>
      <c r="C687" s="4" t="n">
        <f aca="true">RAND()</f>
        <v>0.482627493289485</v>
      </c>
      <c r="D687" s="0" t="n">
        <f aca="false">IF((C687&gt;$M$2),1,0)</f>
        <v>0</v>
      </c>
      <c r="E687" s="0" t="n">
        <f aca="false">1-D687</f>
        <v>1</v>
      </c>
      <c r="F687" s="0" t="n">
        <f aca="true">RAND()</f>
        <v>0.948149367251975</v>
      </c>
      <c r="G687" s="0" t="n">
        <f aca="false">7.75+F687*10</f>
        <v>17.2314936725198</v>
      </c>
      <c r="H687" s="0" t="n">
        <f aca="false">LOGINV(F687,2.64,1.139)</f>
        <v>89.4200734054289</v>
      </c>
      <c r="I687" s="0" t="n">
        <v>19.5</v>
      </c>
      <c r="J687" s="4" t="n">
        <f aca="true">-LN(RAND())/B687</f>
        <v>5.17111631259565</v>
      </c>
      <c r="K687" s="4" t="n">
        <f aca="false">K686+J687</f>
        <v>6549.50008106405</v>
      </c>
      <c r="L687" s="4" t="n">
        <f aca="false">(1/$J$4)*(1+AB686)</f>
        <v>10</v>
      </c>
      <c r="M687" s="4" t="n">
        <f aca="false">L687+MAX(K687,Y$10:Y686)</f>
        <v>6998.82985076217</v>
      </c>
      <c r="N687" s="4" t="n">
        <f aca="false">K687</f>
        <v>6549.50008106405</v>
      </c>
      <c r="O687" s="4" t="n">
        <f aca="false">M687-K687</f>
        <v>449.329769698123</v>
      </c>
      <c r="P687" s="4" t="n">
        <f aca="false">N687-K687</f>
        <v>0</v>
      </c>
      <c r="Q687" s="4" t="n">
        <f aca="false">A687-MATCH(K687,$M$9:M686,1)</f>
        <v>44</v>
      </c>
      <c r="R687" s="0" t="n">
        <f aca="false">-G687*(O687/3600)</f>
        <v>-2.15072863428554</v>
      </c>
      <c r="S687" s="0" t="n">
        <f aca="false">-1*I687-(H687*(P687/3600))</f>
        <v>-19.5</v>
      </c>
      <c r="T687" s="0" t="n">
        <f aca="false">-H687*(O687/3600)</f>
        <v>-11.1608613860141</v>
      </c>
      <c r="U687" s="0" t="n">
        <f aca="false">T687-S687</f>
        <v>8.33913861398595</v>
      </c>
      <c r="V687" s="0" t="n">
        <f aca="false">1/(1+EXP(U687))</f>
        <v>0.000238921009811429</v>
      </c>
      <c r="W687" s="0" t="n">
        <f aca="true">RAND()</f>
        <v>0.543529941031785</v>
      </c>
      <c r="X687" s="0" t="n">
        <f aca="false">IF(W687&lt;V687,1,0)</f>
        <v>0</v>
      </c>
      <c r="Y687" s="0" t="n">
        <f aca="false">(M687*(1-X687)+N687*X687)*D687+M687*E687</f>
        <v>6998.82985076217</v>
      </c>
      <c r="Z687" s="0" t="n">
        <f aca="false">((1-X687)*O687+X687*P687)*D687+E687*O687</f>
        <v>449.329769698123</v>
      </c>
      <c r="AA687" s="0" t="n">
        <f aca="false">IF(D687*X687&gt;0,AA686,Q687)</f>
        <v>44</v>
      </c>
      <c r="AB687" s="0" t="n">
        <f aca="false">(X687*D687)</f>
        <v>0</v>
      </c>
      <c r="AC687" s="0" t="n">
        <f aca="false">SUM(AB$10:AB686)/K687</f>
        <v>0.000152683409057617</v>
      </c>
      <c r="AD687" s="0" t="n">
        <f aca="false">R687*E687+D687*(X687*S687+(1-X687)*T687)</f>
        <v>-2.15072863428554</v>
      </c>
      <c r="AE687" s="0" t="n">
        <f aca="false">Z687</f>
        <v>449.329769698123</v>
      </c>
      <c r="AF687" s="0" t="n">
        <f aca="false">E687*O687</f>
        <v>449.329769698123</v>
      </c>
      <c r="AG687" s="0" t="n">
        <f aca="false">((1-X687)*O687+X687*P687)*D687</f>
        <v>0</v>
      </c>
      <c r="AH687" s="0" t="n">
        <f aca="false">D687*(LN(EXP(S687)+EXP(T687)))</f>
        <v>-0</v>
      </c>
      <c r="AJ687" s="0" t="n">
        <f aca="false">$J$5</f>
        <v>10</v>
      </c>
      <c r="AK687" s="4" t="n">
        <f aca="false">AJ687+MAX(K687,AK$10:AK686)</f>
        <v>6998.82985076217</v>
      </c>
      <c r="AL687" s="5" t="n">
        <f aca="false">AK687-K687</f>
        <v>449.329769698123</v>
      </c>
      <c r="AM687" s="0" t="n">
        <f aca="false">-G687*AL687/3600</f>
        <v>-2.15072863428554</v>
      </c>
      <c r="AN687" s="0" t="n">
        <f aca="false">-H687*AL687/3600</f>
        <v>-11.1608613860141</v>
      </c>
      <c r="AO687" s="0" t="n">
        <f aca="false">AM687*E687+AN687*D687</f>
        <v>-2.15072863428554</v>
      </c>
      <c r="AP687" s="0" t="n">
        <f aca="false">AL687*D687</f>
        <v>0</v>
      </c>
      <c r="AR687" s="0" t="n">
        <f aca="false">AN687*D687</f>
        <v>-0</v>
      </c>
      <c r="AS687" s="0" t="n">
        <f aca="false">AH687-AR687</f>
        <v>0</v>
      </c>
    </row>
    <row r="688" customFormat="false" ht="12" hidden="false" customHeight="false" outlineLevel="0" collapsed="false">
      <c r="A688" s="3" t="n">
        <f aca="false">A687+1</f>
        <v>679</v>
      </c>
      <c r="B688" s="3" t="n">
        <f aca="false">IF(A688&lt;$N$4/3,0.1,(IF(A688&gt;2*$N$4/3,0.05,0.12)))</f>
        <v>0.05</v>
      </c>
      <c r="C688" s="4" t="n">
        <f aca="true">RAND()</f>
        <v>0.333402890254863</v>
      </c>
      <c r="D688" s="0" t="n">
        <f aca="false">IF((C688&gt;$M$2),1,0)</f>
        <v>0</v>
      </c>
      <c r="E688" s="0" t="n">
        <f aca="false">1-D688</f>
        <v>1</v>
      </c>
      <c r="F688" s="0" t="n">
        <f aca="true">RAND()</f>
        <v>0.133061047629985</v>
      </c>
      <c r="G688" s="0" t="n">
        <f aca="false">7.75+F688*10</f>
        <v>9.08061047629985</v>
      </c>
      <c r="H688" s="0" t="n">
        <f aca="false">LOGINV(F688,2.64,1.139)</f>
        <v>3.94871207135462</v>
      </c>
      <c r="I688" s="0" t="n">
        <v>19.5</v>
      </c>
      <c r="J688" s="4" t="n">
        <f aca="true">-LN(RAND())/B688</f>
        <v>28.497377600926</v>
      </c>
      <c r="K688" s="4" t="n">
        <f aca="false">K687+J688</f>
        <v>6577.99745866497</v>
      </c>
      <c r="L688" s="4" t="n">
        <f aca="false">(1/$J$4)*(1+AB687)</f>
        <v>10</v>
      </c>
      <c r="M688" s="4" t="n">
        <f aca="false">L688+MAX(K688,Y$10:Y687)</f>
        <v>7008.82985076217</v>
      </c>
      <c r="N688" s="4" t="n">
        <f aca="false">K688</f>
        <v>6577.99745866497</v>
      </c>
      <c r="O688" s="4" t="n">
        <f aca="false">M688-K688</f>
        <v>430.832392097197</v>
      </c>
      <c r="P688" s="4" t="n">
        <f aca="false">N688-K688</f>
        <v>0</v>
      </c>
      <c r="Q688" s="4" t="n">
        <f aca="false">A688-MATCH(K688,$M$9:M687,1)</f>
        <v>43</v>
      </c>
      <c r="R688" s="0" t="n">
        <f aca="false">-G688*(O688/3600)</f>
        <v>-1.08672809255754</v>
      </c>
      <c r="S688" s="0" t="n">
        <f aca="false">-1*I688-(H688*(P688/3600))</f>
        <v>-19.5</v>
      </c>
      <c r="T688" s="0" t="n">
        <f aca="false">-H688*(O688/3600)</f>
        <v>-0.472564740945775</v>
      </c>
      <c r="U688" s="0" t="n">
        <f aca="false">T688-S688</f>
        <v>19.0274352590542</v>
      </c>
      <c r="V688" s="0" t="n">
        <f aca="false">1/(1+EXP(U688))</f>
        <v>5.45117167845364E-009</v>
      </c>
      <c r="W688" s="0" t="n">
        <f aca="true">RAND()</f>
        <v>0.319096876400766</v>
      </c>
      <c r="X688" s="0" t="n">
        <f aca="false">IF(W688&lt;V688,1,0)</f>
        <v>0</v>
      </c>
      <c r="Y688" s="0" t="n">
        <f aca="false">(M688*(1-X688)+N688*X688)*D688+M688*E688</f>
        <v>7008.82985076217</v>
      </c>
      <c r="Z688" s="0" t="n">
        <f aca="false">((1-X688)*O688+X688*P688)*D688+E688*O688</f>
        <v>430.832392097197</v>
      </c>
      <c r="AA688" s="0" t="n">
        <f aca="false">IF(D688*X688&gt;0,AA687,Q688)</f>
        <v>43</v>
      </c>
      <c r="AB688" s="0" t="n">
        <f aca="false">(X688*D688)</f>
        <v>0</v>
      </c>
      <c r="AC688" s="0" t="n">
        <f aca="false">SUM(AB$10:AB687)/K688</f>
        <v>0.000152021949884267</v>
      </c>
      <c r="AD688" s="0" t="n">
        <f aca="false">R688*E688+D688*(X688*S688+(1-X688)*T688)</f>
        <v>-1.08672809255754</v>
      </c>
      <c r="AE688" s="0" t="n">
        <f aca="false">Z688</f>
        <v>430.832392097197</v>
      </c>
      <c r="AF688" s="0" t="n">
        <f aca="false">E688*O688</f>
        <v>430.832392097197</v>
      </c>
      <c r="AG688" s="0" t="n">
        <f aca="false">((1-X688)*O688+X688*P688)*D688</f>
        <v>0</v>
      </c>
      <c r="AH688" s="0" t="n">
        <f aca="false">D688*(LN(EXP(S688)+EXP(T688)))</f>
        <v>-0</v>
      </c>
      <c r="AJ688" s="0" t="n">
        <f aca="false">$J$5</f>
        <v>10</v>
      </c>
      <c r="AK688" s="4" t="n">
        <f aca="false">AJ688+MAX(K688,AK$10:AK687)</f>
        <v>7008.82985076217</v>
      </c>
      <c r="AL688" s="5" t="n">
        <f aca="false">AK688-K688</f>
        <v>430.832392097197</v>
      </c>
      <c r="AM688" s="0" t="n">
        <f aca="false">-G688*AL688/3600</f>
        <v>-1.08672809255754</v>
      </c>
      <c r="AN688" s="0" t="n">
        <f aca="false">-H688*AL688/3600</f>
        <v>-0.472564740945775</v>
      </c>
      <c r="AO688" s="0" t="n">
        <f aca="false">AM688*E688+AN688*D688</f>
        <v>-1.08672809255754</v>
      </c>
      <c r="AP688" s="0" t="n">
        <f aca="false">AL688*D688</f>
        <v>0</v>
      </c>
      <c r="AR688" s="0" t="n">
        <f aca="false">AN688*D688</f>
        <v>-0</v>
      </c>
      <c r="AS688" s="0" t="n">
        <f aca="false">AH688-AR688</f>
        <v>0</v>
      </c>
    </row>
    <row r="689" customFormat="false" ht="12" hidden="false" customHeight="false" outlineLevel="0" collapsed="false">
      <c r="A689" s="3" t="n">
        <f aca="false">A688+1</f>
        <v>680</v>
      </c>
      <c r="B689" s="3" t="n">
        <f aca="false">IF(A689&lt;$N$4/3,0.1,(IF(A689&gt;2*$N$4/3,0.05,0.12)))</f>
        <v>0.05</v>
      </c>
      <c r="C689" s="4" t="n">
        <f aca="true">RAND()</f>
        <v>0.476199559044359</v>
      </c>
      <c r="D689" s="0" t="n">
        <f aca="false">IF((C689&gt;$M$2),1,0)</f>
        <v>0</v>
      </c>
      <c r="E689" s="0" t="n">
        <f aca="false">1-D689</f>
        <v>1</v>
      </c>
      <c r="F689" s="0" t="n">
        <f aca="true">RAND()</f>
        <v>0.00765015943934831</v>
      </c>
      <c r="G689" s="0" t="n">
        <f aca="false">7.75+F689*10</f>
        <v>7.82650159439348</v>
      </c>
      <c r="H689" s="0" t="n">
        <f aca="false">LOGINV(F689,2.64,1.139)</f>
        <v>0.884889080827707</v>
      </c>
      <c r="I689" s="0" t="n">
        <v>19.5</v>
      </c>
      <c r="J689" s="4" t="n">
        <f aca="true">-LN(RAND())/B689</f>
        <v>29.4487255442911</v>
      </c>
      <c r="K689" s="4" t="n">
        <f aca="false">K688+J689</f>
        <v>6607.44618420927</v>
      </c>
      <c r="L689" s="4" t="n">
        <f aca="false">(1/$J$4)*(1+AB688)</f>
        <v>10</v>
      </c>
      <c r="M689" s="4" t="n">
        <f aca="false">L689+MAX(K689,Y$10:Y688)</f>
        <v>7018.82985076217</v>
      </c>
      <c r="N689" s="4" t="n">
        <f aca="false">K689</f>
        <v>6607.44618420927</v>
      </c>
      <c r="O689" s="4" t="n">
        <f aca="false">M689-K689</f>
        <v>411.383666552906</v>
      </c>
      <c r="P689" s="4" t="n">
        <f aca="false">N689-K689</f>
        <v>0</v>
      </c>
      <c r="Q689" s="4" t="n">
        <f aca="false">A689-MATCH(K689,$M$9:M688,1)</f>
        <v>41</v>
      </c>
      <c r="R689" s="0" t="n">
        <f aca="false">-G689*(O689/3600)</f>
        <v>-0.894359700606599</v>
      </c>
      <c r="S689" s="0" t="n">
        <f aca="false">-1*I689-(H689*(P689/3600))</f>
        <v>-19.5</v>
      </c>
      <c r="T689" s="0" t="n">
        <f aca="false">-H689*(O689/3600)</f>
        <v>-0.101119142934315</v>
      </c>
      <c r="U689" s="0" t="n">
        <f aca="false">T689-S689</f>
        <v>19.3988808570657</v>
      </c>
      <c r="V689" s="0" t="n">
        <f aca="false">1/(1+EXP(U689))</f>
        <v>3.7598722325545E-009</v>
      </c>
      <c r="W689" s="0" t="n">
        <f aca="true">RAND()</f>
        <v>0.303326844273427</v>
      </c>
      <c r="X689" s="0" t="n">
        <f aca="false">IF(W689&lt;V689,1,0)</f>
        <v>0</v>
      </c>
      <c r="Y689" s="0" t="n">
        <f aca="false">(M689*(1-X689)+N689*X689)*D689+M689*E689</f>
        <v>7018.82985076217</v>
      </c>
      <c r="Z689" s="0" t="n">
        <f aca="false">((1-X689)*O689+X689*P689)*D689+E689*O689</f>
        <v>411.383666552906</v>
      </c>
      <c r="AA689" s="0" t="n">
        <f aca="false">IF(D689*X689&gt;0,AA688,Q689)</f>
        <v>41</v>
      </c>
      <c r="AB689" s="0" t="n">
        <f aca="false">(X689*D689)</f>
        <v>0</v>
      </c>
      <c r="AC689" s="0" t="n">
        <f aca="false">SUM(AB$10:AB688)/K689</f>
        <v>0.000151344403286982</v>
      </c>
      <c r="AD689" s="0" t="n">
        <f aca="false">R689*E689+D689*(X689*S689+(1-X689)*T689)</f>
        <v>-0.894359700606599</v>
      </c>
      <c r="AE689" s="0" t="n">
        <f aca="false">Z689</f>
        <v>411.383666552906</v>
      </c>
      <c r="AF689" s="0" t="n">
        <f aca="false">E689*O689</f>
        <v>411.383666552906</v>
      </c>
      <c r="AG689" s="0" t="n">
        <f aca="false">((1-X689)*O689+X689*P689)*D689</f>
        <v>0</v>
      </c>
      <c r="AH689" s="0" t="n">
        <f aca="false">D689*(LN(EXP(S689)+EXP(T689)))</f>
        <v>-0</v>
      </c>
      <c r="AJ689" s="0" t="n">
        <f aca="false">$J$5</f>
        <v>10</v>
      </c>
      <c r="AK689" s="4" t="n">
        <f aca="false">AJ689+MAX(K689,AK$10:AK688)</f>
        <v>7018.82985076217</v>
      </c>
      <c r="AL689" s="5" t="n">
        <f aca="false">AK689-K689</f>
        <v>411.383666552906</v>
      </c>
      <c r="AM689" s="0" t="n">
        <f aca="false">-G689*AL689/3600</f>
        <v>-0.894359700606599</v>
      </c>
      <c r="AN689" s="0" t="n">
        <f aca="false">-H689*AL689/3600</f>
        <v>-0.101119142934315</v>
      </c>
      <c r="AO689" s="0" t="n">
        <f aca="false">AM689*E689+AN689*D689</f>
        <v>-0.894359700606599</v>
      </c>
      <c r="AP689" s="0" t="n">
        <f aca="false">AL689*D689</f>
        <v>0</v>
      </c>
      <c r="AR689" s="0" t="n">
        <f aca="false">AN689*D689</f>
        <v>-0</v>
      </c>
      <c r="AS689" s="0" t="n">
        <f aca="false">AH689-AR689</f>
        <v>0</v>
      </c>
    </row>
    <row r="690" customFormat="false" ht="12" hidden="false" customHeight="false" outlineLevel="0" collapsed="false">
      <c r="A690" s="3" t="n">
        <f aca="false">A689+1</f>
        <v>681</v>
      </c>
      <c r="B690" s="3" t="n">
        <f aca="false">IF(A690&lt;$N$4/3,0.1,(IF(A690&gt;2*$N$4/3,0.05,0.12)))</f>
        <v>0.05</v>
      </c>
      <c r="C690" s="4" t="n">
        <f aca="true">RAND()</f>
        <v>0.36869704878983</v>
      </c>
      <c r="D690" s="0" t="n">
        <f aca="false">IF((C690&gt;$M$2),1,0)</f>
        <v>0</v>
      </c>
      <c r="E690" s="0" t="n">
        <f aca="false">1-D690</f>
        <v>1</v>
      </c>
      <c r="F690" s="0" t="n">
        <f aca="true">RAND()</f>
        <v>0.109409777184047</v>
      </c>
      <c r="G690" s="0" t="n">
        <f aca="false">7.75+F690*10</f>
        <v>8.84409777184047</v>
      </c>
      <c r="H690" s="0" t="n">
        <f aca="false">LOGINV(F690,2.64,1.139)</f>
        <v>3.45354890583802</v>
      </c>
      <c r="I690" s="0" t="n">
        <v>19.5</v>
      </c>
      <c r="J690" s="4" t="n">
        <f aca="true">-LN(RAND())/B690</f>
        <v>1.33413361620104</v>
      </c>
      <c r="K690" s="4" t="n">
        <f aca="false">K689+J690</f>
        <v>6608.78031782547</v>
      </c>
      <c r="L690" s="4" t="n">
        <f aca="false">(1/$J$4)*(1+AB689)</f>
        <v>10</v>
      </c>
      <c r="M690" s="4" t="n">
        <f aca="false">L690+MAX(K690,Y$10:Y689)</f>
        <v>7028.82985076217</v>
      </c>
      <c r="N690" s="4" t="n">
        <f aca="false">K690</f>
        <v>6608.78031782547</v>
      </c>
      <c r="O690" s="4" t="n">
        <f aca="false">M690-K690</f>
        <v>420.049532936705</v>
      </c>
      <c r="P690" s="4" t="n">
        <f aca="false">N690-K690</f>
        <v>0</v>
      </c>
      <c r="Q690" s="4" t="n">
        <f aca="false">A690-MATCH(K690,$M$9:M689,1)</f>
        <v>42</v>
      </c>
      <c r="R690" s="0" t="n">
        <f aca="false">-G690*(O690/3600)</f>
        <v>-1.03193309397448</v>
      </c>
      <c r="S690" s="0" t="n">
        <f aca="false">-1*I690-(H690*(P690/3600))</f>
        <v>-19.5</v>
      </c>
      <c r="T690" s="0" t="n">
        <f aca="false">-H690*(O690/3600)</f>
        <v>-0.402961556908703</v>
      </c>
      <c r="U690" s="0" t="n">
        <f aca="false">T690-S690</f>
        <v>19.0970384430913</v>
      </c>
      <c r="V690" s="0" t="n">
        <f aca="false">1/(1+EXP(U690))</f>
        <v>5.08465605851998E-009</v>
      </c>
      <c r="W690" s="0" t="n">
        <f aca="true">RAND()</f>
        <v>0.611856406117983</v>
      </c>
      <c r="X690" s="0" t="n">
        <f aca="false">IF(W690&lt;V690,1,0)</f>
        <v>0</v>
      </c>
      <c r="Y690" s="0" t="n">
        <f aca="false">(M690*(1-X690)+N690*X690)*D690+M690*E690</f>
        <v>7028.82985076217</v>
      </c>
      <c r="Z690" s="0" t="n">
        <f aca="false">((1-X690)*O690+X690*P690)*D690+E690*O690</f>
        <v>420.049532936705</v>
      </c>
      <c r="AA690" s="0" t="n">
        <f aca="false">IF(D690*X690&gt;0,AA689,Q690)</f>
        <v>42</v>
      </c>
      <c r="AB690" s="0" t="n">
        <f aca="false">(X690*D690)</f>
        <v>0</v>
      </c>
      <c r="AC690" s="0" t="n">
        <f aca="false">SUM(AB$10:AB689)/K690</f>
        <v>0.000151313850954125</v>
      </c>
      <c r="AD690" s="0" t="n">
        <f aca="false">R690*E690+D690*(X690*S690+(1-X690)*T690)</f>
        <v>-1.03193309397448</v>
      </c>
      <c r="AE690" s="0" t="n">
        <f aca="false">Z690</f>
        <v>420.049532936705</v>
      </c>
      <c r="AF690" s="0" t="n">
        <f aca="false">E690*O690</f>
        <v>420.049532936705</v>
      </c>
      <c r="AG690" s="0" t="n">
        <f aca="false">((1-X690)*O690+X690*P690)*D690</f>
        <v>0</v>
      </c>
      <c r="AH690" s="0" t="n">
        <f aca="false">D690*(LN(EXP(S690)+EXP(T690)))</f>
        <v>-0</v>
      </c>
      <c r="AJ690" s="0" t="n">
        <f aca="false">$J$5</f>
        <v>10</v>
      </c>
      <c r="AK690" s="4" t="n">
        <f aca="false">AJ690+MAX(K690,AK$10:AK689)</f>
        <v>7028.82985076217</v>
      </c>
      <c r="AL690" s="5" t="n">
        <f aca="false">AK690-K690</f>
        <v>420.049532936705</v>
      </c>
      <c r="AM690" s="0" t="n">
        <f aca="false">-G690*AL690/3600</f>
        <v>-1.03193309397448</v>
      </c>
      <c r="AN690" s="0" t="n">
        <f aca="false">-H690*AL690/3600</f>
        <v>-0.402961556908703</v>
      </c>
      <c r="AO690" s="0" t="n">
        <f aca="false">AM690*E690+AN690*D690</f>
        <v>-1.03193309397448</v>
      </c>
      <c r="AP690" s="0" t="n">
        <f aca="false">AL690*D690</f>
        <v>0</v>
      </c>
      <c r="AR690" s="0" t="n">
        <f aca="false">AN690*D690</f>
        <v>-0</v>
      </c>
      <c r="AS690" s="0" t="n">
        <f aca="false">AH690-AR690</f>
        <v>0</v>
      </c>
    </row>
    <row r="691" customFormat="false" ht="12" hidden="false" customHeight="false" outlineLevel="0" collapsed="false">
      <c r="A691" s="3" t="n">
        <f aca="false">A690+1</f>
        <v>682</v>
      </c>
      <c r="B691" s="3" t="n">
        <f aca="false">IF(A691&lt;$N$4/3,0.1,(IF(A691&gt;2*$N$4/3,0.05,0.12)))</f>
        <v>0.05</v>
      </c>
      <c r="C691" s="4" t="n">
        <f aca="true">RAND()</f>
        <v>0.392775263716455</v>
      </c>
      <c r="D691" s="0" t="n">
        <f aca="false">IF((C691&gt;$M$2),1,0)</f>
        <v>0</v>
      </c>
      <c r="E691" s="0" t="n">
        <f aca="false">1-D691</f>
        <v>1</v>
      </c>
      <c r="F691" s="0" t="n">
        <f aca="true">RAND()</f>
        <v>0.362568652839259</v>
      </c>
      <c r="G691" s="0" t="n">
        <f aca="false">7.75+F691*10</f>
        <v>11.3756865283926</v>
      </c>
      <c r="H691" s="0" t="n">
        <f aca="false">LOGINV(F691,2.64,1.139)</f>
        <v>9.38888124530513</v>
      </c>
      <c r="I691" s="0" t="n">
        <v>19.5</v>
      </c>
      <c r="J691" s="4" t="n">
        <f aca="true">-LN(RAND())/B691</f>
        <v>10.7553737871969</v>
      </c>
      <c r="K691" s="4" t="n">
        <f aca="false">K690+J691</f>
        <v>6619.53569161266</v>
      </c>
      <c r="L691" s="4" t="n">
        <f aca="false">(1/$J$4)*(1+AB690)</f>
        <v>10</v>
      </c>
      <c r="M691" s="4" t="n">
        <f aca="false">L691+MAX(K691,Y$10:Y690)</f>
        <v>7038.82985076217</v>
      </c>
      <c r="N691" s="4" t="n">
        <f aca="false">K691</f>
        <v>6619.53569161266</v>
      </c>
      <c r="O691" s="4" t="n">
        <f aca="false">M691-K691</f>
        <v>419.294159149508</v>
      </c>
      <c r="P691" s="4" t="n">
        <f aca="false">N691-K691</f>
        <v>0</v>
      </c>
      <c r="Q691" s="4" t="n">
        <f aca="false">A691-MATCH(K691,$M$9:M690,1)</f>
        <v>41</v>
      </c>
      <c r="R691" s="0" t="n">
        <f aca="false">-G691*(O691/3600)</f>
        <v>-1.32493303268632</v>
      </c>
      <c r="S691" s="0" t="n">
        <f aca="false">-1*I691-(H691*(P691/3600))</f>
        <v>-19.5</v>
      </c>
      <c r="T691" s="0" t="n">
        <f aca="false">-H691*(O691/3600)</f>
        <v>-1.09352862975133</v>
      </c>
      <c r="U691" s="0" t="n">
        <f aca="false">T691-S691</f>
        <v>18.4064713702487</v>
      </c>
      <c r="V691" s="0" t="n">
        <f aca="false">1/(1+EXP(U691))</f>
        <v>1.01431079642974E-008</v>
      </c>
      <c r="W691" s="0" t="n">
        <f aca="true">RAND()</f>
        <v>0.205346967741579</v>
      </c>
      <c r="X691" s="0" t="n">
        <f aca="false">IF(W691&lt;V691,1,0)</f>
        <v>0</v>
      </c>
      <c r="Y691" s="0" t="n">
        <f aca="false">(M691*(1-X691)+N691*X691)*D691+M691*E691</f>
        <v>7038.82985076217</v>
      </c>
      <c r="Z691" s="0" t="n">
        <f aca="false">((1-X691)*O691+X691*P691)*D691+E691*O691</f>
        <v>419.294159149508</v>
      </c>
      <c r="AA691" s="0" t="n">
        <f aca="false">IF(D691*X691&gt;0,AA690,Q691)</f>
        <v>41</v>
      </c>
      <c r="AB691" s="0" t="n">
        <f aca="false">(X691*D691)</f>
        <v>0</v>
      </c>
      <c r="AC691" s="0" t="n">
        <f aca="false">SUM(AB$10:AB690)/K691</f>
        <v>0.000151067997301844</v>
      </c>
      <c r="AD691" s="0" t="n">
        <f aca="false">R691*E691+D691*(X691*S691+(1-X691)*T691)</f>
        <v>-1.32493303268632</v>
      </c>
      <c r="AE691" s="0" t="n">
        <f aca="false">Z691</f>
        <v>419.294159149508</v>
      </c>
      <c r="AF691" s="0" t="n">
        <f aca="false">E691*O691</f>
        <v>419.294159149508</v>
      </c>
      <c r="AG691" s="0" t="n">
        <f aca="false">((1-X691)*O691+X691*P691)*D691</f>
        <v>0</v>
      </c>
      <c r="AH691" s="0" t="n">
        <f aca="false">D691*(LN(EXP(S691)+EXP(T691)))</f>
        <v>-0</v>
      </c>
      <c r="AJ691" s="0" t="n">
        <f aca="false">$J$5</f>
        <v>10</v>
      </c>
      <c r="AK691" s="4" t="n">
        <f aca="false">AJ691+MAX(K691,AK$10:AK690)</f>
        <v>7038.82985076217</v>
      </c>
      <c r="AL691" s="5" t="n">
        <f aca="false">AK691-K691</f>
        <v>419.294159149508</v>
      </c>
      <c r="AM691" s="0" t="n">
        <f aca="false">-G691*AL691/3600</f>
        <v>-1.32493303268632</v>
      </c>
      <c r="AN691" s="0" t="n">
        <f aca="false">-H691*AL691/3600</f>
        <v>-1.09352862975133</v>
      </c>
      <c r="AO691" s="0" t="n">
        <f aca="false">AM691*E691+AN691*D691</f>
        <v>-1.32493303268632</v>
      </c>
      <c r="AP691" s="0" t="n">
        <f aca="false">AL691*D691</f>
        <v>0</v>
      </c>
      <c r="AR691" s="0" t="n">
        <f aca="false">AN691*D691</f>
        <v>-0</v>
      </c>
      <c r="AS691" s="0" t="n">
        <f aca="false">AH691-AR691</f>
        <v>0</v>
      </c>
    </row>
    <row r="692" customFormat="false" ht="12" hidden="false" customHeight="false" outlineLevel="0" collapsed="false">
      <c r="A692" s="3" t="n">
        <f aca="false">A691+1</f>
        <v>683</v>
      </c>
      <c r="B692" s="3" t="n">
        <f aca="false">IF(A692&lt;$N$4/3,0.1,(IF(A692&gt;2*$N$4/3,0.05,0.12)))</f>
        <v>0.05</v>
      </c>
      <c r="C692" s="4" t="n">
        <f aca="true">RAND()</f>
        <v>0.511075377951009</v>
      </c>
      <c r="D692" s="0" t="n">
        <f aca="false">IF((C692&gt;$M$2),1,0)</f>
        <v>0</v>
      </c>
      <c r="E692" s="0" t="n">
        <f aca="false">1-D692</f>
        <v>1</v>
      </c>
      <c r="F692" s="0" t="n">
        <f aca="true">RAND()</f>
        <v>0.145595658463523</v>
      </c>
      <c r="G692" s="0" t="n">
        <f aca="false">7.75+F692*10</f>
        <v>9.20595658463523</v>
      </c>
      <c r="H692" s="0" t="n">
        <f aca="false">LOGINV(F692,2.64,1.139)</f>
        <v>4.21130284010877</v>
      </c>
      <c r="I692" s="0" t="n">
        <v>19.5</v>
      </c>
      <c r="J692" s="4" t="n">
        <f aca="true">-LN(RAND())/B692</f>
        <v>30.059885281522</v>
      </c>
      <c r="K692" s="4" t="n">
        <f aca="false">K691+J692</f>
        <v>6649.59557689419</v>
      </c>
      <c r="L692" s="4" t="n">
        <f aca="false">(1/$J$4)*(1+AB691)</f>
        <v>10</v>
      </c>
      <c r="M692" s="4" t="n">
        <f aca="false">L692+MAX(K692,Y$10:Y691)</f>
        <v>7048.82985076217</v>
      </c>
      <c r="N692" s="4" t="n">
        <f aca="false">K692</f>
        <v>6649.59557689419</v>
      </c>
      <c r="O692" s="4" t="n">
        <f aca="false">M692-K692</f>
        <v>399.234273867986</v>
      </c>
      <c r="P692" s="4" t="n">
        <f aca="false">N692-K692</f>
        <v>0</v>
      </c>
      <c r="Q692" s="4" t="n">
        <f aca="false">A692-MATCH(K692,$M$9:M691,1)</f>
        <v>39</v>
      </c>
      <c r="R692" s="0" t="n">
        <f aca="false">-G692*(O692/3600)</f>
        <v>-1.02092594231307</v>
      </c>
      <c r="S692" s="0" t="n">
        <f aca="false">-1*I692-(H692*(P692/3600))</f>
        <v>-19.5</v>
      </c>
      <c r="T692" s="0" t="n">
        <f aca="false">-H692*(O692/3600)</f>
        <v>-0.467026786502503</v>
      </c>
      <c r="U692" s="0" t="n">
        <f aca="false">T692-S692</f>
        <v>19.0329732134975</v>
      </c>
      <c r="V692" s="0" t="n">
        <f aca="false">1/(1+EXP(U692))</f>
        <v>5.4210667749321E-009</v>
      </c>
      <c r="W692" s="0" t="n">
        <f aca="true">RAND()</f>
        <v>0.060883263575221</v>
      </c>
      <c r="X692" s="0" t="n">
        <f aca="false">IF(W692&lt;V692,1,0)</f>
        <v>0</v>
      </c>
      <c r="Y692" s="0" t="n">
        <f aca="false">(M692*(1-X692)+N692*X692)*D692+M692*E692</f>
        <v>7048.82985076217</v>
      </c>
      <c r="Z692" s="0" t="n">
        <f aca="false">((1-X692)*O692+X692*P692)*D692+E692*O692</f>
        <v>399.234273867986</v>
      </c>
      <c r="AA692" s="0" t="n">
        <f aca="false">IF(D692*X692&gt;0,AA691,Q692)</f>
        <v>39</v>
      </c>
      <c r="AB692" s="0" t="n">
        <f aca="false">(X692*D692)</f>
        <v>0</v>
      </c>
      <c r="AC692" s="0" t="n">
        <f aca="false">SUM(AB$10:AB691)/K692</f>
        <v>0.000150385085594494</v>
      </c>
      <c r="AD692" s="0" t="n">
        <f aca="false">R692*E692+D692*(X692*S692+(1-X692)*T692)</f>
        <v>-1.02092594231307</v>
      </c>
      <c r="AE692" s="0" t="n">
        <f aca="false">Z692</f>
        <v>399.234273867986</v>
      </c>
      <c r="AF692" s="0" t="n">
        <f aca="false">E692*O692</f>
        <v>399.234273867986</v>
      </c>
      <c r="AG692" s="0" t="n">
        <f aca="false">((1-X692)*O692+X692*P692)*D692</f>
        <v>0</v>
      </c>
      <c r="AH692" s="0" t="n">
        <f aca="false">D692*(LN(EXP(S692)+EXP(T692)))</f>
        <v>-0</v>
      </c>
      <c r="AJ692" s="0" t="n">
        <f aca="false">$J$5</f>
        <v>10</v>
      </c>
      <c r="AK692" s="4" t="n">
        <f aca="false">AJ692+MAX(K692,AK$10:AK691)</f>
        <v>7048.82985076217</v>
      </c>
      <c r="AL692" s="5" t="n">
        <f aca="false">AK692-K692</f>
        <v>399.234273867986</v>
      </c>
      <c r="AM692" s="0" t="n">
        <f aca="false">-G692*AL692/3600</f>
        <v>-1.02092594231307</v>
      </c>
      <c r="AN692" s="0" t="n">
        <f aca="false">-H692*AL692/3600</f>
        <v>-0.467026786502503</v>
      </c>
      <c r="AO692" s="0" t="n">
        <f aca="false">AM692*E692+AN692*D692</f>
        <v>-1.02092594231307</v>
      </c>
      <c r="AP692" s="0" t="n">
        <f aca="false">AL692*D692</f>
        <v>0</v>
      </c>
      <c r="AR692" s="0" t="n">
        <f aca="false">AN692*D692</f>
        <v>-0</v>
      </c>
      <c r="AS692" s="0" t="n">
        <f aca="false">AH692-AR692</f>
        <v>0</v>
      </c>
    </row>
    <row r="693" customFormat="false" ht="12" hidden="false" customHeight="false" outlineLevel="0" collapsed="false">
      <c r="A693" s="3" t="n">
        <f aca="false">A692+1</f>
        <v>684</v>
      </c>
      <c r="B693" s="3" t="n">
        <f aca="false">IF(A693&lt;$N$4/3,0.1,(IF(A693&gt;2*$N$4/3,0.05,0.12)))</f>
        <v>0.05</v>
      </c>
      <c r="C693" s="4" t="n">
        <f aca="true">RAND()</f>
        <v>0.962605790600863</v>
      </c>
      <c r="D693" s="0" t="n">
        <f aca="false">IF((C693&gt;$M$2),1,0)</f>
        <v>1</v>
      </c>
      <c r="E693" s="0" t="n">
        <f aca="false">1-D693</f>
        <v>0</v>
      </c>
      <c r="F693" s="0" t="n">
        <f aca="true">RAND()</f>
        <v>0.321814446816047</v>
      </c>
      <c r="G693" s="0" t="n">
        <f aca="false">7.75+F693*10</f>
        <v>10.9681444681605</v>
      </c>
      <c r="H693" s="0" t="n">
        <f aca="false">LOGINV(F693,2.64,1.139)</f>
        <v>8.27354691010151</v>
      </c>
      <c r="I693" s="0" t="n">
        <v>19.5</v>
      </c>
      <c r="J693" s="4" t="n">
        <f aca="true">-LN(RAND())/B693</f>
        <v>17.2273835008995</v>
      </c>
      <c r="K693" s="4" t="n">
        <f aca="false">K692+J693</f>
        <v>6666.82296039508</v>
      </c>
      <c r="L693" s="4" t="n">
        <f aca="false">(1/$J$4)*(1+AB692)</f>
        <v>10</v>
      </c>
      <c r="M693" s="4" t="n">
        <f aca="false">L693+MAX(K693,Y$10:Y692)</f>
        <v>7058.82985076217</v>
      </c>
      <c r="N693" s="4" t="n">
        <f aca="false">K693</f>
        <v>6666.82296039508</v>
      </c>
      <c r="O693" s="4" t="n">
        <f aca="false">M693-K693</f>
        <v>392.006890367087</v>
      </c>
      <c r="P693" s="4" t="n">
        <f aca="false">N693-K693</f>
        <v>0</v>
      </c>
      <c r="Q693" s="4" t="n">
        <f aca="false">A693-MATCH(K693,$M$9:M692,1)</f>
        <v>39</v>
      </c>
      <c r="R693" s="0" t="n">
        <f aca="false">-G693*(O693/3600)</f>
        <v>-1.19433005723904</v>
      </c>
      <c r="S693" s="0" t="n">
        <f aca="false">-1*I693-(H693*(P693/3600))</f>
        <v>-19.5</v>
      </c>
      <c r="T693" s="0" t="n">
        <f aca="false">-H693*(O693/3600)</f>
        <v>-0.900913165704199</v>
      </c>
      <c r="U693" s="0" t="n">
        <f aca="false">T693-S693</f>
        <v>18.5990868342958</v>
      </c>
      <c r="V693" s="0" t="n">
        <f aca="false">1/(1+EXP(U693))</f>
        <v>8.36602611254021E-009</v>
      </c>
      <c r="W693" s="0" t="n">
        <f aca="true">RAND()</f>
        <v>0.54515724529582</v>
      </c>
      <c r="X693" s="0" t="n">
        <f aca="false">IF(W693&lt;V693,1,0)</f>
        <v>0</v>
      </c>
      <c r="Y693" s="0" t="n">
        <f aca="false">(M693*(1-X693)+N693*X693)*D693+M693*E693</f>
        <v>7058.82985076217</v>
      </c>
      <c r="Z693" s="0" t="n">
        <f aca="false">((1-X693)*O693+X693*P693)*D693+E693*O693</f>
        <v>392.006890367087</v>
      </c>
      <c r="AA693" s="0" t="n">
        <f aca="false">IF(D693*X693&gt;0,AA692,Q693)</f>
        <v>39</v>
      </c>
      <c r="AB693" s="0" t="n">
        <f aca="false">(X693*D693)</f>
        <v>0</v>
      </c>
      <c r="AC693" s="0" t="n">
        <f aca="false">SUM(AB$10:AB692)/K693</f>
        <v>0.000149996483473552</v>
      </c>
      <c r="AD693" s="0" t="n">
        <f aca="false">R693*E693+D693*(X693*S693+(1-X693)*T693)</f>
        <v>-0.900913165704199</v>
      </c>
      <c r="AE693" s="0" t="n">
        <f aca="false">Z693</f>
        <v>392.006890367087</v>
      </c>
      <c r="AF693" s="0" t="n">
        <f aca="false">E693*O693</f>
        <v>0</v>
      </c>
      <c r="AG693" s="0" t="n">
        <f aca="false">((1-X693)*O693+X693*P693)*D693</f>
        <v>392.006890367087</v>
      </c>
      <c r="AH693" s="0" t="n">
        <f aca="false">D693*(LN(EXP(S693)+EXP(T693)))</f>
        <v>-0.900913157338173</v>
      </c>
      <c r="AJ693" s="0" t="n">
        <f aca="false">$J$5</f>
        <v>10</v>
      </c>
      <c r="AK693" s="4" t="n">
        <f aca="false">AJ693+MAX(K693,AK$10:AK692)</f>
        <v>7058.82985076217</v>
      </c>
      <c r="AL693" s="5" t="n">
        <f aca="false">AK693-K693</f>
        <v>392.006890367087</v>
      </c>
      <c r="AM693" s="0" t="n">
        <f aca="false">-G693*AL693/3600</f>
        <v>-1.19433005723904</v>
      </c>
      <c r="AN693" s="0" t="n">
        <f aca="false">-H693*AL693/3600</f>
        <v>-0.900913165704199</v>
      </c>
      <c r="AO693" s="0" t="n">
        <f aca="false">AM693*E693+AN693*D693</f>
        <v>-0.900913165704199</v>
      </c>
      <c r="AP693" s="0" t="n">
        <f aca="false">AL693*D693</f>
        <v>392.006890367087</v>
      </c>
      <c r="AR693" s="0" t="n">
        <f aca="false">AN693*D693</f>
        <v>-0.900913165704199</v>
      </c>
      <c r="AS693" s="0" t="n">
        <f aca="false">AH693-AR693</f>
        <v>8.36602620513105E-009</v>
      </c>
    </row>
    <row r="694" customFormat="false" ht="12" hidden="false" customHeight="false" outlineLevel="0" collapsed="false">
      <c r="A694" s="3" t="n">
        <f aca="false">A693+1</f>
        <v>685</v>
      </c>
      <c r="B694" s="3" t="n">
        <f aca="false">IF(A694&lt;$N$4/3,0.1,(IF(A694&gt;2*$N$4/3,0.05,0.12)))</f>
        <v>0.05</v>
      </c>
      <c r="C694" s="4" t="n">
        <f aca="true">RAND()</f>
        <v>0.228904415146628</v>
      </c>
      <c r="D694" s="0" t="n">
        <f aca="false">IF((C694&gt;$M$2),1,0)</f>
        <v>0</v>
      </c>
      <c r="E694" s="0" t="n">
        <f aca="false">1-D694</f>
        <v>1</v>
      </c>
      <c r="F694" s="0" t="n">
        <f aca="true">RAND()</f>
        <v>0.14181085426758</v>
      </c>
      <c r="G694" s="0" t="n">
        <f aca="false">7.75+F694*10</f>
        <v>9.1681085426758</v>
      </c>
      <c r="H694" s="0" t="n">
        <f aca="false">LOGINV(F694,2.64,1.139)</f>
        <v>4.13192184099948</v>
      </c>
      <c r="I694" s="0" t="n">
        <v>19.5</v>
      </c>
      <c r="J694" s="4" t="n">
        <f aca="true">-LN(RAND())/B694</f>
        <v>69.5907787936848</v>
      </c>
      <c r="K694" s="4" t="n">
        <f aca="false">K693+J694</f>
        <v>6736.41373918877</v>
      </c>
      <c r="L694" s="4" t="n">
        <f aca="false">(1/$J$4)*(1+AB693)</f>
        <v>10</v>
      </c>
      <c r="M694" s="4" t="n">
        <f aca="false">L694+MAX(K694,Y$10:Y693)</f>
        <v>7068.82985076217</v>
      </c>
      <c r="N694" s="4" t="n">
        <f aca="false">K694</f>
        <v>6736.41373918877</v>
      </c>
      <c r="O694" s="4" t="n">
        <f aca="false">M694-K694</f>
        <v>332.416111573402</v>
      </c>
      <c r="P694" s="4" t="n">
        <f aca="false">N694-K694</f>
        <v>0</v>
      </c>
      <c r="Q694" s="4" t="n">
        <f aca="false">A694-MATCH(K694,$M$9:M693,1)</f>
        <v>33</v>
      </c>
      <c r="R694" s="0" t="n">
        <f aca="false">-G694*(O694/3600)</f>
        <v>-0.846563053399773</v>
      </c>
      <c r="S694" s="0" t="n">
        <f aca="false">-1*I694-(H694*(P694/3600))</f>
        <v>-19.5</v>
      </c>
      <c r="T694" s="0" t="n">
        <f aca="false">-H694*(O694/3600)</f>
        <v>-0.381532608808406</v>
      </c>
      <c r="U694" s="0" t="n">
        <f aca="false">T694-S694</f>
        <v>19.1184673911916</v>
      </c>
      <c r="V694" s="0" t="n">
        <f aca="false">1/(1+EXP(U694))</f>
        <v>4.97685637033951E-009</v>
      </c>
      <c r="W694" s="0" t="n">
        <f aca="true">RAND()</f>
        <v>0.416022018481524</v>
      </c>
      <c r="X694" s="0" t="n">
        <f aca="false">IF(W694&lt;V694,1,0)</f>
        <v>0</v>
      </c>
      <c r="Y694" s="0" t="n">
        <f aca="false">(M694*(1-X694)+N694*X694)*D694+M694*E694</f>
        <v>7068.82985076217</v>
      </c>
      <c r="Z694" s="0" t="n">
        <f aca="false">((1-X694)*O694+X694*P694)*D694+E694*O694</f>
        <v>332.416111573402</v>
      </c>
      <c r="AA694" s="0" t="n">
        <f aca="false">IF(D694*X694&gt;0,AA693,Q694)</f>
        <v>33</v>
      </c>
      <c r="AB694" s="0" t="n">
        <f aca="false">(X694*D694)</f>
        <v>0</v>
      </c>
      <c r="AC694" s="0" t="n">
        <f aca="false">SUM(AB$10:AB693)/K694</f>
        <v>0.000148446939086082</v>
      </c>
      <c r="AD694" s="0" t="n">
        <f aca="false">R694*E694+D694*(X694*S694+(1-X694)*T694)</f>
        <v>-0.846563053399773</v>
      </c>
      <c r="AE694" s="0" t="n">
        <f aca="false">Z694</f>
        <v>332.416111573402</v>
      </c>
      <c r="AF694" s="0" t="n">
        <f aca="false">E694*O694</f>
        <v>332.416111573402</v>
      </c>
      <c r="AG694" s="0" t="n">
        <f aca="false">((1-X694)*O694+X694*P694)*D694</f>
        <v>0</v>
      </c>
      <c r="AH694" s="0" t="n">
        <f aca="false">D694*(LN(EXP(S694)+EXP(T694)))</f>
        <v>-0</v>
      </c>
      <c r="AJ694" s="0" t="n">
        <f aca="false">$J$5</f>
        <v>10</v>
      </c>
      <c r="AK694" s="4" t="n">
        <f aca="false">AJ694+MAX(K694,AK$10:AK693)</f>
        <v>7068.82985076217</v>
      </c>
      <c r="AL694" s="5" t="n">
        <f aca="false">AK694-K694</f>
        <v>332.416111573402</v>
      </c>
      <c r="AM694" s="0" t="n">
        <f aca="false">-G694*AL694/3600</f>
        <v>-0.846563053399773</v>
      </c>
      <c r="AN694" s="0" t="n">
        <f aca="false">-H694*AL694/3600</f>
        <v>-0.381532608808406</v>
      </c>
      <c r="AO694" s="0" t="n">
        <f aca="false">AM694*E694+AN694*D694</f>
        <v>-0.846563053399773</v>
      </c>
      <c r="AP694" s="0" t="n">
        <f aca="false">AL694*D694</f>
        <v>0</v>
      </c>
      <c r="AR694" s="0" t="n">
        <f aca="false">AN694*D694</f>
        <v>-0</v>
      </c>
      <c r="AS694" s="0" t="n">
        <f aca="false">AH694-AR694</f>
        <v>0</v>
      </c>
    </row>
    <row r="695" customFormat="false" ht="12" hidden="false" customHeight="false" outlineLevel="0" collapsed="false">
      <c r="A695" s="3" t="n">
        <f aca="false">A694+1</f>
        <v>686</v>
      </c>
      <c r="B695" s="3" t="n">
        <f aca="false">IF(A695&lt;$N$4/3,0.1,(IF(A695&gt;2*$N$4/3,0.05,0.12)))</f>
        <v>0.05</v>
      </c>
      <c r="C695" s="4" t="n">
        <f aca="true">RAND()</f>
        <v>0.12066663821122</v>
      </c>
      <c r="D695" s="0" t="n">
        <f aca="false">IF((C695&gt;$M$2),1,0)</f>
        <v>0</v>
      </c>
      <c r="E695" s="0" t="n">
        <f aca="false">1-D695</f>
        <v>1</v>
      </c>
      <c r="F695" s="0" t="n">
        <f aca="true">RAND()</f>
        <v>0.513832785172259</v>
      </c>
      <c r="G695" s="0" t="n">
        <f aca="false">7.75+F695*10</f>
        <v>12.8883278517226</v>
      </c>
      <c r="H695" s="0" t="n">
        <f aca="false">LOGINV(F695,2.64,1.139)</f>
        <v>14.5778201342153</v>
      </c>
      <c r="I695" s="0" t="n">
        <v>19.5</v>
      </c>
      <c r="J695" s="4" t="n">
        <f aca="true">-LN(RAND())/B695</f>
        <v>4.6198194648822</v>
      </c>
      <c r="K695" s="4" t="n">
        <f aca="false">K694+J695</f>
        <v>6741.03355865365</v>
      </c>
      <c r="L695" s="4" t="n">
        <f aca="false">(1/$J$4)*(1+AB694)</f>
        <v>10</v>
      </c>
      <c r="M695" s="4" t="n">
        <f aca="false">L695+MAX(K695,Y$10:Y694)</f>
        <v>7078.82985076217</v>
      </c>
      <c r="N695" s="4" t="n">
        <f aca="false">K695</f>
        <v>6741.03355865365</v>
      </c>
      <c r="O695" s="4" t="n">
        <f aca="false">M695-K695</f>
        <v>337.79629210852</v>
      </c>
      <c r="P695" s="4" t="n">
        <f aca="false">N695-K695</f>
        <v>0</v>
      </c>
      <c r="Q695" s="4" t="n">
        <f aca="false">A695-MATCH(K695,$M$9:M694,1)</f>
        <v>33</v>
      </c>
      <c r="R695" s="0" t="n">
        <f aca="false">-G695*(O695/3600)</f>
        <v>-1.20934148883079</v>
      </c>
      <c r="S695" s="0" t="n">
        <f aca="false">-1*I695-(H695*(P695/3600))</f>
        <v>-19.5</v>
      </c>
      <c r="T695" s="0" t="n">
        <f aca="false">-H695*(O695/3600)</f>
        <v>-1.3678704412119</v>
      </c>
      <c r="U695" s="0" t="n">
        <f aca="false">T695-S695</f>
        <v>18.1321295587881</v>
      </c>
      <c r="V695" s="0" t="n">
        <f aca="false">1/(1+EXP(U695))</f>
        <v>1.3344926361918E-008</v>
      </c>
      <c r="W695" s="0" t="n">
        <f aca="true">RAND()</f>
        <v>0.918058718002989</v>
      </c>
      <c r="X695" s="0" t="n">
        <f aca="false">IF(W695&lt;V695,1,0)</f>
        <v>0</v>
      </c>
      <c r="Y695" s="0" t="n">
        <f aca="false">(M695*(1-X695)+N695*X695)*D695+M695*E695</f>
        <v>7078.82985076217</v>
      </c>
      <c r="Z695" s="0" t="n">
        <f aca="false">((1-X695)*O695+X695*P695)*D695+E695*O695</f>
        <v>337.79629210852</v>
      </c>
      <c r="AA695" s="0" t="n">
        <f aca="false">IF(D695*X695&gt;0,AA694,Q695)</f>
        <v>33</v>
      </c>
      <c r="AB695" s="0" t="n">
        <f aca="false">(X695*D695)</f>
        <v>0</v>
      </c>
      <c r="AC695" s="0" t="n">
        <f aca="false">SUM(AB$10:AB694)/K695</f>
        <v>0.000148345204233003</v>
      </c>
      <c r="AD695" s="0" t="n">
        <f aca="false">R695*E695+D695*(X695*S695+(1-X695)*T695)</f>
        <v>-1.20934148883079</v>
      </c>
      <c r="AE695" s="0" t="n">
        <f aca="false">Z695</f>
        <v>337.79629210852</v>
      </c>
      <c r="AF695" s="0" t="n">
        <f aca="false">E695*O695</f>
        <v>337.79629210852</v>
      </c>
      <c r="AG695" s="0" t="n">
        <f aca="false">((1-X695)*O695+X695*P695)*D695</f>
        <v>0</v>
      </c>
      <c r="AH695" s="0" t="n">
        <f aca="false">D695*(LN(EXP(S695)+EXP(T695)))</f>
        <v>-0</v>
      </c>
      <c r="AJ695" s="0" t="n">
        <f aca="false">$J$5</f>
        <v>10</v>
      </c>
      <c r="AK695" s="4" t="n">
        <f aca="false">AJ695+MAX(K695,AK$10:AK694)</f>
        <v>7078.82985076217</v>
      </c>
      <c r="AL695" s="5" t="n">
        <f aca="false">AK695-K695</f>
        <v>337.79629210852</v>
      </c>
      <c r="AM695" s="0" t="n">
        <f aca="false">-G695*AL695/3600</f>
        <v>-1.20934148883079</v>
      </c>
      <c r="AN695" s="0" t="n">
        <f aca="false">-H695*AL695/3600</f>
        <v>-1.3678704412119</v>
      </c>
      <c r="AO695" s="0" t="n">
        <f aca="false">AM695*E695+AN695*D695</f>
        <v>-1.20934148883079</v>
      </c>
      <c r="AP695" s="0" t="n">
        <f aca="false">AL695*D695</f>
        <v>0</v>
      </c>
      <c r="AR695" s="0" t="n">
        <f aca="false">AN695*D695</f>
        <v>-0</v>
      </c>
      <c r="AS695" s="0" t="n">
        <f aca="false">AH695-AR695</f>
        <v>0</v>
      </c>
    </row>
    <row r="696" customFormat="false" ht="12" hidden="false" customHeight="false" outlineLevel="0" collapsed="false">
      <c r="A696" s="3" t="n">
        <f aca="false">A695+1</f>
        <v>687</v>
      </c>
      <c r="B696" s="3" t="n">
        <f aca="false">IF(A696&lt;$N$4/3,0.1,(IF(A696&gt;2*$N$4/3,0.05,0.12)))</f>
        <v>0.05</v>
      </c>
      <c r="C696" s="4" t="n">
        <f aca="true">RAND()</f>
        <v>0.0464449608867678</v>
      </c>
      <c r="D696" s="0" t="n">
        <f aca="false">IF((C696&gt;$M$2),1,0)</f>
        <v>0</v>
      </c>
      <c r="E696" s="0" t="n">
        <f aca="false">1-D696</f>
        <v>1</v>
      </c>
      <c r="F696" s="0" t="n">
        <f aca="true">RAND()</f>
        <v>0.0624736434873993</v>
      </c>
      <c r="G696" s="0" t="n">
        <f aca="false">7.75+F696*10</f>
        <v>8.37473643487399</v>
      </c>
      <c r="H696" s="0" t="n">
        <f aca="false">LOGINV(F696,2.64,1.139)</f>
        <v>2.44096282624927</v>
      </c>
      <c r="I696" s="0" t="n">
        <v>19.5</v>
      </c>
      <c r="J696" s="4" t="n">
        <f aca="true">-LN(RAND())/B696</f>
        <v>27.6631172815362</v>
      </c>
      <c r="K696" s="4" t="n">
        <f aca="false">K695+J696</f>
        <v>6768.69667593519</v>
      </c>
      <c r="L696" s="4" t="n">
        <f aca="false">(1/$J$4)*(1+AB695)</f>
        <v>10</v>
      </c>
      <c r="M696" s="4" t="n">
        <f aca="false">L696+MAX(K696,Y$10:Y695)</f>
        <v>7088.82985076217</v>
      </c>
      <c r="N696" s="4" t="n">
        <f aca="false">K696</f>
        <v>6768.69667593519</v>
      </c>
      <c r="O696" s="4" t="n">
        <f aca="false">M696-K696</f>
        <v>320.133174826984</v>
      </c>
      <c r="P696" s="4" t="n">
        <f aca="false">N696-K696</f>
        <v>0</v>
      </c>
      <c r="Q696" s="4" t="n">
        <f aca="false">A696-MATCH(K696,$M$9:M695,1)</f>
        <v>32</v>
      </c>
      <c r="R696" s="0" t="n">
        <f aca="false">-G696*(O696/3600)</f>
        <v>-0.744730823120953</v>
      </c>
      <c r="S696" s="0" t="n">
        <f aca="false">-1*I696-(H696*(P696/3600))</f>
        <v>-19.5</v>
      </c>
      <c r="T696" s="0" t="n">
        <f aca="false">-H696*(O696/3600)</f>
        <v>-0.217064772000507</v>
      </c>
      <c r="U696" s="0" t="n">
        <f aca="false">T696-S696</f>
        <v>19.2829352279995</v>
      </c>
      <c r="V696" s="0" t="n">
        <f aca="false">1/(1+EXP(U696))</f>
        <v>4.22209142966107E-009</v>
      </c>
      <c r="W696" s="0" t="n">
        <f aca="true">RAND()</f>
        <v>0.0434697363079211</v>
      </c>
      <c r="X696" s="0" t="n">
        <f aca="false">IF(W696&lt;V696,1,0)</f>
        <v>0</v>
      </c>
      <c r="Y696" s="0" t="n">
        <f aca="false">(M696*(1-X696)+N696*X696)*D696+M696*E696</f>
        <v>7088.82985076217</v>
      </c>
      <c r="Z696" s="0" t="n">
        <f aca="false">((1-X696)*O696+X696*P696)*D696+E696*O696</f>
        <v>320.133174826984</v>
      </c>
      <c r="AA696" s="0" t="n">
        <f aca="false">IF(D696*X696&gt;0,AA695,Q696)</f>
        <v>32</v>
      </c>
      <c r="AB696" s="0" t="n">
        <f aca="false">(X696*D696)</f>
        <v>0</v>
      </c>
      <c r="AC696" s="0" t="n">
        <f aca="false">SUM(AB$10:AB695)/K696</f>
        <v>0.000147738929350359</v>
      </c>
      <c r="AD696" s="0" t="n">
        <f aca="false">R696*E696+D696*(X696*S696+(1-X696)*T696)</f>
        <v>-0.744730823120953</v>
      </c>
      <c r="AE696" s="0" t="n">
        <f aca="false">Z696</f>
        <v>320.133174826984</v>
      </c>
      <c r="AF696" s="0" t="n">
        <f aca="false">E696*O696</f>
        <v>320.133174826984</v>
      </c>
      <c r="AG696" s="0" t="n">
        <f aca="false">((1-X696)*O696+X696*P696)*D696</f>
        <v>0</v>
      </c>
      <c r="AH696" s="0" t="n">
        <f aca="false">D696*(LN(EXP(S696)+EXP(T696)))</f>
        <v>-0</v>
      </c>
      <c r="AJ696" s="0" t="n">
        <f aca="false">$J$5</f>
        <v>10</v>
      </c>
      <c r="AK696" s="4" t="n">
        <f aca="false">AJ696+MAX(K696,AK$10:AK695)</f>
        <v>7088.82985076217</v>
      </c>
      <c r="AL696" s="5" t="n">
        <f aca="false">AK696-K696</f>
        <v>320.133174826984</v>
      </c>
      <c r="AM696" s="0" t="n">
        <f aca="false">-G696*AL696/3600</f>
        <v>-0.744730823120953</v>
      </c>
      <c r="AN696" s="0" t="n">
        <f aca="false">-H696*AL696/3600</f>
        <v>-0.217064772000507</v>
      </c>
      <c r="AO696" s="0" t="n">
        <f aca="false">AM696*E696+AN696*D696</f>
        <v>-0.744730823120953</v>
      </c>
      <c r="AP696" s="0" t="n">
        <f aca="false">AL696*D696</f>
        <v>0</v>
      </c>
      <c r="AR696" s="0" t="n">
        <f aca="false">AN696*D696</f>
        <v>-0</v>
      </c>
      <c r="AS696" s="0" t="n">
        <f aca="false">AH696-AR696</f>
        <v>0</v>
      </c>
    </row>
    <row r="697" customFormat="false" ht="12" hidden="false" customHeight="false" outlineLevel="0" collapsed="false">
      <c r="A697" s="3" t="n">
        <f aca="false">A696+1</f>
        <v>688</v>
      </c>
      <c r="B697" s="3" t="n">
        <f aca="false">IF(A697&lt;$N$4/3,0.1,(IF(A697&gt;2*$N$4/3,0.05,0.12)))</f>
        <v>0.05</v>
      </c>
      <c r="C697" s="4" t="n">
        <f aca="true">RAND()</f>
        <v>0.911877213281001</v>
      </c>
      <c r="D697" s="0" t="n">
        <f aca="false">IF((C697&gt;$M$2),1,0)</f>
        <v>1</v>
      </c>
      <c r="E697" s="0" t="n">
        <f aca="false">1-D697</f>
        <v>0</v>
      </c>
      <c r="F697" s="0" t="n">
        <f aca="true">RAND()</f>
        <v>0.313619972579211</v>
      </c>
      <c r="G697" s="0" t="n">
        <f aca="false">7.75+F697*10</f>
        <v>10.8861997257921</v>
      </c>
      <c r="H697" s="0" t="n">
        <f aca="false">LOGINV(F697,2.64,1.139)</f>
        <v>8.05976315645168</v>
      </c>
      <c r="I697" s="0" t="n">
        <v>19.5</v>
      </c>
      <c r="J697" s="4" t="n">
        <f aca="true">-LN(RAND())/B697</f>
        <v>22.7257345584299</v>
      </c>
      <c r="K697" s="4" t="n">
        <f aca="false">K696+J697</f>
        <v>6791.42241049362</v>
      </c>
      <c r="L697" s="4" t="n">
        <f aca="false">(1/$J$4)*(1+AB696)</f>
        <v>10</v>
      </c>
      <c r="M697" s="4" t="n">
        <f aca="false">L697+MAX(K697,Y$10:Y696)</f>
        <v>7098.82985076217</v>
      </c>
      <c r="N697" s="4" t="n">
        <f aca="false">K697</f>
        <v>6791.42241049362</v>
      </c>
      <c r="O697" s="4" t="n">
        <f aca="false">M697-K697</f>
        <v>307.407440268554</v>
      </c>
      <c r="P697" s="4" t="n">
        <f aca="false">N697-K697</f>
        <v>0</v>
      </c>
      <c r="Q697" s="4" t="n">
        <f aca="false">A697-MATCH(K697,$M$9:M696,1)</f>
        <v>30</v>
      </c>
      <c r="R697" s="0" t="n">
        <f aca="false">-G697*(O697/3600)</f>
        <v>-0.929582997766107</v>
      </c>
      <c r="S697" s="0" t="n">
        <f aca="false">-1*I697-(H697*(P697/3600))</f>
        <v>-19.5</v>
      </c>
      <c r="T697" s="0" t="n">
        <f aca="false">-H697*(O697/3600)</f>
        <v>-0.688230878082113</v>
      </c>
      <c r="U697" s="0" t="n">
        <f aca="false">T697-S697</f>
        <v>18.8117691219179</v>
      </c>
      <c r="V697" s="0" t="n">
        <f aca="false">1/(1+EXP(U697))</f>
        <v>6.76320377004498E-009</v>
      </c>
      <c r="W697" s="0" t="n">
        <f aca="true">RAND()</f>
        <v>0.907883889353553</v>
      </c>
      <c r="X697" s="0" t="n">
        <f aca="false">IF(W697&lt;V697,1,0)</f>
        <v>0</v>
      </c>
      <c r="Y697" s="0" t="n">
        <f aca="false">(M697*(1-X697)+N697*X697)*D697+M697*E697</f>
        <v>7098.82985076217</v>
      </c>
      <c r="Z697" s="0" t="n">
        <f aca="false">((1-X697)*O697+X697*P697)*D697+E697*O697</f>
        <v>307.407440268554</v>
      </c>
      <c r="AA697" s="0" t="n">
        <f aca="false">IF(D697*X697&gt;0,AA696,Q697)</f>
        <v>30</v>
      </c>
      <c r="AB697" s="0" t="n">
        <f aca="false">(X697*D697)</f>
        <v>0</v>
      </c>
      <c r="AC697" s="0" t="n">
        <f aca="false">SUM(AB$10:AB696)/K697</f>
        <v>0.000147244559321604</v>
      </c>
      <c r="AD697" s="0" t="n">
        <f aca="false">R697*E697+D697*(X697*S697+(1-X697)*T697)</f>
        <v>-0.688230878082113</v>
      </c>
      <c r="AE697" s="0" t="n">
        <f aca="false">Z697</f>
        <v>307.407440268554</v>
      </c>
      <c r="AF697" s="0" t="n">
        <f aca="false">E697*O697</f>
        <v>0</v>
      </c>
      <c r="AG697" s="0" t="n">
        <f aca="false">((1-X697)*O697+X697*P697)*D697</f>
        <v>307.407440268554</v>
      </c>
      <c r="AH697" s="0" t="n">
        <f aca="false">D697*(LN(EXP(S697)+EXP(T697)))</f>
        <v>-0.68823087131891</v>
      </c>
      <c r="AJ697" s="0" t="n">
        <f aca="false">$J$5</f>
        <v>10</v>
      </c>
      <c r="AK697" s="4" t="n">
        <f aca="false">AJ697+MAX(K697,AK$10:AK696)</f>
        <v>7098.82985076217</v>
      </c>
      <c r="AL697" s="5" t="n">
        <f aca="false">AK697-K697</f>
        <v>307.407440268554</v>
      </c>
      <c r="AM697" s="0" t="n">
        <f aca="false">-G697*AL697/3600</f>
        <v>-0.929582997766107</v>
      </c>
      <c r="AN697" s="0" t="n">
        <f aca="false">-H697*AL697/3600</f>
        <v>-0.688230878082113</v>
      </c>
      <c r="AO697" s="0" t="n">
        <f aca="false">AM697*E697+AN697*D697</f>
        <v>-0.688230878082113</v>
      </c>
      <c r="AP697" s="0" t="n">
        <f aca="false">AL697*D697</f>
        <v>307.407440268554</v>
      </c>
      <c r="AR697" s="0" t="n">
        <f aca="false">AN697*D697</f>
        <v>-0.688230878082113</v>
      </c>
      <c r="AS697" s="0" t="n">
        <f aca="false">AH697-AR697</f>
        <v>6.76320366377325E-009</v>
      </c>
    </row>
    <row r="698" customFormat="false" ht="12" hidden="false" customHeight="false" outlineLevel="0" collapsed="false">
      <c r="A698" s="3" t="n">
        <f aca="false">A697+1</f>
        <v>689</v>
      </c>
      <c r="B698" s="3" t="n">
        <f aca="false">IF(A698&lt;$N$4/3,0.1,(IF(A698&gt;2*$N$4/3,0.05,0.12)))</f>
        <v>0.05</v>
      </c>
      <c r="C698" s="4" t="n">
        <f aca="true">RAND()</f>
        <v>0.685769196636096</v>
      </c>
      <c r="D698" s="0" t="n">
        <f aca="false">IF((C698&gt;$M$2),1,0)</f>
        <v>0</v>
      </c>
      <c r="E698" s="0" t="n">
        <f aca="false">1-D698</f>
        <v>1</v>
      </c>
      <c r="F698" s="0" t="n">
        <f aca="true">RAND()</f>
        <v>0.884803514672126</v>
      </c>
      <c r="G698" s="0" t="n">
        <f aca="false">7.75+F698*10</f>
        <v>16.5980351467213</v>
      </c>
      <c r="H698" s="0" t="n">
        <f aca="false">LOGINV(F698,2.64,1.139)</f>
        <v>54.9298247071117</v>
      </c>
      <c r="I698" s="0" t="n">
        <v>19.5</v>
      </c>
      <c r="J698" s="4" t="n">
        <f aca="true">-LN(RAND())/B698</f>
        <v>36.4925727986353</v>
      </c>
      <c r="K698" s="4" t="n">
        <f aca="false">K697+J698</f>
        <v>6827.91498329225</v>
      </c>
      <c r="L698" s="4" t="n">
        <f aca="false">(1/$J$4)*(1+AB697)</f>
        <v>10</v>
      </c>
      <c r="M698" s="4" t="n">
        <f aca="false">L698+MAX(K698,Y$10:Y697)</f>
        <v>7108.82985076217</v>
      </c>
      <c r="N698" s="4" t="n">
        <f aca="false">K698</f>
        <v>6827.91498329225</v>
      </c>
      <c r="O698" s="4" t="n">
        <f aca="false">M698-K698</f>
        <v>280.914867469918</v>
      </c>
      <c r="P698" s="4" t="n">
        <f aca="false">N698-K698</f>
        <v>0</v>
      </c>
      <c r="Q698" s="4" t="n">
        <f aca="false">A698-MATCH(K698,$M$9:M697,1)</f>
        <v>28</v>
      </c>
      <c r="R698" s="0" t="n">
        <f aca="false">-G698*(O698/3600)</f>
        <v>-1.29517634541729</v>
      </c>
      <c r="S698" s="0" t="n">
        <f aca="false">-1*I698-(H698*(P698/3600))</f>
        <v>-19.5</v>
      </c>
      <c r="T698" s="0" t="n">
        <f aca="false">-H698*(O698/3600)</f>
        <v>-4.2862790077067</v>
      </c>
      <c r="U698" s="0" t="n">
        <f aca="false">T698-S698</f>
        <v>15.2137209922933</v>
      </c>
      <c r="V698" s="0" t="n">
        <f aca="false">1/(1+EXP(U698))</f>
        <v>2.47038599479385E-007</v>
      </c>
      <c r="W698" s="0" t="n">
        <f aca="true">RAND()</f>
        <v>0.218185195004633</v>
      </c>
      <c r="X698" s="0" t="n">
        <f aca="false">IF(W698&lt;V698,1,0)</f>
        <v>0</v>
      </c>
      <c r="Y698" s="0" t="n">
        <f aca="false">(M698*(1-X698)+N698*X698)*D698+M698*E698</f>
        <v>7108.82985076217</v>
      </c>
      <c r="Z698" s="0" t="n">
        <f aca="false">((1-X698)*O698+X698*P698)*D698+E698*O698</f>
        <v>280.914867469918</v>
      </c>
      <c r="AA698" s="0" t="n">
        <f aca="false">IF(D698*X698&gt;0,AA697,Q698)</f>
        <v>28</v>
      </c>
      <c r="AB698" s="0" t="n">
        <f aca="false">(X698*D698)</f>
        <v>0</v>
      </c>
      <c r="AC698" s="0" t="n">
        <f aca="false">SUM(AB$10:AB697)/K698</f>
        <v>0.000146457593928304</v>
      </c>
      <c r="AD698" s="0" t="n">
        <f aca="false">R698*E698+D698*(X698*S698+(1-X698)*T698)</f>
        <v>-1.29517634541729</v>
      </c>
      <c r="AE698" s="0" t="n">
        <f aca="false">Z698</f>
        <v>280.914867469918</v>
      </c>
      <c r="AF698" s="0" t="n">
        <f aca="false">E698*O698</f>
        <v>280.914867469918</v>
      </c>
      <c r="AG698" s="0" t="n">
        <f aca="false">((1-X698)*O698+X698*P698)*D698</f>
        <v>0</v>
      </c>
      <c r="AH698" s="0" t="n">
        <f aca="false">D698*(LN(EXP(S698)+EXP(T698)))</f>
        <v>-0</v>
      </c>
      <c r="AJ698" s="0" t="n">
        <f aca="false">$J$5</f>
        <v>10</v>
      </c>
      <c r="AK698" s="4" t="n">
        <f aca="false">AJ698+MAX(K698,AK$10:AK697)</f>
        <v>7108.82985076217</v>
      </c>
      <c r="AL698" s="5" t="n">
        <f aca="false">AK698-K698</f>
        <v>280.914867469918</v>
      </c>
      <c r="AM698" s="0" t="n">
        <f aca="false">-G698*AL698/3600</f>
        <v>-1.29517634541729</v>
      </c>
      <c r="AN698" s="0" t="n">
        <f aca="false">-H698*AL698/3600</f>
        <v>-4.2862790077067</v>
      </c>
      <c r="AO698" s="0" t="n">
        <f aca="false">AM698*E698+AN698*D698</f>
        <v>-1.29517634541729</v>
      </c>
      <c r="AP698" s="0" t="n">
        <f aca="false">AL698*D698</f>
        <v>0</v>
      </c>
      <c r="AR698" s="0" t="n">
        <f aca="false">AN698*D698</f>
        <v>-0</v>
      </c>
      <c r="AS698" s="0" t="n">
        <f aca="false">AH698-AR698</f>
        <v>0</v>
      </c>
    </row>
    <row r="699" customFormat="false" ht="12" hidden="false" customHeight="false" outlineLevel="0" collapsed="false">
      <c r="A699" s="3" t="n">
        <f aca="false">A698+1</f>
        <v>690</v>
      </c>
      <c r="B699" s="3" t="n">
        <f aca="false">IF(A699&lt;$N$4/3,0.1,(IF(A699&gt;2*$N$4/3,0.05,0.12)))</f>
        <v>0.05</v>
      </c>
      <c r="C699" s="4" t="n">
        <f aca="true">RAND()</f>
        <v>0.17028330683418</v>
      </c>
      <c r="D699" s="0" t="n">
        <f aca="false">IF((C699&gt;$M$2),1,0)</f>
        <v>0</v>
      </c>
      <c r="E699" s="0" t="n">
        <f aca="false">1-D699</f>
        <v>1</v>
      </c>
      <c r="F699" s="0" t="n">
        <f aca="true">RAND()</f>
        <v>0.358693121303801</v>
      </c>
      <c r="G699" s="0" t="n">
        <f aca="false">7.75+F699*10</f>
        <v>11.336931213038</v>
      </c>
      <c r="H699" s="0" t="n">
        <f aca="false">LOGINV(F699,2.64,1.139)</f>
        <v>9.2788177908696</v>
      </c>
      <c r="I699" s="0" t="n">
        <v>19.5</v>
      </c>
      <c r="J699" s="4" t="n">
        <f aca="true">-LN(RAND())/B699</f>
        <v>1.35765432218962</v>
      </c>
      <c r="K699" s="4" t="n">
        <f aca="false">K698+J699</f>
        <v>6829.27263761444</v>
      </c>
      <c r="L699" s="4" t="n">
        <f aca="false">(1/$J$4)*(1+AB698)</f>
        <v>10</v>
      </c>
      <c r="M699" s="4" t="n">
        <f aca="false">L699+MAX(K699,Y$10:Y698)</f>
        <v>7118.82985076217</v>
      </c>
      <c r="N699" s="4" t="n">
        <f aca="false">K699</f>
        <v>6829.27263761444</v>
      </c>
      <c r="O699" s="4" t="n">
        <f aca="false">M699-K699</f>
        <v>289.557213147728</v>
      </c>
      <c r="P699" s="4" t="n">
        <f aca="false">N699-K699</f>
        <v>0</v>
      </c>
      <c r="Q699" s="4" t="n">
        <f aca="false">A699-MATCH(K699,$M$9:M698,1)</f>
        <v>28</v>
      </c>
      <c r="R699" s="0" t="n">
        <f aca="false">-G699*(O699/3600)</f>
        <v>-0.911858391026329</v>
      </c>
      <c r="S699" s="0" t="n">
        <f aca="false">-1*I699-(H699*(P699/3600))</f>
        <v>-19.5</v>
      </c>
      <c r="T699" s="0" t="n">
        <f aca="false">-H699*(O699/3600)</f>
        <v>-0.7463190613416</v>
      </c>
      <c r="U699" s="0" t="n">
        <f aca="false">T699-S699</f>
        <v>18.7536809386584</v>
      </c>
      <c r="V699" s="0" t="n">
        <f aca="false">1/(1+EXP(U699))</f>
        <v>7.16770049458639E-009</v>
      </c>
      <c r="W699" s="0" t="n">
        <f aca="true">RAND()</f>
        <v>0.486329847890582</v>
      </c>
      <c r="X699" s="0" t="n">
        <f aca="false">IF(W699&lt;V699,1,0)</f>
        <v>0</v>
      </c>
      <c r="Y699" s="0" t="n">
        <f aca="false">(M699*(1-X699)+N699*X699)*D699+M699*E699</f>
        <v>7118.82985076217</v>
      </c>
      <c r="Z699" s="0" t="n">
        <f aca="false">((1-X699)*O699+X699*P699)*D699+E699*O699</f>
        <v>289.557213147728</v>
      </c>
      <c r="AA699" s="0" t="n">
        <f aca="false">IF(D699*X699&gt;0,AA698,Q699)</f>
        <v>28</v>
      </c>
      <c r="AB699" s="0" t="n">
        <f aca="false">(X699*D699)</f>
        <v>0</v>
      </c>
      <c r="AC699" s="0" t="n">
        <f aca="false">SUM(AB$10:AB698)/K699</f>
        <v>0.000146428478267535</v>
      </c>
      <c r="AD699" s="0" t="n">
        <f aca="false">R699*E699+D699*(X699*S699+(1-X699)*T699)</f>
        <v>-0.911858391026329</v>
      </c>
      <c r="AE699" s="0" t="n">
        <f aca="false">Z699</f>
        <v>289.557213147728</v>
      </c>
      <c r="AF699" s="0" t="n">
        <f aca="false">E699*O699</f>
        <v>289.557213147728</v>
      </c>
      <c r="AG699" s="0" t="n">
        <f aca="false">((1-X699)*O699+X699*P699)*D699</f>
        <v>0</v>
      </c>
      <c r="AH699" s="0" t="n">
        <f aca="false">D699*(LN(EXP(S699)+EXP(T699)))</f>
        <v>-0</v>
      </c>
      <c r="AJ699" s="0" t="n">
        <f aca="false">$J$5</f>
        <v>10</v>
      </c>
      <c r="AK699" s="4" t="n">
        <f aca="false">AJ699+MAX(K699,AK$10:AK698)</f>
        <v>7118.82985076217</v>
      </c>
      <c r="AL699" s="5" t="n">
        <f aca="false">AK699-K699</f>
        <v>289.557213147728</v>
      </c>
      <c r="AM699" s="0" t="n">
        <f aca="false">-G699*AL699/3600</f>
        <v>-0.911858391026329</v>
      </c>
      <c r="AN699" s="0" t="n">
        <f aca="false">-H699*AL699/3600</f>
        <v>-0.7463190613416</v>
      </c>
      <c r="AO699" s="0" t="n">
        <f aca="false">AM699*E699+AN699*D699</f>
        <v>-0.911858391026329</v>
      </c>
      <c r="AP699" s="0" t="n">
        <f aca="false">AL699*D699</f>
        <v>0</v>
      </c>
      <c r="AR699" s="0" t="n">
        <f aca="false">AN699*D699</f>
        <v>-0</v>
      </c>
      <c r="AS699" s="0" t="n">
        <f aca="false">AH699-AR699</f>
        <v>0</v>
      </c>
    </row>
    <row r="700" customFormat="false" ht="12" hidden="false" customHeight="false" outlineLevel="0" collapsed="false">
      <c r="A700" s="3" t="n">
        <f aca="false">A699+1</f>
        <v>691</v>
      </c>
      <c r="B700" s="3" t="n">
        <f aca="false">IF(A700&lt;$N$4/3,0.1,(IF(A700&gt;2*$N$4/3,0.05,0.12)))</f>
        <v>0.05</v>
      </c>
      <c r="C700" s="4" t="n">
        <f aca="true">RAND()</f>
        <v>0.239049193358233</v>
      </c>
      <c r="D700" s="0" t="n">
        <f aca="false">IF((C700&gt;$M$2),1,0)</f>
        <v>0</v>
      </c>
      <c r="E700" s="0" t="n">
        <f aca="false">1-D700</f>
        <v>1</v>
      </c>
      <c r="F700" s="0" t="n">
        <f aca="true">RAND()</f>
        <v>0.934902915112802</v>
      </c>
      <c r="G700" s="0" t="n">
        <f aca="false">7.75+F700*10</f>
        <v>17.099029151128</v>
      </c>
      <c r="H700" s="0" t="n">
        <f aca="false">LOGINV(F700,2.64,1.139)</f>
        <v>78.5464708441644</v>
      </c>
      <c r="I700" s="0" t="n">
        <v>19.5</v>
      </c>
      <c r="J700" s="4" t="n">
        <f aca="true">-LN(RAND())/B700</f>
        <v>25.9657045161716</v>
      </c>
      <c r="K700" s="4" t="n">
        <f aca="false">K699+J700</f>
        <v>6855.23834213061</v>
      </c>
      <c r="L700" s="4" t="n">
        <f aca="false">(1/$J$4)*(1+AB699)</f>
        <v>10</v>
      </c>
      <c r="M700" s="4" t="n">
        <f aca="false">L700+MAX(K700,Y$10:Y699)</f>
        <v>7128.82985076217</v>
      </c>
      <c r="N700" s="4" t="n">
        <f aca="false">K700</f>
        <v>6855.23834213061</v>
      </c>
      <c r="O700" s="4" t="n">
        <f aca="false">M700-K700</f>
        <v>273.591508631557</v>
      </c>
      <c r="P700" s="4" t="n">
        <f aca="false">N700-K700</f>
        <v>0</v>
      </c>
      <c r="Q700" s="4" t="n">
        <f aca="false">A700-MATCH(K700,$M$9:M699,1)</f>
        <v>27</v>
      </c>
      <c r="R700" s="0" t="n">
        <f aca="false">-G700*(O700/3600)</f>
        <v>-1.29948588377558</v>
      </c>
      <c r="S700" s="0" t="n">
        <f aca="false">-1*I700-(H700*(P700/3600))</f>
        <v>-19.5</v>
      </c>
      <c r="T700" s="0" t="n">
        <f aca="false">-H700*(O700/3600)</f>
        <v>-5.96934651553876</v>
      </c>
      <c r="U700" s="0" t="n">
        <f aca="false">T700-S700</f>
        <v>13.5306534844612</v>
      </c>
      <c r="V700" s="0" t="n">
        <f aca="false">1/(1+EXP(U700))</f>
        <v>1.32957021571522E-006</v>
      </c>
      <c r="W700" s="0" t="n">
        <f aca="true">RAND()</f>
        <v>0.0282399687507141</v>
      </c>
      <c r="X700" s="0" t="n">
        <f aca="false">IF(W700&lt;V700,1,0)</f>
        <v>0</v>
      </c>
      <c r="Y700" s="0" t="n">
        <f aca="false">(M700*(1-X700)+N700*X700)*D700+M700*E700</f>
        <v>7128.82985076217</v>
      </c>
      <c r="Z700" s="0" t="n">
        <f aca="false">((1-X700)*O700+X700*P700)*D700+E700*O700</f>
        <v>273.591508631557</v>
      </c>
      <c r="AA700" s="0" t="n">
        <f aca="false">IF(D700*X700&gt;0,AA699,Q700)</f>
        <v>27</v>
      </c>
      <c r="AB700" s="0" t="n">
        <f aca="false">(X700*D700)</f>
        <v>0</v>
      </c>
      <c r="AC700" s="0" t="n">
        <f aca="false">SUM(AB$10:AB699)/K700</f>
        <v>0.000145873848594621</v>
      </c>
      <c r="AD700" s="0" t="n">
        <f aca="false">R700*E700+D700*(X700*S700+(1-X700)*T700)</f>
        <v>-1.29948588377558</v>
      </c>
      <c r="AE700" s="0" t="n">
        <f aca="false">Z700</f>
        <v>273.591508631557</v>
      </c>
      <c r="AF700" s="0" t="n">
        <f aca="false">E700*O700</f>
        <v>273.591508631557</v>
      </c>
      <c r="AG700" s="0" t="n">
        <f aca="false">((1-X700)*O700+X700*P700)*D700</f>
        <v>0</v>
      </c>
      <c r="AH700" s="0" t="n">
        <f aca="false">D700*(LN(EXP(S700)+EXP(T700)))</f>
        <v>-0</v>
      </c>
      <c r="AJ700" s="0" t="n">
        <f aca="false">$J$5</f>
        <v>10</v>
      </c>
      <c r="AK700" s="4" t="n">
        <f aca="false">AJ700+MAX(K700,AK$10:AK699)</f>
        <v>7128.82985076217</v>
      </c>
      <c r="AL700" s="5" t="n">
        <f aca="false">AK700-K700</f>
        <v>273.591508631557</v>
      </c>
      <c r="AM700" s="0" t="n">
        <f aca="false">-G700*AL700/3600</f>
        <v>-1.29948588377558</v>
      </c>
      <c r="AN700" s="0" t="n">
        <f aca="false">-H700*AL700/3600</f>
        <v>-5.96934651553876</v>
      </c>
      <c r="AO700" s="0" t="n">
        <f aca="false">AM700*E700+AN700*D700</f>
        <v>-1.29948588377558</v>
      </c>
      <c r="AP700" s="0" t="n">
        <f aca="false">AL700*D700</f>
        <v>0</v>
      </c>
      <c r="AR700" s="0" t="n">
        <f aca="false">AN700*D700</f>
        <v>-0</v>
      </c>
      <c r="AS700" s="0" t="n">
        <f aca="false">AH700-AR700</f>
        <v>0</v>
      </c>
    </row>
    <row r="701" customFormat="false" ht="12" hidden="false" customHeight="false" outlineLevel="0" collapsed="false">
      <c r="A701" s="3" t="n">
        <f aca="false">A700+1</f>
        <v>692</v>
      </c>
      <c r="B701" s="3" t="n">
        <f aca="false">IF(A701&lt;$N$4/3,0.1,(IF(A701&gt;2*$N$4/3,0.05,0.12)))</f>
        <v>0.05</v>
      </c>
      <c r="C701" s="4" t="n">
        <f aca="true">RAND()</f>
        <v>0.796203627357779</v>
      </c>
      <c r="D701" s="0" t="n">
        <f aca="false">IF((C701&gt;$M$2),1,0)</f>
        <v>0</v>
      </c>
      <c r="E701" s="0" t="n">
        <f aca="false">1-D701</f>
        <v>1</v>
      </c>
      <c r="F701" s="0" t="n">
        <f aca="true">RAND()</f>
        <v>0.512236677733125</v>
      </c>
      <c r="G701" s="0" t="n">
        <f aca="false">7.75+F701*10</f>
        <v>12.8723667773313</v>
      </c>
      <c r="H701" s="0" t="n">
        <f aca="false">LOGINV(F701,2.64,1.139)</f>
        <v>14.511505272503</v>
      </c>
      <c r="I701" s="0" t="n">
        <v>19.5</v>
      </c>
      <c r="J701" s="4" t="n">
        <f aca="true">-LN(RAND())/B701</f>
        <v>1.12909816668705</v>
      </c>
      <c r="K701" s="4" t="n">
        <f aca="false">K700+J701</f>
        <v>6856.3674402973</v>
      </c>
      <c r="L701" s="4" t="n">
        <f aca="false">(1/$J$4)*(1+AB700)</f>
        <v>10</v>
      </c>
      <c r="M701" s="4" t="n">
        <f aca="false">L701+MAX(K701,Y$10:Y700)</f>
        <v>7138.82985076217</v>
      </c>
      <c r="N701" s="4" t="n">
        <f aca="false">K701</f>
        <v>6856.3674402973</v>
      </c>
      <c r="O701" s="4" t="n">
        <f aca="false">M701-K701</f>
        <v>282.46241046487</v>
      </c>
      <c r="P701" s="4" t="n">
        <f aca="false">N701-K701</f>
        <v>0</v>
      </c>
      <c r="Q701" s="4" t="n">
        <f aca="false">A701-MATCH(K701,$M$9:M700,1)</f>
        <v>28</v>
      </c>
      <c r="R701" s="0" t="n">
        <f aca="false">-G701*(O701/3600)</f>
        <v>-1.0099888189758</v>
      </c>
      <c r="S701" s="0" t="n">
        <f aca="false">-1*I701-(H701*(P701/3600))</f>
        <v>-19.5</v>
      </c>
      <c r="T701" s="0" t="n">
        <f aca="false">-H701*(O701/3600)</f>
        <v>-1.1385985440958</v>
      </c>
      <c r="U701" s="0" t="n">
        <f aca="false">T701-S701</f>
        <v>18.3614014559042</v>
      </c>
      <c r="V701" s="0" t="n">
        <f aca="false">1/(1+EXP(U701))</f>
        <v>1.061071532703E-008</v>
      </c>
      <c r="W701" s="0" t="n">
        <f aca="true">RAND()</f>
        <v>0.28308625024866</v>
      </c>
      <c r="X701" s="0" t="n">
        <f aca="false">IF(W701&lt;V701,1,0)</f>
        <v>0</v>
      </c>
      <c r="Y701" s="0" t="n">
        <f aca="false">(M701*(1-X701)+N701*X701)*D701+M701*E701</f>
        <v>7138.82985076217</v>
      </c>
      <c r="Z701" s="0" t="n">
        <f aca="false">((1-X701)*O701+X701*P701)*D701+E701*O701</f>
        <v>282.46241046487</v>
      </c>
      <c r="AA701" s="0" t="n">
        <f aca="false">IF(D701*X701&gt;0,AA700,Q701)</f>
        <v>28</v>
      </c>
      <c r="AB701" s="0" t="n">
        <f aca="false">(X701*D701)</f>
        <v>0</v>
      </c>
      <c r="AC701" s="0" t="n">
        <f aca="false">SUM(AB$10:AB700)/K701</f>
        <v>0.000145849826268447</v>
      </c>
      <c r="AD701" s="0" t="n">
        <f aca="false">R701*E701+D701*(X701*S701+(1-X701)*T701)</f>
        <v>-1.0099888189758</v>
      </c>
      <c r="AE701" s="0" t="n">
        <f aca="false">Z701</f>
        <v>282.46241046487</v>
      </c>
      <c r="AF701" s="0" t="n">
        <f aca="false">E701*O701</f>
        <v>282.46241046487</v>
      </c>
      <c r="AG701" s="0" t="n">
        <f aca="false">((1-X701)*O701+X701*P701)*D701</f>
        <v>0</v>
      </c>
      <c r="AH701" s="0" t="n">
        <f aca="false">D701*(LN(EXP(S701)+EXP(T701)))</f>
        <v>-0</v>
      </c>
      <c r="AJ701" s="0" t="n">
        <f aca="false">$J$5</f>
        <v>10</v>
      </c>
      <c r="AK701" s="4" t="n">
        <f aca="false">AJ701+MAX(K701,AK$10:AK700)</f>
        <v>7138.82985076217</v>
      </c>
      <c r="AL701" s="5" t="n">
        <f aca="false">AK701-K701</f>
        <v>282.46241046487</v>
      </c>
      <c r="AM701" s="0" t="n">
        <f aca="false">-G701*AL701/3600</f>
        <v>-1.0099888189758</v>
      </c>
      <c r="AN701" s="0" t="n">
        <f aca="false">-H701*AL701/3600</f>
        <v>-1.1385985440958</v>
      </c>
      <c r="AO701" s="0" t="n">
        <f aca="false">AM701*E701+AN701*D701</f>
        <v>-1.0099888189758</v>
      </c>
      <c r="AP701" s="0" t="n">
        <f aca="false">AL701*D701</f>
        <v>0</v>
      </c>
      <c r="AR701" s="0" t="n">
        <f aca="false">AN701*D701</f>
        <v>-0</v>
      </c>
      <c r="AS701" s="0" t="n">
        <f aca="false">AH701-AR701</f>
        <v>0</v>
      </c>
    </row>
    <row r="702" customFormat="false" ht="12" hidden="false" customHeight="false" outlineLevel="0" collapsed="false">
      <c r="A702" s="3" t="n">
        <f aca="false">A701+1</f>
        <v>693</v>
      </c>
      <c r="B702" s="3" t="n">
        <f aca="false">IF(A702&lt;$N$4/3,0.1,(IF(A702&gt;2*$N$4/3,0.05,0.12)))</f>
        <v>0.05</v>
      </c>
      <c r="C702" s="4" t="n">
        <f aca="true">RAND()</f>
        <v>0.0350646375106802</v>
      </c>
      <c r="D702" s="0" t="n">
        <f aca="false">IF((C702&gt;$M$2),1,0)</f>
        <v>0</v>
      </c>
      <c r="E702" s="0" t="n">
        <f aca="false">1-D702</f>
        <v>1</v>
      </c>
      <c r="F702" s="0" t="n">
        <f aca="true">RAND()</f>
        <v>0.228422783277738</v>
      </c>
      <c r="G702" s="0" t="n">
        <f aca="false">7.75+F702*10</f>
        <v>10.0342278327774</v>
      </c>
      <c r="H702" s="0" t="n">
        <f aca="false">LOGINV(F702,2.64,1.139)</f>
        <v>6.00459979002096</v>
      </c>
      <c r="I702" s="0" t="n">
        <v>19.5</v>
      </c>
      <c r="J702" s="4" t="n">
        <f aca="true">-LN(RAND())/B702</f>
        <v>76.9182029323797</v>
      </c>
      <c r="K702" s="4" t="n">
        <f aca="false">K701+J702</f>
        <v>6933.28564322968</v>
      </c>
      <c r="L702" s="4" t="n">
        <f aca="false">(1/$J$4)*(1+AB701)</f>
        <v>10</v>
      </c>
      <c r="M702" s="4" t="n">
        <f aca="false">L702+MAX(K702,Y$10:Y701)</f>
        <v>7148.82985076217</v>
      </c>
      <c r="N702" s="4" t="n">
        <f aca="false">K702</f>
        <v>6933.28564322968</v>
      </c>
      <c r="O702" s="4" t="n">
        <f aca="false">M702-K702</f>
        <v>215.54420753249</v>
      </c>
      <c r="P702" s="4" t="n">
        <f aca="false">N702-K702</f>
        <v>0</v>
      </c>
      <c r="Q702" s="4" t="n">
        <f aca="false">A702-MATCH(K702,$M$9:M701,1)</f>
        <v>21</v>
      </c>
      <c r="R702" s="0" t="n">
        <f aca="false">-G702*(O702/3600)</f>
        <v>-0.600783246226793</v>
      </c>
      <c r="S702" s="0" t="n">
        <f aca="false">-1*I702-(H702*(P702/3600))</f>
        <v>-19.5</v>
      </c>
      <c r="T702" s="0" t="n">
        <f aca="false">-H702*(O702/3600)</f>
        <v>-0.35951575091384</v>
      </c>
      <c r="U702" s="0" t="n">
        <f aca="false">T702-S702</f>
        <v>19.1404842490862</v>
      </c>
      <c r="V702" s="0" t="n">
        <f aca="false">1/(1+EXP(U702))</f>
        <v>4.86847907306597E-009</v>
      </c>
      <c r="W702" s="0" t="n">
        <f aca="true">RAND()</f>
        <v>0.552882065844509</v>
      </c>
      <c r="X702" s="0" t="n">
        <f aca="false">IF(W702&lt;V702,1,0)</f>
        <v>0</v>
      </c>
      <c r="Y702" s="0" t="n">
        <f aca="false">(M702*(1-X702)+N702*X702)*D702+M702*E702</f>
        <v>7148.82985076217</v>
      </c>
      <c r="Z702" s="0" t="n">
        <f aca="false">((1-X702)*O702+X702*P702)*D702+E702*O702</f>
        <v>215.54420753249</v>
      </c>
      <c r="AA702" s="0" t="n">
        <f aca="false">IF(D702*X702&gt;0,AA701,Q702)</f>
        <v>21</v>
      </c>
      <c r="AB702" s="0" t="n">
        <f aca="false">(X702*D702)</f>
        <v>0</v>
      </c>
      <c r="AC702" s="0" t="n">
        <f aca="false">SUM(AB$10:AB701)/K702</f>
        <v>0.00014423176131168</v>
      </c>
      <c r="AD702" s="0" t="n">
        <f aca="false">R702*E702+D702*(X702*S702+(1-X702)*T702)</f>
        <v>-0.600783246226793</v>
      </c>
      <c r="AE702" s="0" t="n">
        <f aca="false">Z702</f>
        <v>215.54420753249</v>
      </c>
      <c r="AF702" s="0" t="n">
        <f aca="false">E702*O702</f>
        <v>215.54420753249</v>
      </c>
      <c r="AG702" s="0" t="n">
        <f aca="false">((1-X702)*O702+X702*P702)*D702</f>
        <v>0</v>
      </c>
      <c r="AH702" s="0" t="n">
        <f aca="false">D702*(LN(EXP(S702)+EXP(T702)))</f>
        <v>-0</v>
      </c>
      <c r="AJ702" s="0" t="n">
        <f aca="false">$J$5</f>
        <v>10</v>
      </c>
      <c r="AK702" s="4" t="n">
        <f aca="false">AJ702+MAX(K702,AK$10:AK701)</f>
        <v>7148.82985076217</v>
      </c>
      <c r="AL702" s="5" t="n">
        <f aca="false">AK702-K702</f>
        <v>215.54420753249</v>
      </c>
      <c r="AM702" s="0" t="n">
        <f aca="false">-G702*AL702/3600</f>
        <v>-0.600783246226793</v>
      </c>
      <c r="AN702" s="0" t="n">
        <f aca="false">-H702*AL702/3600</f>
        <v>-0.35951575091384</v>
      </c>
      <c r="AO702" s="0" t="n">
        <f aca="false">AM702*E702+AN702*D702</f>
        <v>-0.600783246226793</v>
      </c>
      <c r="AP702" s="0" t="n">
        <f aca="false">AL702*D702</f>
        <v>0</v>
      </c>
      <c r="AR702" s="0" t="n">
        <f aca="false">AN702*D702</f>
        <v>-0</v>
      </c>
      <c r="AS702" s="0" t="n">
        <f aca="false">AH702-AR702</f>
        <v>0</v>
      </c>
    </row>
    <row r="703" customFormat="false" ht="12" hidden="false" customHeight="false" outlineLevel="0" collapsed="false">
      <c r="A703" s="3" t="n">
        <f aca="false">A702+1</f>
        <v>694</v>
      </c>
      <c r="B703" s="3" t="n">
        <f aca="false">IF(A703&lt;$N$4/3,0.1,(IF(A703&gt;2*$N$4/3,0.05,0.12)))</f>
        <v>0.05</v>
      </c>
      <c r="C703" s="4" t="n">
        <f aca="true">RAND()</f>
        <v>0.86861472295242</v>
      </c>
      <c r="D703" s="0" t="n">
        <f aca="false">IF((C703&gt;$M$2),1,0)</f>
        <v>0</v>
      </c>
      <c r="E703" s="0" t="n">
        <f aca="false">1-D703</f>
        <v>1</v>
      </c>
      <c r="F703" s="0" t="n">
        <f aca="true">RAND()</f>
        <v>0.635347878363664</v>
      </c>
      <c r="G703" s="0" t="n">
        <f aca="false">7.75+F703*10</f>
        <v>14.1034787836366</v>
      </c>
      <c r="H703" s="0" t="n">
        <f aca="false">LOGINV(F703,2.64,1.139)</f>
        <v>20.7833525319048</v>
      </c>
      <c r="I703" s="0" t="n">
        <v>19.5</v>
      </c>
      <c r="J703" s="4" t="n">
        <f aca="true">-LN(RAND())/B703</f>
        <v>23.5225243337603</v>
      </c>
      <c r="K703" s="4" t="n">
        <f aca="false">K702+J703</f>
        <v>6956.80816756344</v>
      </c>
      <c r="L703" s="4" t="n">
        <f aca="false">(1/$J$4)*(1+AB702)</f>
        <v>10</v>
      </c>
      <c r="M703" s="4" t="n">
        <f aca="false">L703+MAX(K703,Y$10:Y702)</f>
        <v>7158.82985076217</v>
      </c>
      <c r="N703" s="4" t="n">
        <f aca="false">K703</f>
        <v>6956.80816756344</v>
      </c>
      <c r="O703" s="4" t="n">
        <f aca="false">M703-K703</f>
        <v>202.02168319873</v>
      </c>
      <c r="P703" s="4" t="n">
        <f aca="false">N703-K703</f>
        <v>0</v>
      </c>
      <c r="Q703" s="4" t="n">
        <f aca="false">A703-MATCH(K703,$M$9:M702,1)</f>
        <v>20</v>
      </c>
      <c r="R703" s="0" t="n">
        <f aca="false">-G703*(O703/3600)</f>
        <v>-0.791446811896625</v>
      </c>
      <c r="S703" s="0" t="n">
        <f aca="false">-1*I703-(H703*(P703/3600))</f>
        <v>-19.5</v>
      </c>
      <c r="T703" s="0" t="n">
        <f aca="false">-H703*(O703/3600)</f>
        <v>-1.16630218361333</v>
      </c>
      <c r="U703" s="0" t="n">
        <f aca="false">T703-S703</f>
        <v>18.3336978163867</v>
      </c>
      <c r="V703" s="0" t="n">
        <f aca="false">1/(1+EXP(U703))</f>
        <v>1.09087804371521E-008</v>
      </c>
      <c r="W703" s="0" t="n">
        <f aca="true">RAND()</f>
        <v>0.578871707279833</v>
      </c>
      <c r="X703" s="0" t="n">
        <f aca="false">IF(W703&lt;V703,1,0)</f>
        <v>0</v>
      </c>
      <c r="Y703" s="0" t="n">
        <f aca="false">(M703*(1-X703)+N703*X703)*D703+M703*E703</f>
        <v>7158.82985076217</v>
      </c>
      <c r="Z703" s="0" t="n">
        <f aca="false">((1-X703)*O703+X703*P703)*D703+E703*O703</f>
        <v>202.02168319873</v>
      </c>
      <c r="AA703" s="0" t="n">
        <f aca="false">IF(D703*X703&gt;0,AA702,Q703)</f>
        <v>20</v>
      </c>
      <c r="AB703" s="0" t="n">
        <f aca="false">(X703*D703)</f>
        <v>0</v>
      </c>
      <c r="AC703" s="0" t="n">
        <f aca="false">SUM(AB$10:AB702)/K703</f>
        <v>0.000143744081468649</v>
      </c>
      <c r="AD703" s="0" t="n">
        <f aca="false">R703*E703+D703*(X703*S703+(1-X703)*T703)</f>
        <v>-0.791446811896625</v>
      </c>
      <c r="AE703" s="0" t="n">
        <f aca="false">Z703</f>
        <v>202.02168319873</v>
      </c>
      <c r="AF703" s="0" t="n">
        <f aca="false">E703*O703</f>
        <v>202.02168319873</v>
      </c>
      <c r="AG703" s="0" t="n">
        <f aca="false">((1-X703)*O703+X703*P703)*D703</f>
        <v>0</v>
      </c>
      <c r="AH703" s="0" t="n">
        <f aca="false">D703*(LN(EXP(S703)+EXP(T703)))</f>
        <v>-0</v>
      </c>
      <c r="AJ703" s="0" t="n">
        <f aca="false">$J$5</f>
        <v>10</v>
      </c>
      <c r="AK703" s="4" t="n">
        <f aca="false">AJ703+MAX(K703,AK$10:AK702)</f>
        <v>7158.82985076217</v>
      </c>
      <c r="AL703" s="5" t="n">
        <f aca="false">AK703-K703</f>
        <v>202.02168319873</v>
      </c>
      <c r="AM703" s="0" t="n">
        <f aca="false">-G703*AL703/3600</f>
        <v>-0.791446811896626</v>
      </c>
      <c r="AN703" s="0" t="n">
        <f aca="false">-H703*AL703/3600</f>
        <v>-1.16630218361333</v>
      </c>
      <c r="AO703" s="0" t="n">
        <f aca="false">AM703*E703+AN703*D703</f>
        <v>-0.791446811896626</v>
      </c>
      <c r="AP703" s="0" t="n">
        <f aca="false">AL703*D703</f>
        <v>0</v>
      </c>
      <c r="AR703" s="0" t="n">
        <f aca="false">AN703*D703</f>
        <v>-0</v>
      </c>
      <c r="AS703" s="0" t="n">
        <f aca="false">AH703-AR703</f>
        <v>0</v>
      </c>
    </row>
    <row r="704" customFormat="false" ht="12" hidden="false" customHeight="false" outlineLevel="0" collapsed="false">
      <c r="A704" s="3" t="n">
        <f aca="false">A703+1</f>
        <v>695</v>
      </c>
      <c r="B704" s="3" t="n">
        <f aca="false">IF(A704&lt;$N$4/3,0.1,(IF(A704&gt;2*$N$4/3,0.05,0.12)))</f>
        <v>0.05</v>
      </c>
      <c r="C704" s="4" t="n">
        <f aca="true">RAND()</f>
        <v>0.449672151710607</v>
      </c>
      <c r="D704" s="0" t="n">
        <f aca="false">IF((C704&gt;$M$2),1,0)</f>
        <v>0</v>
      </c>
      <c r="E704" s="0" t="n">
        <f aca="false">1-D704</f>
        <v>1</v>
      </c>
      <c r="F704" s="0" t="n">
        <f aca="true">RAND()</f>
        <v>0.500955559747306</v>
      </c>
      <c r="G704" s="0" t="n">
        <f aca="false">7.75+F704*10</f>
        <v>12.7595555974731</v>
      </c>
      <c r="H704" s="0" t="n">
        <f aca="false">LOGINV(F704,2.64,1.139)</f>
        <v>14.0514862497791</v>
      </c>
      <c r="I704" s="0" t="n">
        <v>19.5</v>
      </c>
      <c r="J704" s="4" t="n">
        <f aca="true">-LN(RAND())/B704</f>
        <v>0.177450339214686</v>
      </c>
      <c r="K704" s="4" t="n">
        <f aca="false">K703+J704</f>
        <v>6956.98561790266</v>
      </c>
      <c r="L704" s="4" t="n">
        <f aca="false">(1/$J$4)*(1+AB703)</f>
        <v>10</v>
      </c>
      <c r="M704" s="4" t="n">
        <f aca="false">L704+MAX(K704,Y$10:Y703)</f>
        <v>7168.82985076217</v>
      </c>
      <c r="N704" s="4" t="n">
        <f aca="false">K704</f>
        <v>6956.98561790266</v>
      </c>
      <c r="O704" s="4" t="n">
        <f aca="false">M704-K704</f>
        <v>211.844232859516</v>
      </c>
      <c r="P704" s="4" t="n">
        <f aca="false">N704-K704</f>
        <v>0</v>
      </c>
      <c r="Q704" s="4" t="n">
        <f aca="false">A704-MATCH(K704,$M$9:M703,1)</f>
        <v>21</v>
      </c>
      <c r="R704" s="0" t="n">
        <f aca="false">-G704*(O704/3600)</f>
        <v>-0.750843963104172</v>
      </c>
      <c r="S704" s="0" t="n">
        <f aca="false">-1*I704-(H704*(P704/3600))</f>
        <v>-19.5</v>
      </c>
      <c r="T704" s="0" t="n">
        <f aca="false">-H704*(O704/3600)</f>
        <v>-0.826868423644582</v>
      </c>
      <c r="U704" s="0" t="n">
        <f aca="false">T704-S704</f>
        <v>18.6731315763554</v>
      </c>
      <c r="V704" s="0" t="n">
        <f aca="false">1/(1+EXP(U704))</f>
        <v>7.76894403895846E-009</v>
      </c>
      <c r="W704" s="0" t="n">
        <f aca="true">RAND()</f>
        <v>0.176124461146563</v>
      </c>
      <c r="X704" s="0" t="n">
        <f aca="false">IF(W704&lt;V704,1,0)</f>
        <v>0</v>
      </c>
      <c r="Y704" s="0" t="n">
        <f aca="false">(M704*(1-X704)+N704*X704)*D704+M704*E704</f>
        <v>7168.82985076217</v>
      </c>
      <c r="Z704" s="0" t="n">
        <f aca="false">((1-X704)*O704+X704*P704)*D704+E704*O704</f>
        <v>211.844232859516</v>
      </c>
      <c r="AA704" s="0" t="n">
        <f aca="false">IF(D704*X704&gt;0,AA703,Q704)</f>
        <v>21</v>
      </c>
      <c r="AB704" s="0" t="n">
        <f aca="false">(X704*D704)</f>
        <v>0</v>
      </c>
      <c r="AC704" s="0" t="n">
        <f aca="false">SUM(AB$10:AB703)/K704</f>
        <v>0.00014374041501921</v>
      </c>
      <c r="AD704" s="0" t="n">
        <f aca="false">R704*E704+D704*(X704*S704+(1-X704)*T704)</f>
        <v>-0.750843963104172</v>
      </c>
      <c r="AE704" s="0" t="n">
        <f aca="false">Z704</f>
        <v>211.844232859516</v>
      </c>
      <c r="AF704" s="0" t="n">
        <f aca="false">E704*O704</f>
        <v>211.844232859516</v>
      </c>
      <c r="AG704" s="0" t="n">
        <f aca="false">((1-X704)*O704+X704*P704)*D704</f>
        <v>0</v>
      </c>
      <c r="AH704" s="0" t="n">
        <f aca="false">D704*(LN(EXP(S704)+EXP(T704)))</f>
        <v>-0</v>
      </c>
      <c r="AJ704" s="0" t="n">
        <f aca="false">$J$5</f>
        <v>10</v>
      </c>
      <c r="AK704" s="4" t="n">
        <f aca="false">AJ704+MAX(K704,AK$10:AK703)</f>
        <v>7168.82985076217</v>
      </c>
      <c r="AL704" s="5" t="n">
        <f aca="false">AK704-K704</f>
        <v>211.844232859516</v>
      </c>
      <c r="AM704" s="0" t="n">
        <f aca="false">-G704*AL704/3600</f>
        <v>-0.750843963104172</v>
      </c>
      <c r="AN704" s="0" t="n">
        <f aca="false">-H704*AL704/3600</f>
        <v>-0.826868423644582</v>
      </c>
      <c r="AO704" s="0" t="n">
        <f aca="false">AM704*E704+AN704*D704</f>
        <v>-0.750843963104172</v>
      </c>
      <c r="AP704" s="0" t="n">
        <f aca="false">AL704*D704</f>
        <v>0</v>
      </c>
      <c r="AR704" s="0" t="n">
        <f aca="false">AN704*D704</f>
        <v>-0</v>
      </c>
      <c r="AS704" s="0" t="n">
        <f aca="false">AH704-AR704</f>
        <v>0</v>
      </c>
    </row>
    <row r="705" customFormat="false" ht="12" hidden="false" customHeight="false" outlineLevel="0" collapsed="false">
      <c r="A705" s="3" t="n">
        <f aca="false">A704+1</f>
        <v>696</v>
      </c>
      <c r="B705" s="3" t="n">
        <f aca="false">IF(A705&lt;$N$4/3,0.1,(IF(A705&gt;2*$N$4/3,0.05,0.12)))</f>
        <v>0.05</v>
      </c>
      <c r="C705" s="4" t="n">
        <f aca="true">RAND()</f>
        <v>0.149212688385074</v>
      </c>
      <c r="D705" s="0" t="n">
        <f aca="false">IF((C705&gt;$M$2),1,0)</f>
        <v>0</v>
      </c>
      <c r="E705" s="0" t="n">
        <f aca="false">1-D705</f>
        <v>1</v>
      </c>
      <c r="F705" s="0" t="n">
        <f aca="true">RAND()</f>
        <v>0.940120409698319</v>
      </c>
      <c r="G705" s="0" t="n">
        <f aca="false">7.75+F705*10</f>
        <v>17.1512040969832</v>
      </c>
      <c r="H705" s="0" t="n">
        <f aca="false">LOGINV(F705,2.64,1.139)</f>
        <v>82.4374095455379</v>
      </c>
      <c r="I705" s="0" t="n">
        <v>19.5</v>
      </c>
      <c r="J705" s="4" t="n">
        <f aca="true">-LN(RAND())/B705</f>
        <v>41.1204273864873</v>
      </c>
      <c r="K705" s="4" t="n">
        <f aca="false">K704+J705</f>
        <v>6998.10604528914</v>
      </c>
      <c r="L705" s="4" t="n">
        <f aca="false">(1/$J$4)*(1+AB704)</f>
        <v>10</v>
      </c>
      <c r="M705" s="4" t="n">
        <f aca="false">L705+MAX(K705,Y$10:Y704)</f>
        <v>7178.82985076217</v>
      </c>
      <c r="N705" s="4" t="n">
        <f aca="false">K705</f>
        <v>6998.10604528914</v>
      </c>
      <c r="O705" s="4" t="n">
        <f aca="false">M705-K705</f>
        <v>180.723805473029</v>
      </c>
      <c r="P705" s="4" t="n">
        <f aca="false">N705-K705</f>
        <v>0</v>
      </c>
      <c r="Q705" s="4" t="n">
        <f aca="false">A705-MATCH(K705,$M$9:M704,1)</f>
        <v>18</v>
      </c>
      <c r="R705" s="0" t="n">
        <f aca="false">-G705*(O705/3600)</f>
        <v>-0.861008575792056</v>
      </c>
      <c r="S705" s="0" t="n">
        <f aca="false">-1*I705-(H705*(P705/3600))</f>
        <v>-19.5</v>
      </c>
      <c r="T705" s="0" t="n">
        <f aca="false">-H705*(O705/3600)</f>
        <v>-4.13844510178005</v>
      </c>
      <c r="U705" s="0" t="n">
        <f aca="false">T705-S705</f>
        <v>15.3615548982199</v>
      </c>
      <c r="V705" s="0" t="n">
        <f aca="false">1/(1+EXP(U705))</f>
        <v>2.13089171925226E-007</v>
      </c>
      <c r="W705" s="0" t="n">
        <f aca="true">RAND()</f>
        <v>0.143652969223882</v>
      </c>
      <c r="X705" s="0" t="n">
        <f aca="false">IF(W705&lt;V705,1,0)</f>
        <v>0</v>
      </c>
      <c r="Y705" s="0" t="n">
        <f aca="false">(M705*(1-X705)+N705*X705)*D705+M705*E705</f>
        <v>7178.82985076217</v>
      </c>
      <c r="Z705" s="0" t="n">
        <f aca="false">((1-X705)*O705+X705*P705)*D705+E705*O705</f>
        <v>180.723805473029</v>
      </c>
      <c r="AA705" s="0" t="n">
        <f aca="false">IF(D705*X705&gt;0,AA704,Q705)</f>
        <v>18</v>
      </c>
      <c r="AB705" s="0" t="n">
        <f aca="false">(X705*D705)</f>
        <v>0</v>
      </c>
      <c r="AC705" s="0" t="n">
        <f aca="false">SUM(AB$10:AB704)/K705</f>
        <v>0.000142895805454843</v>
      </c>
      <c r="AD705" s="0" t="n">
        <f aca="false">R705*E705+D705*(X705*S705+(1-X705)*T705)</f>
        <v>-0.861008575792056</v>
      </c>
      <c r="AE705" s="0" t="n">
        <f aca="false">Z705</f>
        <v>180.723805473029</v>
      </c>
      <c r="AF705" s="0" t="n">
        <f aca="false">E705*O705</f>
        <v>180.723805473029</v>
      </c>
      <c r="AG705" s="0" t="n">
        <f aca="false">((1-X705)*O705+X705*P705)*D705</f>
        <v>0</v>
      </c>
      <c r="AH705" s="0" t="n">
        <f aca="false">D705*(LN(EXP(S705)+EXP(T705)))</f>
        <v>-0</v>
      </c>
      <c r="AJ705" s="0" t="n">
        <f aca="false">$J$5</f>
        <v>10</v>
      </c>
      <c r="AK705" s="4" t="n">
        <f aca="false">AJ705+MAX(K705,AK$10:AK704)</f>
        <v>7178.82985076217</v>
      </c>
      <c r="AL705" s="5" t="n">
        <f aca="false">AK705-K705</f>
        <v>180.723805473029</v>
      </c>
      <c r="AM705" s="0" t="n">
        <f aca="false">-G705*AL705/3600</f>
        <v>-0.861008575792056</v>
      </c>
      <c r="AN705" s="0" t="n">
        <f aca="false">-H705*AL705/3600</f>
        <v>-4.13844510178005</v>
      </c>
      <c r="AO705" s="0" t="n">
        <f aca="false">AM705*E705+AN705*D705</f>
        <v>-0.861008575792056</v>
      </c>
      <c r="AP705" s="0" t="n">
        <f aca="false">AL705*D705</f>
        <v>0</v>
      </c>
      <c r="AR705" s="0" t="n">
        <f aca="false">AN705*D705</f>
        <v>-0</v>
      </c>
      <c r="AS705" s="0" t="n">
        <f aca="false">AH705-AR705</f>
        <v>0</v>
      </c>
    </row>
    <row r="706" customFormat="false" ht="12" hidden="false" customHeight="false" outlineLevel="0" collapsed="false">
      <c r="A706" s="3" t="n">
        <f aca="false">A705+1</f>
        <v>697</v>
      </c>
      <c r="B706" s="3" t="n">
        <f aca="false">IF(A706&lt;$N$4/3,0.1,(IF(A706&gt;2*$N$4/3,0.05,0.12)))</f>
        <v>0.05</v>
      </c>
      <c r="C706" s="4" t="n">
        <f aca="true">RAND()</f>
        <v>0.572927111050945</v>
      </c>
      <c r="D706" s="0" t="n">
        <f aca="false">IF((C706&gt;$M$2),1,0)</f>
        <v>0</v>
      </c>
      <c r="E706" s="0" t="n">
        <f aca="false">1-D706</f>
        <v>1</v>
      </c>
      <c r="F706" s="0" t="n">
        <f aca="true">RAND()</f>
        <v>0.919466891847147</v>
      </c>
      <c r="G706" s="0" t="n">
        <f aca="false">7.75+F706*10</f>
        <v>16.9446689184715</v>
      </c>
      <c r="H706" s="0" t="n">
        <f aca="false">LOGINV(F706,2.64,1.139)</f>
        <v>69.1516810580785</v>
      </c>
      <c r="I706" s="0" t="n">
        <v>19.5</v>
      </c>
      <c r="J706" s="4" t="n">
        <f aca="true">-LN(RAND())/B706</f>
        <v>6.3116762051545</v>
      </c>
      <c r="K706" s="4" t="n">
        <f aca="false">K705+J706</f>
        <v>7004.4177214943</v>
      </c>
      <c r="L706" s="4" t="n">
        <f aca="false">(1/$J$4)*(1+AB705)</f>
        <v>10</v>
      </c>
      <c r="M706" s="4" t="n">
        <f aca="false">L706+MAX(K706,Y$10:Y705)</f>
        <v>7188.82985076217</v>
      </c>
      <c r="N706" s="4" t="n">
        <f aca="false">K706</f>
        <v>7004.4177214943</v>
      </c>
      <c r="O706" s="4" t="n">
        <f aca="false">M706-K706</f>
        <v>184.412129267875</v>
      </c>
      <c r="P706" s="4" t="n">
        <f aca="false">N706-K706</f>
        <v>0</v>
      </c>
      <c r="Q706" s="4" t="n">
        <f aca="false">A706-MATCH(K706,$M$9:M705,1)</f>
        <v>18</v>
      </c>
      <c r="R706" s="0" t="n">
        <f aca="false">-G706*(O706/3600)</f>
        <v>-0.868000687498472</v>
      </c>
      <c r="S706" s="0" t="n">
        <f aca="false">-1*I706-(H706*(P706/3600))</f>
        <v>-19.5</v>
      </c>
      <c r="T706" s="0" t="n">
        <f aca="false">-H706*(O706/3600)</f>
        <v>-3.54233576288145</v>
      </c>
      <c r="U706" s="0" t="n">
        <f aca="false">T706-S706</f>
        <v>15.9576642371186</v>
      </c>
      <c r="V706" s="0" t="n">
        <f aca="false">1/(1+EXP(U706))</f>
        <v>1.17401711121244E-007</v>
      </c>
      <c r="W706" s="0" t="n">
        <f aca="true">RAND()</f>
        <v>0.409528094277226</v>
      </c>
      <c r="X706" s="0" t="n">
        <f aca="false">IF(W706&lt;V706,1,0)</f>
        <v>0</v>
      </c>
      <c r="Y706" s="0" t="n">
        <f aca="false">(M706*(1-X706)+N706*X706)*D706+M706*E706</f>
        <v>7188.82985076217</v>
      </c>
      <c r="Z706" s="0" t="n">
        <f aca="false">((1-X706)*O706+X706*P706)*D706+E706*O706</f>
        <v>184.412129267875</v>
      </c>
      <c r="AA706" s="0" t="n">
        <f aca="false">IF(D706*X706&gt;0,AA705,Q706)</f>
        <v>18</v>
      </c>
      <c r="AB706" s="0" t="n">
        <f aca="false">(X706*D706)</f>
        <v>0</v>
      </c>
      <c r="AC706" s="0" t="n">
        <f aca="false">SUM(AB$10:AB705)/K706</f>
        <v>0.000142767042138467</v>
      </c>
      <c r="AD706" s="0" t="n">
        <f aca="false">R706*E706+D706*(X706*S706+(1-X706)*T706)</f>
        <v>-0.868000687498472</v>
      </c>
      <c r="AE706" s="0" t="n">
        <f aca="false">Z706</f>
        <v>184.412129267875</v>
      </c>
      <c r="AF706" s="0" t="n">
        <f aca="false">E706*O706</f>
        <v>184.412129267875</v>
      </c>
      <c r="AG706" s="0" t="n">
        <f aca="false">((1-X706)*O706+X706*P706)*D706</f>
        <v>0</v>
      </c>
      <c r="AH706" s="0" t="n">
        <f aca="false">D706*(LN(EXP(S706)+EXP(T706)))</f>
        <v>-0</v>
      </c>
      <c r="AJ706" s="0" t="n">
        <f aca="false">$J$5</f>
        <v>10</v>
      </c>
      <c r="AK706" s="4" t="n">
        <f aca="false">AJ706+MAX(K706,AK$10:AK705)</f>
        <v>7188.82985076217</v>
      </c>
      <c r="AL706" s="5" t="n">
        <f aca="false">AK706-K706</f>
        <v>184.412129267875</v>
      </c>
      <c r="AM706" s="0" t="n">
        <f aca="false">-G706*AL706/3600</f>
        <v>-0.868000687498472</v>
      </c>
      <c r="AN706" s="0" t="n">
        <f aca="false">-H706*AL706/3600</f>
        <v>-3.54233576288145</v>
      </c>
      <c r="AO706" s="0" t="n">
        <f aca="false">AM706*E706+AN706*D706</f>
        <v>-0.868000687498472</v>
      </c>
      <c r="AP706" s="0" t="n">
        <f aca="false">AL706*D706</f>
        <v>0</v>
      </c>
      <c r="AR706" s="0" t="n">
        <f aca="false">AN706*D706</f>
        <v>-0</v>
      </c>
      <c r="AS706" s="0" t="n">
        <f aca="false">AH706-AR706</f>
        <v>0</v>
      </c>
    </row>
    <row r="707" customFormat="false" ht="12" hidden="false" customHeight="false" outlineLevel="0" collapsed="false">
      <c r="A707" s="3" t="n">
        <f aca="false">A706+1</f>
        <v>698</v>
      </c>
      <c r="B707" s="3" t="n">
        <f aca="false">IF(A707&lt;$N$4/3,0.1,(IF(A707&gt;2*$N$4/3,0.05,0.12)))</f>
        <v>0.05</v>
      </c>
      <c r="C707" s="4" t="n">
        <f aca="true">RAND()</f>
        <v>0.959545562028136</v>
      </c>
      <c r="D707" s="0" t="n">
        <f aca="false">IF((C707&gt;$M$2),1,0)</f>
        <v>1</v>
      </c>
      <c r="E707" s="0" t="n">
        <f aca="false">1-D707</f>
        <v>0</v>
      </c>
      <c r="F707" s="0" t="n">
        <f aca="true">RAND()</f>
        <v>0.759165352733428</v>
      </c>
      <c r="G707" s="0" t="n">
        <f aca="false">7.75+F707*10</f>
        <v>15.3416535273343</v>
      </c>
      <c r="H707" s="0" t="n">
        <f aca="false">LOGINV(F707,2.64,1.139)</f>
        <v>31.2313834605834</v>
      </c>
      <c r="I707" s="0" t="n">
        <v>19.5</v>
      </c>
      <c r="J707" s="4" t="n">
        <f aca="true">-LN(RAND())/B707</f>
        <v>3.4426860683843</v>
      </c>
      <c r="K707" s="4" t="n">
        <f aca="false">K706+J707</f>
        <v>7007.86040756268</v>
      </c>
      <c r="L707" s="4" t="n">
        <f aca="false">(1/$J$4)*(1+AB706)</f>
        <v>10</v>
      </c>
      <c r="M707" s="4" t="n">
        <f aca="false">L707+MAX(K707,Y$10:Y706)</f>
        <v>7198.82985076217</v>
      </c>
      <c r="N707" s="4" t="n">
        <f aca="false">K707</f>
        <v>7007.86040756268</v>
      </c>
      <c r="O707" s="4" t="n">
        <f aca="false">M707-K707</f>
        <v>190.96944319949</v>
      </c>
      <c r="P707" s="4" t="n">
        <f aca="false">N707-K707</f>
        <v>0</v>
      </c>
      <c r="Q707" s="4" t="n">
        <f aca="false">A707-MATCH(K707,$M$9:M706,1)</f>
        <v>19</v>
      </c>
      <c r="R707" s="0" t="n">
        <f aca="false">-G707*(O707/3600)</f>
        <v>-0.813829731076257</v>
      </c>
      <c r="S707" s="0" t="n">
        <f aca="false">-1*I707-(H707*(P707/3600))</f>
        <v>-19.5</v>
      </c>
      <c r="T707" s="0" t="n">
        <f aca="false">-H707*(O707/3600)</f>
        <v>-1.65673330828261</v>
      </c>
      <c r="U707" s="0" t="n">
        <f aca="false">T707-S707</f>
        <v>17.8432666917174</v>
      </c>
      <c r="V707" s="0" t="n">
        <f aca="false">1/(1+EXP(U707))</f>
        <v>1.78142576351472E-008</v>
      </c>
      <c r="W707" s="0" t="n">
        <f aca="true">RAND()</f>
        <v>0.39331853823455</v>
      </c>
      <c r="X707" s="0" t="n">
        <f aca="false">IF(W707&lt;V707,1,0)</f>
        <v>0</v>
      </c>
      <c r="Y707" s="0" t="n">
        <f aca="false">(M707*(1-X707)+N707*X707)*D707+M707*E707</f>
        <v>7198.82985076217</v>
      </c>
      <c r="Z707" s="0" t="n">
        <f aca="false">((1-X707)*O707+X707*P707)*D707+E707*O707</f>
        <v>190.96944319949</v>
      </c>
      <c r="AA707" s="0" t="n">
        <f aca="false">IF(D707*X707&gt;0,AA706,Q707)</f>
        <v>19</v>
      </c>
      <c r="AB707" s="0" t="n">
        <f aca="false">(X707*D707)</f>
        <v>0</v>
      </c>
      <c r="AC707" s="0" t="n">
        <f aca="false">SUM(AB$10:AB706)/K707</f>
        <v>0.000142696906308355</v>
      </c>
      <c r="AD707" s="0" t="n">
        <f aca="false">R707*E707+D707*(X707*S707+(1-X707)*T707)</f>
        <v>-1.65673330828261</v>
      </c>
      <c r="AE707" s="0" t="n">
        <f aca="false">Z707</f>
        <v>190.96944319949</v>
      </c>
      <c r="AF707" s="0" t="n">
        <f aca="false">E707*O707</f>
        <v>0</v>
      </c>
      <c r="AG707" s="0" t="n">
        <f aca="false">((1-X707)*O707+X707*P707)*D707</f>
        <v>190.96944319949</v>
      </c>
      <c r="AH707" s="0" t="n">
        <f aca="false">D707*(LN(EXP(S707)+EXP(T707)))</f>
        <v>-1.65673329046835</v>
      </c>
      <c r="AJ707" s="0" t="n">
        <f aca="false">$J$5</f>
        <v>10</v>
      </c>
      <c r="AK707" s="4" t="n">
        <f aca="false">AJ707+MAX(K707,AK$10:AK706)</f>
        <v>7198.82985076217</v>
      </c>
      <c r="AL707" s="5" t="n">
        <f aca="false">AK707-K707</f>
        <v>190.96944319949</v>
      </c>
      <c r="AM707" s="0" t="n">
        <f aca="false">-G707*AL707/3600</f>
        <v>-0.813829731076257</v>
      </c>
      <c r="AN707" s="0" t="n">
        <f aca="false">-H707*AL707/3600</f>
        <v>-1.65673330828261</v>
      </c>
      <c r="AO707" s="0" t="n">
        <f aca="false">AM707*E707+AN707*D707</f>
        <v>-1.65673330828261</v>
      </c>
      <c r="AP707" s="0" t="n">
        <f aca="false">AL707*D707</f>
        <v>190.96944319949</v>
      </c>
      <c r="AR707" s="0" t="n">
        <f aca="false">AN707*D707</f>
        <v>-1.65673330828261</v>
      </c>
      <c r="AS707" s="0" t="n">
        <f aca="false">AH707-AR707</f>
        <v>1.78142578466378E-008</v>
      </c>
    </row>
    <row r="708" customFormat="false" ht="12" hidden="false" customHeight="false" outlineLevel="0" collapsed="false">
      <c r="A708" s="3" t="n">
        <f aca="false">A707+1</f>
        <v>699</v>
      </c>
      <c r="B708" s="3" t="n">
        <f aca="false">IF(A708&lt;$N$4/3,0.1,(IF(A708&gt;2*$N$4/3,0.05,0.12)))</f>
        <v>0.05</v>
      </c>
      <c r="C708" s="4" t="n">
        <f aca="true">RAND()</f>
        <v>0.855367040223161</v>
      </c>
      <c r="D708" s="0" t="n">
        <f aca="false">IF((C708&gt;$M$2),1,0)</f>
        <v>0</v>
      </c>
      <c r="E708" s="0" t="n">
        <f aca="false">1-D708</f>
        <v>1</v>
      </c>
      <c r="F708" s="0" t="n">
        <f aca="true">RAND()</f>
        <v>0.385914838708448</v>
      </c>
      <c r="G708" s="0" t="n">
        <f aca="false">7.75+F708*10</f>
        <v>11.6091483870845</v>
      </c>
      <c r="H708" s="0" t="n">
        <f aca="false">LOGINV(F708,2.64,1.139)</f>
        <v>10.0715035919121</v>
      </c>
      <c r="I708" s="0" t="n">
        <v>19.5</v>
      </c>
      <c r="J708" s="4" t="n">
        <f aca="true">-LN(RAND())/B708</f>
        <v>51.4577804840851</v>
      </c>
      <c r="K708" s="4" t="n">
        <f aca="false">K707+J708</f>
        <v>7059.31818804677</v>
      </c>
      <c r="L708" s="4" t="n">
        <f aca="false">(1/$J$4)*(1+AB707)</f>
        <v>10</v>
      </c>
      <c r="M708" s="4" t="n">
        <f aca="false">L708+MAX(K708,Y$10:Y707)</f>
        <v>7208.82985076217</v>
      </c>
      <c r="N708" s="4" t="n">
        <f aca="false">K708</f>
        <v>7059.31818804677</v>
      </c>
      <c r="O708" s="4" t="n">
        <f aca="false">M708-K708</f>
        <v>149.511662715406</v>
      </c>
      <c r="P708" s="4" t="n">
        <f aca="false">N708-K708</f>
        <v>0</v>
      </c>
      <c r="Q708" s="4" t="n">
        <f aca="false">A708-MATCH(K708,$M$9:M707,1)</f>
        <v>14</v>
      </c>
      <c r="R708" s="0" t="n">
        <f aca="false">-G708*(O708/3600)</f>
        <v>-0.482139743906353</v>
      </c>
      <c r="S708" s="0" t="n">
        <f aca="false">-1*I708-(H708*(P708/3600))</f>
        <v>-19.5</v>
      </c>
      <c r="T708" s="0" t="n">
        <f aca="false">-H708*(O708/3600)</f>
        <v>-0.418279791130821</v>
      </c>
      <c r="U708" s="0" t="n">
        <f aca="false">T708-S708</f>
        <v>19.0817202088692</v>
      </c>
      <c r="V708" s="0" t="n">
        <f aca="false">1/(1+EXP(U708))</f>
        <v>5.16314362125413E-009</v>
      </c>
      <c r="W708" s="0" t="n">
        <f aca="true">RAND()</f>
        <v>0.196701998315727</v>
      </c>
      <c r="X708" s="0" t="n">
        <f aca="false">IF(W708&lt;V708,1,0)</f>
        <v>0</v>
      </c>
      <c r="Y708" s="0" t="n">
        <f aca="false">(M708*(1-X708)+N708*X708)*D708+M708*E708</f>
        <v>7208.82985076217</v>
      </c>
      <c r="Z708" s="0" t="n">
        <f aca="false">((1-X708)*O708+X708*P708)*D708+E708*O708</f>
        <v>149.511662715406</v>
      </c>
      <c r="AA708" s="0" t="n">
        <f aca="false">IF(D708*X708&gt;0,AA707,Q708)</f>
        <v>14</v>
      </c>
      <c r="AB708" s="0" t="n">
        <f aca="false">(X708*D708)</f>
        <v>0</v>
      </c>
      <c r="AC708" s="0" t="n">
        <f aca="false">SUM(AB$10:AB707)/K708</f>
        <v>0.000141656739838311</v>
      </c>
      <c r="AD708" s="0" t="n">
        <f aca="false">R708*E708+D708*(X708*S708+(1-X708)*T708)</f>
        <v>-0.482139743906353</v>
      </c>
      <c r="AE708" s="0" t="n">
        <f aca="false">Z708</f>
        <v>149.511662715406</v>
      </c>
      <c r="AF708" s="0" t="n">
        <f aca="false">E708*O708</f>
        <v>149.511662715406</v>
      </c>
      <c r="AG708" s="0" t="n">
        <f aca="false">((1-X708)*O708+X708*P708)*D708</f>
        <v>0</v>
      </c>
      <c r="AH708" s="0" t="n">
        <f aca="false">D708*(LN(EXP(S708)+EXP(T708)))</f>
        <v>-0</v>
      </c>
      <c r="AJ708" s="0" t="n">
        <f aca="false">$J$5</f>
        <v>10</v>
      </c>
      <c r="AK708" s="4" t="n">
        <f aca="false">AJ708+MAX(K708,AK$10:AK707)</f>
        <v>7208.82985076217</v>
      </c>
      <c r="AL708" s="5" t="n">
        <f aca="false">AK708-K708</f>
        <v>149.511662715406</v>
      </c>
      <c r="AM708" s="0" t="n">
        <f aca="false">-G708*AL708/3600</f>
        <v>-0.482139743906353</v>
      </c>
      <c r="AN708" s="0" t="n">
        <f aca="false">-H708*AL708/3600</f>
        <v>-0.418279791130821</v>
      </c>
      <c r="AO708" s="0" t="n">
        <f aca="false">AM708*E708+AN708*D708</f>
        <v>-0.482139743906353</v>
      </c>
      <c r="AP708" s="0" t="n">
        <f aca="false">AL708*D708</f>
        <v>0</v>
      </c>
      <c r="AR708" s="0" t="n">
        <f aca="false">AN708*D708</f>
        <v>-0</v>
      </c>
      <c r="AS708" s="0" t="n">
        <f aca="false">AH708-AR708</f>
        <v>0</v>
      </c>
    </row>
    <row r="709" customFormat="false" ht="12" hidden="false" customHeight="false" outlineLevel="0" collapsed="false">
      <c r="A709" s="3" t="n">
        <f aca="false">A708+1</f>
        <v>700</v>
      </c>
      <c r="B709" s="3" t="n">
        <f aca="false">IF(A709&lt;$N$4/3,0.1,(IF(A709&gt;2*$N$4/3,0.05,0.12)))</f>
        <v>0.05</v>
      </c>
      <c r="C709" s="4" t="n">
        <f aca="true">RAND()</f>
        <v>0.00285040112679947</v>
      </c>
      <c r="D709" s="0" t="n">
        <f aca="false">IF((C709&gt;$M$2),1,0)</f>
        <v>0</v>
      </c>
      <c r="E709" s="0" t="n">
        <f aca="false">1-D709</f>
        <v>1</v>
      </c>
      <c r="F709" s="0" t="n">
        <f aca="true">RAND()</f>
        <v>0.347474566422357</v>
      </c>
      <c r="G709" s="0" t="n">
        <f aca="false">7.75+F709*10</f>
        <v>11.2247456642236</v>
      </c>
      <c r="H709" s="0" t="n">
        <f aca="false">LOGINV(F709,2.64,1.139)</f>
        <v>8.96514108100487</v>
      </c>
      <c r="I709" s="0" t="n">
        <v>19.5</v>
      </c>
      <c r="J709" s="4" t="n">
        <f aca="true">-LN(RAND())/B709</f>
        <v>31.5768166456497</v>
      </c>
      <c r="K709" s="4" t="n">
        <f aca="false">K708+J709</f>
        <v>7090.89500469242</v>
      </c>
      <c r="L709" s="4" t="n">
        <f aca="false">(1/$J$4)*(1+AB708)</f>
        <v>10</v>
      </c>
      <c r="M709" s="4" t="n">
        <f aca="false">L709+MAX(K709,Y$10:Y708)</f>
        <v>7218.82985076217</v>
      </c>
      <c r="N709" s="4" t="n">
        <f aca="false">K709</f>
        <v>7090.89500469242</v>
      </c>
      <c r="O709" s="4" t="n">
        <f aca="false">M709-K709</f>
        <v>127.934846069756</v>
      </c>
      <c r="P709" s="4" t="n">
        <f aca="false">N709-K709</f>
        <v>0</v>
      </c>
      <c r="Q709" s="4" t="n">
        <f aca="false">A709-MATCH(K709,$M$9:M708,1)</f>
        <v>12</v>
      </c>
      <c r="R709" s="0" t="n">
        <f aca="false">-G709*(O709/3600)</f>
        <v>-0.398898919090167</v>
      </c>
      <c r="S709" s="0" t="n">
        <f aca="false">-1*I709-(H709*(P709/3600))</f>
        <v>-19.5</v>
      </c>
      <c r="T709" s="0" t="n">
        <f aca="false">-H709*(O709/3600)</f>
        <v>-0.318598317831111</v>
      </c>
      <c r="U709" s="0" t="n">
        <f aca="false">T709-S709</f>
        <v>19.1814016821689</v>
      </c>
      <c r="V709" s="0" t="n">
        <f aca="false">1/(1+EXP(U709))</f>
        <v>4.67329387732184E-009</v>
      </c>
      <c r="W709" s="0" t="n">
        <f aca="true">RAND()</f>
        <v>0.727564194473517</v>
      </c>
      <c r="X709" s="0" t="n">
        <f aca="false">IF(W709&lt;V709,1,0)</f>
        <v>0</v>
      </c>
      <c r="Y709" s="0" t="n">
        <f aca="false">(M709*(1-X709)+N709*X709)*D709+M709*E709</f>
        <v>7218.82985076217</v>
      </c>
      <c r="Z709" s="0" t="n">
        <f aca="false">((1-X709)*O709+X709*P709)*D709+E709*O709</f>
        <v>127.934846069756</v>
      </c>
      <c r="AA709" s="0" t="n">
        <f aca="false">IF(D709*X709&gt;0,AA708,Q709)</f>
        <v>12</v>
      </c>
      <c r="AB709" s="0" t="n">
        <f aca="false">(X709*D709)</f>
        <v>0</v>
      </c>
      <c r="AC709" s="0" t="n">
        <f aca="false">SUM(AB$10:AB708)/K709</f>
        <v>0.000141025921176135</v>
      </c>
      <c r="AD709" s="0" t="n">
        <f aca="false">R709*E709+D709*(X709*S709+(1-X709)*T709)</f>
        <v>-0.398898919090167</v>
      </c>
      <c r="AE709" s="0" t="n">
        <f aca="false">Z709</f>
        <v>127.934846069756</v>
      </c>
      <c r="AF709" s="0" t="n">
        <f aca="false">E709*O709</f>
        <v>127.934846069756</v>
      </c>
      <c r="AG709" s="0" t="n">
        <f aca="false">((1-X709)*O709+X709*P709)*D709</f>
        <v>0</v>
      </c>
      <c r="AH709" s="0" t="n">
        <f aca="false">D709*(LN(EXP(S709)+EXP(T709)))</f>
        <v>-0</v>
      </c>
      <c r="AJ709" s="0" t="n">
        <f aca="false">$J$5</f>
        <v>10</v>
      </c>
      <c r="AK709" s="4" t="n">
        <f aca="false">AJ709+MAX(K709,AK$10:AK708)</f>
        <v>7218.82985076217</v>
      </c>
      <c r="AL709" s="5" t="n">
        <f aca="false">AK709-K709</f>
        <v>127.934846069756</v>
      </c>
      <c r="AM709" s="0" t="n">
        <f aca="false">-G709*AL709/3600</f>
        <v>-0.398898919090167</v>
      </c>
      <c r="AN709" s="0" t="n">
        <f aca="false">-H709*AL709/3600</f>
        <v>-0.318598317831111</v>
      </c>
      <c r="AO709" s="0" t="n">
        <f aca="false">AM709*E709+AN709*D709</f>
        <v>-0.398898919090167</v>
      </c>
      <c r="AP709" s="0" t="n">
        <f aca="false">AL709*D709</f>
        <v>0</v>
      </c>
      <c r="AR709" s="0" t="n">
        <f aca="false">AN709*D709</f>
        <v>-0</v>
      </c>
      <c r="AS709" s="0" t="n">
        <f aca="false">AH709-AR709</f>
        <v>0</v>
      </c>
    </row>
    <row r="710" customFormat="false" ht="12" hidden="false" customHeight="false" outlineLevel="0" collapsed="false">
      <c r="A710" s="3" t="n">
        <f aca="false">A709+1</f>
        <v>701</v>
      </c>
      <c r="B710" s="3" t="n">
        <f aca="false">IF(A710&lt;$N$4/3,0.1,(IF(A710&gt;2*$N$4/3,0.05,0.12)))</f>
        <v>0.05</v>
      </c>
      <c r="C710" s="4" t="n">
        <f aca="true">RAND()</f>
        <v>0.166980509198803</v>
      </c>
      <c r="D710" s="0" t="n">
        <f aca="false">IF((C710&gt;$M$2),1,0)</f>
        <v>0</v>
      </c>
      <c r="E710" s="0" t="n">
        <f aca="false">1-D710</f>
        <v>1</v>
      </c>
      <c r="F710" s="0" t="n">
        <f aca="true">RAND()</f>
        <v>0.295245744810444</v>
      </c>
      <c r="G710" s="0" t="n">
        <f aca="false">7.75+F710*10</f>
        <v>10.7024574481044</v>
      </c>
      <c r="H710" s="0" t="n">
        <f aca="false">LOGINV(F710,2.64,1.139)</f>
        <v>7.59186165519313</v>
      </c>
      <c r="I710" s="0" t="n">
        <v>19.5</v>
      </c>
      <c r="J710" s="4" t="n">
        <f aca="true">-LN(RAND())/B710</f>
        <v>7.31680587599711</v>
      </c>
      <c r="K710" s="4" t="n">
        <f aca="false">K709+J710</f>
        <v>7098.21181056841</v>
      </c>
      <c r="L710" s="4" t="n">
        <f aca="false">(1/$J$4)*(1+AB709)</f>
        <v>10</v>
      </c>
      <c r="M710" s="4" t="n">
        <f aca="false">L710+MAX(K710,Y$10:Y709)</f>
        <v>7228.82985076217</v>
      </c>
      <c r="N710" s="4" t="n">
        <f aca="false">K710</f>
        <v>7098.21181056841</v>
      </c>
      <c r="O710" s="4" t="n">
        <f aca="false">M710-K710</f>
        <v>130.618040193758</v>
      </c>
      <c r="P710" s="4" t="n">
        <f aca="false">N710-K710</f>
        <v>0</v>
      </c>
      <c r="Q710" s="4" t="n">
        <f aca="false">A710-MATCH(K710,$M$9:M709,1)</f>
        <v>13</v>
      </c>
      <c r="R710" s="0" t="n">
        <f aca="false">-G710*(O710/3600)</f>
        <v>-0.388315004757914</v>
      </c>
      <c r="S710" s="0" t="n">
        <f aca="false">-1*I710-(H710*(P710/3600))</f>
        <v>-19.5</v>
      </c>
      <c r="T710" s="0" t="n">
        <f aca="false">-H710*(O710/3600)</f>
        <v>-0.27545391411763</v>
      </c>
      <c r="U710" s="0" t="n">
        <f aca="false">T710-S710</f>
        <v>19.2245460858824</v>
      </c>
      <c r="V710" s="0" t="n">
        <f aca="false">1/(1+EXP(U710))</f>
        <v>4.47595504390128E-009</v>
      </c>
      <c r="W710" s="0" t="n">
        <f aca="true">RAND()</f>
        <v>0.706219760982942</v>
      </c>
      <c r="X710" s="0" t="n">
        <f aca="false">IF(W710&lt;V710,1,0)</f>
        <v>0</v>
      </c>
      <c r="Y710" s="0" t="n">
        <f aca="false">(M710*(1-X710)+N710*X710)*D710+M710*E710</f>
        <v>7228.82985076217</v>
      </c>
      <c r="Z710" s="0" t="n">
        <f aca="false">((1-X710)*O710+X710*P710)*D710+E710*O710</f>
        <v>130.618040193758</v>
      </c>
      <c r="AA710" s="0" t="n">
        <f aca="false">IF(D710*X710&gt;0,AA709,Q710)</f>
        <v>13</v>
      </c>
      <c r="AB710" s="0" t="n">
        <f aca="false">(X710*D710)</f>
        <v>0</v>
      </c>
      <c r="AC710" s="0" t="n">
        <f aca="false">SUM(AB$10:AB709)/K710</f>
        <v>0.000140880552269674</v>
      </c>
      <c r="AD710" s="0" t="n">
        <f aca="false">R710*E710+D710*(X710*S710+(1-X710)*T710)</f>
        <v>-0.388315004757914</v>
      </c>
      <c r="AE710" s="0" t="n">
        <f aca="false">Z710</f>
        <v>130.618040193758</v>
      </c>
      <c r="AF710" s="0" t="n">
        <f aca="false">E710*O710</f>
        <v>130.618040193758</v>
      </c>
      <c r="AG710" s="0" t="n">
        <f aca="false">((1-X710)*O710+X710*P710)*D710</f>
        <v>0</v>
      </c>
      <c r="AH710" s="0" t="n">
        <f aca="false">D710*(LN(EXP(S710)+EXP(T710)))</f>
        <v>-0</v>
      </c>
      <c r="AJ710" s="0" t="n">
        <f aca="false">$J$5</f>
        <v>10</v>
      </c>
      <c r="AK710" s="4" t="n">
        <f aca="false">AJ710+MAX(K710,AK$10:AK709)</f>
        <v>7228.82985076217</v>
      </c>
      <c r="AL710" s="5" t="n">
        <f aca="false">AK710-K710</f>
        <v>130.618040193758</v>
      </c>
      <c r="AM710" s="0" t="n">
        <f aca="false">-G710*AL710/3600</f>
        <v>-0.388315004757914</v>
      </c>
      <c r="AN710" s="0" t="n">
        <f aca="false">-H710*AL710/3600</f>
        <v>-0.27545391411763</v>
      </c>
      <c r="AO710" s="0" t="n">
        <f aca="false">AM710*E710+AN710*D710</f>
        <v>-0.388315004757914</v>
      </c>
      <c r="AP710" s="0" t="n">
        <f aca="false">AL710*D710</f>
        <v>0</v>
      </c>
      <c r="AR710" s="0" t="n">
        <f aca="false">AN710*D710</f>
        <v>-0</v>
      </c>
      <c r="AS710" s="0" t="n">
        <f aca="false">AH710-AR710</f>
        <v>0</v>
      </c>
    </row>
    <row r="711" customFormat="false" ht="12" hidden="false" customHeight="false" outlineLevel="0" collapsed="false">
      <c r="A711" s="3" t="n">
        <f aca="false">A710+1</f>
        <v>702</v>
      </c>
      <c r="B711" s="3" t="n">
        <f aca="false">IF(A711&lt;$N$4/3,0.1,(IF(A711&gt;2*$N$4/3,0.05,0.12)))</f>
        <v>0.05</v>
      </c>
      <c r="C711" s="4" t="n">
        <f aca="true">RAND()</f>
        <v>0.357538325244252</v>
      </c>
      <c r="D711" s="0" t="n">
        <f aca="false">IF((C711&gt;$M$2),1,0)</f>
        <v>0</v>
      </c>
      <c r="E711" s="0" t="n">
        <f aca="false">1-D711</f>
        <v>1</v>
      </c>
      <c r="F711" s="0" t="n">
        <f aca="true">RAND()</f>
        <v>0.0774552441362192</v>
      </c>
      <c r="G711" s="0" t="n">
        <f aca="false">7.75+F711*10</f>
        <v>8.52455244136219</v>
      </c>
      <c r="H711" s="0" t="n">
        <f aca="false">LOGINV(F711,2.64,1.139)</f>
        <v>2.7728832861368</v>
      </c>
      <c r="I711" s="0" t="n">
        <v>19.5</v>
      </c>
      <c r="J711" s="4" t="n">
        <f aca="true">-LN(RAND())/B711</f>
        <v>18.3601426485421</v>
      </c>
      <c r="K711" s="4" t="n">
        <f aca="false">K710+J711</f>
        <v>7116.57195321696</v>
      </c>
      <c r="L711" s="4" t="n">
        <f aca="false">(1/$J$4)*(1+AB710)</f>
        <v>10</v>
      </c>
      <c r="M711" s="4" t="n">
        <f aca="false">L711+MAX(K711,Y$10:Y710)</f>
        <v>7238.82985076217</v>
      </c>
      <c r="N711" s="4" t="n">
        <f aca="false">K711</f>
        <v>7116.57195321696</v>
      </c>
      <c r="O711" s="4" t="n">
        <f aca="false">M711-K711</f>
        <v>122.257897545216</v>
      </c>
      <c r="P711" s="4" t="n">
        <f aca="false">N711-K711</f>
        <v>0</v>
      </c>
      <c r="Q711" s="4" t="n">
        <f aca="false">A711-MATCH(K711,$M$9:M710,1)</f>
        <v>12</v>
      </c>
      <c r="R711" s="0" t="n">
        <f aca="false">-G711*(O711/3600)</f>
        <v>-0.289498294165245</v>
      </c>
      <c r="S711" s="0" t="n">
        <f aca="false">-1*I711-(H711*(P711/3600))</f>
        <v>-19.5</v>
      </c>
      <c r="T711" s="0" t="n">
        <f aca="false">-H711*(O711/3600)</f>
        <v>-0.0941685779725985</v>
      </c>
      <c r="U711" s="0" t="n">
        <f aca="false">T711-S711</f>
        <v>19.4058314220274</v>
      </c>
      <c r="V711" s="0" t="n">
        <f aca="false">1/(1+EXP(U711))</f>
        <v>3.73382960677702E-009</v>
      </c>
      <c r="W711" s="0" t="n">
        <f aca="true">RAND()</f>
        <v>0.610532230712426</v>
      </c>
      <c r="X711" s="0" t="n">
        <f aca="false">IF(W711&lt;V711,1,0)</f>
        <v>0</v>
      </c>
      <c r="Y711" s="0" t="n">
        <f aca="false">(M711*(1-X711)+N711*X711)*D711+M711*E711</f>
        <v>7238.82985076217</v>
      </c>
      <c r="Z711" s="0" t="n">
        <f aca="false">((1-X711)*O711+X711*P711)*D711+E711*O711</f>
        <v>122.257897545216</v>
      </c>
      <c r="AA711" s="0" t="n">
        <f aca="false">IF(D711*X711&gt;0,AA710,Q711)</f>
        <v>12</v>
      </c>
      <c r="AB711" s="0" t="n">
        <f aca="false">(X711*D711)</f>
        <v>0</v>
      </c>
      <c r="AC711" s="0" t="n">
        <f aca="false">SUM(AB$10:AB710)/K711</f>
        <v>0.00014051709257966</v>
      </c>
      <c r="AD711" s="0" t="n">
        <f aca="false">R711*E711+D711*(X711*S711+(1-X711)*T711)</f>
        <v>-0.289498294165245</v>
      </c>
      <c r="AE711" s="0" t="n">
        <f aca="false">Z711</f>
        <v>122.257897545216</v>
      </c>
      <c r="AF711" s="0" t="n">
        <f aca="false">E711*O711</f>
        <v>122.257897545216</v>
      </c>
      <c r="AG711" s="0" t="n">
        <f aca="false">((1-X711)*O711+X711*P711)*D711</f>
        <v>0</v>
      </c>
      <c r="AH711" s="0" t="n">
        <f aca="false">D711*(LN(EXP(S711)+EXP(T711)))</f>
        <v>-0</v>
      </c>
      <c r="AJ711" s="0" t="n">
        <f aca="false">$J$5</f>
        <v>10</v>
      </c>
      <c r="AK711" s="4" t="n">
        <f aca="false">AJ711+MAX(K711,AK$10:AK710)</f>
        <v>7238.82985076217</v>
      </c>
      <c r="AL711" s="5" t="n">
        <f aca="false">AK711-K711</f>
        <v>122.257897545216</v>
      </c>
      <c r="AM711" s="0" t="n">
        <f aca="false">-G711*AL711/3600</f>
        <v>-0.289498294165245</v>
      </c>
      <c r="AN711" s="0" t="n">
        <f aca="false">-H711*AL711/3600</f>
        <v>-0.0941685779725985</v>
      </c>
      <c r="AO711" s="0" t="n">
        <f aca="false">AM711*E711+AN711*D711</f>
        <v>-0.289498294165245</v>
      </c>
      <c r="AP711" s="0" t="n">
        <f aca="false">AL711*D711</f>
        <v>0</v>
      </c>
      <c r="AR711" s="0" t="n">
        <f aca="false">AN711*D711</f>
        <v>-0</v>
      </c>
      <c r="AS711" s="0" t="n">
        <f aca="false">AH711-AR711</f>
        <v>0</v>
      </c>
    </row>
    <row r="712" customFormat="false" ht="12" hidden="false" customHeight="false" outlineLevel="0" collapsed="false">
      <c r="A712" s="3" t="n">
        <f aca="false">A711+1</f>
        <v>703</v>
      </c>
      <c r="B712" s="3" t="n">
        <f aca="false">IF(A712&lt;$N$4/3,0.1,(IF(A712&gt;2*$N$4/3,0.05,0.12)))</f>
        <v>0.05</v>
      </c>
      <c r="C712" s="4" t="n">
        <f aca="true">RAND()</f>
        <v>0.234089136792929</v>
      </c>
      <c r="D712" s="0" t="n">
        <f aca="false">IF((C712&gt;$M$2),1,0)</f>
        <v>0</v>
      </c>
      <c r="E712" s="0" t="n">
        <f aca="false">1-D712</f>
        <v>1</v>
      </c>
      <c r="F712" s="0" t="n">
        <f aca="true">RAND()</f>
        <v>0.653972912980534</v>
      </c>
      <c r="G712" s="0" t="n">
        <f aca="false">7.75+F712*10</f>
        <v>14.2897291298053</v>
      </c>
      <c r="H712" s="0" t="n">
        <f aca="false">LOGINV(F712,2.64,1.139)</f>
        <v>22.001761489486</v>
      </c>
      <c r="I712" s="0" t="n">
        <v>19.5</v>
      </c>
      <c r="J712" s="4" t="n">
        <f aca="true">-LN(RAND())/B712</f>
        <v>9.30260912189412</v>
      </c>
      <c r="K712" s="4" t="n">
        <f aca="false">K711+J712</f>
        <v>7125.87456233885</v>
      </c>
      <c r="L712" s="4" t="n">
        <f aca="false">(1/$J$4)*(1+AB711)</f>
        <v>10</v>
      </c>
      <c r="M712" s="4" t="n">
        <f aca="false">L712+MAX(K712,Y$10:Y711)</f>
        <v>7248.82985076217</v>
      </c>
      <c r="N712" s="4" t="n">
        <f aca="false">K712</f>
        <v>7125.87456233885</v>
      </c>
      <c r="O712" s="4" t="n">
        <f aca="false">M712-K712</f>
        <v>122.955288423322</v>
      </c>
      <c r="P712" s="4" t="n">
        <f aca="false">N712-K712</f>
        <v>0</v>
      </c>
      <c r="Q712" s="4" t="n">
        <f aca="false">A712-MATCH(K712,$M$9:M711,1)</f>
        <v>12</v>
      </c>
      <c r="R712" s="0" t="n">
        <f aca="false">-G712*(O712/3600)</f>
        <v>-0.488054935179544</v>
      </c>
      <c r="S712" s="0" t="n">
        <f aca="false">-1*I712-(H712*(P712/3600))</f>
        <v>-19.5</v>
      </c>
      <c r="T712" s="0" t="n">
        <f aca="false">-H712*(O712/3600)</f>
        <v>-0.751453591600244</v>
      </c>
      <c r="U712" s="0" t="n">
        <f aca="false">T712-S712</f>
        <v>18.7485464083998</v>
      </c>
      <c r="V712" s="0" t="n">
        <f aca="false">1/(1+EXP(U712))</f>
        <v>7.20459791379152E-009</v>
      </c>
      <c r="W712" s="0" t="n">
        <f aca="true">RAND()</f>
        <v>0.663676956272457</v>
      </c>
      <c r="X712" s="0" t="n">
        <f aca="false">IF(W712&lt;V712,1,0)</f>
        <v>0</v>
      </c>
      <c r="Y712" s="0" t="n">
        <f aca="false">(M712*(1-X712)+N712*X712)*D712+M712*E712</f>
        <v>7248.82985076217</v>
      </c>
      <c r="Z712" s="0" t="n">
        <f aca="false">((1-X712)*O712+X712*P712)*D712+E712*O712</f>
        <v>122.955288423322</v>
      </c>
      <c r="AA712" s="0" t="n">
        <f aca="false">IF(D712*X712&gt;0,AA711,Q712)</f>
        <v>12</v>
      </c>
      <c r="AB712" s="0" t="n">
        <f aca="false">(X712*D712)</f>
        <v>0</v>
      </c>
      <c r="AC712" s="0" t="n">
        <f aca="false">SUM(AB$10:AB711)/K712</f>
        <v>0.00014033365185589</v>
      </c>
      <c r="AD712" s="0" t="n">
        <f aca="false">R712*E712+D712*(X712*S712+(1-X712)*T712)</f>
        <v>-0.488054935179544</v>
      </c>
      <c r="AE712" s="0" t="n">
        <f aca="false">Z712</f>
        <v>122.955288423322</v>
      </c>
      <c r="AF712" s="0" t="n">
        <f aca="false">E712*O712</f>
        <v>122.955288423322</v>
      </c>
      <c r="AG712" s="0" t="n">
        <f aca="false">((1-X712)*O712+X712*P712)*D712</f>
        <v>0</v>
      </c>
      <c r="AH712" s="0" t="n">
        <f aca="false">D712*(LN(EXP(S712)+EXP(T712)))</f>
        <v>-0</v>
      </c>
      <c r="AJ712" s="0" t="n">
        <f aca="false">$J$5</f>
        <v>10</v>
      </c>
      <c r="AK712" s="4" t="n">
        <f aca="false">AJ712+MAX(K712,AK$10:AK711)</f>
        <v>7248.82985076217</v>
      </c>
      <c r="AL712" s="5" t="n">
        <f aca="false">AK712-K712</f>
        <v>122.955288423322</v>
      </c>
      <c r="AM712" s="0" t="n">
        <f aca="false">-G712*AL712/3600</f>
        <v>-0.488054935179544</v>
      </c>
      <c r="AN712" s="0" t="n">
        <f aca="false">-H712*AL712/3600</f>
        <v>-0.751453591600244</v>
      </c>
      <c r="AO712" s="0" t="n">
        <f aca="false">AM712*E712+AN712*D712</f>
        <v>-0.488054935179544</v>
      </c>
      <c r="AP712" s="0" t="n">
        <f aca="false">AL712*D712</f>
        <v>0</v>
      </c>
      <c r="AR712" s="0" t="n">
        <f aca="false">AN712*D712</f>
        <v>-0</v>
      </c>
      <c r="AS712" s="0" t="n">
        <f aca="false">AH712-AR712</f>
        <v>0</v>
      </c>
    </row>
    <row r="713" customFormat="false" ht="12" hidden="false" customHeight="false" outlineLevel="0" collapsed="false">
      <c r="A713" s="3" t="n">
        <f aca="false">A712+1</f>
        <v>704</v>
      </c>
      <c r="B713" s="3" t="n">
        <f aca="false">IF(A713&lt;$N$4/3,0.1,(IF(A713&gt;2*$N$4/3,0.05,0.12)))</f>
        <v>0.05</v>
      </c>
      <c r="C713" s="4" t="n">
        <f aca="true">RAND()</f>
        <v>0.568335686311011</v>
      </c>
      <c r="D713" s="0" t="n">
        <f aca="false">IF((C713&gt;$M$2),1,0)</f>
        <v>0</v>
      </c>
      <c r="E713" s="0" t="n">
        <f aca="false">1-D713</f>
        <v>1</v>
      </c>
      <c r="F713" s="0" t="n">
        <f aca="true">RAND()</f>
        <v>0.775781620005533</v>
      </c>
      <c r="G713" s="0" t="n">
        <f aca="false">7.75+F713*10</f>
        <v>15.5078162000553</v>
      </c>
      <c r="H713" s="0" t="n">
        <f aca="false">LOGINV(F713,2.64,1.139)</f>
        <v>33.2278726217657</v>
      </c>
      <c r="I713" s="0" t="n">
        <v>19.5</v>
      </c>
      <c r="J713" s="4" t="n">
        <f aca="true">-LN(RAND())/B713</f>
        <v>29.1935413320901</v>
      </c>
      <c r="K713" s="4" t="n">
        <f aca="false">K712+J713</f>
        <v>7155.06810367094</v>
      </c>
      <c r="L713" s="4" t="n">
        <f aca="false">(1/$J$4)*(1+AB712)</f>
        <v>10</v>
      </c>
      <c r="M713" s="4" t="n">
        <f aca="false">L713+MAX(K713,Y$10:Y712)</f>
        <v>7258.82985076217</v>
      </c>
      <c r="N713" s="4" t="n">
        <f aca="false">K713</f>
        <v>7155.06810367094</v>
      </c>
      <c r="O713" s="4" t="n">
        <f aca="false">M713-K713</f>
        <v>103.761747091232</v>
      </c>
      <c r="P713" s="4" t="n">
        <f aca="false">N713-K713</f>
        <v>0</v>
      </c>
      <c r="Q713" s="4" t="n">
        <f aca="false">A713-MATCH(K713,$M$9:M712,1)</f>
        <v>10</v>
      </c>
      <c r="R713" s="0" t="n">
        <f aca="false">-G713*(O713/3600)</f>
        <v>-0.446977250690958</v>
      </c>
      <c r="S713" s="0" t="n">
        <f aca="false">-1*I713-(H713*(P713/3600))</f>
        <v>-19.5</v>
      </c>
      <c r="T713" s="0" t="n">
        <f aca="false">-H713*(O713/3600)</f>
        <v>-0.957717254266477</v>
      </c>
      <c r="U713" s="0" t="n">
        <f aca="false">T713-S713</f>
        <v>18.5422827457335</v>
      </c>
      <c r="V713" s="0" t="n">
        <f aca="false">1/(1+EXP(U713))</f>
        <v>8.85500718249782E-009</v>
      </c>
      <c r="W713" s="0" t="n">
        <f aca="true">RAND()</f>
        <v>0.539835036203194</v>
      </c>
      <c r="X713" s="0" t="n">
        <f aca="false">IF(W713&lt;V713,1,0)</f>
        <v>0</v>
      </c>
      <c r="Y713" s="0" t="n">
        <f aca="false">(M713*(1-X713)+N713*X713)*D713+M713*E713</f>
        <v>7258.82985076217</v>
      </c>
      <c r="Z713" s="0" t="n">
        <f aca="false">((1-X713)*O713+X713*P713)*D713+E713*O713</f>
        <v>103.761747091232</v>
      </c>
      <c r="AA713" s="0" t="n">
        <f aca="false">IF(D713*X713&gt;0,AA712,Q713)</f>
        <v>10</v>
      </c>
      <c r="AB713" s="0" t="n">
        <f aca="false">(X713*D713)</f>
        <v>0</v>
      </c>
      <c r="AC713" s="0" t="n">
        <f aca="false">SUM(AB$10:AB712)/K713</f>
        <v>0.000139761073620941</v>
      </c>
      <c r="AD713" s="0" t="n">
        <f aca="false">R713*E713+D713*(X713*S713+(1-X713)*T713)</f>
        <v>-0.446977250690958</v>
      </c>
      <c r="AE713" s="0" t="n">
        <f aca="false">Z713</f>
        <v>103.761747091232</v>
      </c>
      <c r="AF713" s="0" t="n">
        <f aca="false">E713*O713</f>
        <v>103.761747091232</v>
      </c>
      <c r="AG713" s="0" t="n">
        <f aca="false">((1-X713)*O713+X713*P713)*D713</f>
        <v>0</v>
      </c>
      <c r="AH713" s="0" t="n">
        <f aca="false">D713*(LN(EXP(S713)+EXP(T713)))</f>
        <v>-0</v>
      </c>
      <c r="AJ713" s="0" t="n">
        <f aca="false">$J$5</f>
        <v>10</v>
      </c>
      <c r="AK713" s="4" t="n">
        <f aca="false">AJ713+MAX(K713,AK$10:AK712)</f>
        <v>7258.82985076217</v>
      </c>
      <c r="AL713" s="5" t="n">
        <f aca="false">AK713-K713</f>
        <v>103.761747091232</v>
      </c>
      <c r="AM713" s="0" t="n">
        <f aca="false">-G713*AL713/3600</f>
        <v>-0.446977250690958</v>
      </c>
      <c r="AN713" s="0" t="n">
        <f aca="false">-H713*AL713/3600</f>
        <v>-0.957717254266477</v>
      </c>
      <c r="AO713" s="0" t="n">
        <f aca="false">AM713*E713+AN713*D713</f>
        <v>-0.446977250690958</v>
      </c>
      <c r="AP713" s="0" t="n">
        <f aca="false">AL713*D713</f>
        <v>0</v>
      </c>
      <c r="AR713" s="0" t="n">
        <f aca="false">AN713*D713</f>
        <v>-0</v>
      </c>
      <c r="AS713" s="0" t="n">
        <f aca="false">AH713-AR713</f>
        <v>0</v>
      </c>
    </row>
    <row r="714" customFormat="false" ht="12" hidden="false" customHeight="false" outlineLevel="0" collapsed="false">
      <c r="A714" s="3" t="n">
        <f aca="false">A713+1</f>
        <v>705</v>
      </c>
      <c r="B714" s="3" t="n">
        <f aca="false">IF(A714&lt;$N$4/3,0.1,(IF(A714&gt;2*$N$4/3,0.05,0.12)))</f>
        <v>0.05</v>
      </c>
      <c r="C714" s="4" t="n">
        <f aca="true">RAND()</f>
        <v>0.135146799137272</v>
      </c>
      <c r="D714" s="0" t="n">
        <f aca="false">IF((C714&gt;$M$2),1,0)</f>
        <v>0</v>
      </c>
      <c r="E714" s="0" t="n">
        <f aca="false">1-D714</f>
        <v>1</v>
      </c>
      <c r="F714" s="0" t="n">
        <f aca="true">RAND()</f>
        <v>0.0287305630398559</v>
      </c>
      <c r="G714" s="0" t="n">
        <f aca="false">7.75+F714*10</f>
        <v>8.03730563039856</v>
      </c>
      <c r="H714" s="0" t="n">
        <f aca="false">LOGINV(F714,2.64,1.139)</f>
        <v>1.60985325257973</v>
      </c>
      <c r="I714" s="0" t="n">
        <v>19.5</v>
      </c>
      <c r="J714" s="4" t="n">
        <f aca="true">-LN(RAND())/B714</f>
        <v>31.5046501853077</v>
      </c>
      <c r="K714" s="4" t="n">
        <f aca="false">K713+J714</f>
        <v>7186.57275385625</v>
      </c>
      <c r="L714" s="4" t="n">
        <f aca="false">(1/$J$4)*(1+AB713)</f>
        <v>10</v>
      </c>
      <c r="M714" s="4" t="n">
        <f aca="false">L714+MAX(K714,Y$10:Y713)</f>
        <v>7268.82985076217</v>
      </c>
      <c r="N714" s="4" t="n">
        <f aca="false">K714</f>
        <v>7186.57275385625</v>
      </c>
      <c r="O714" s="4" t="n">
        <f aca="false">M714-K714</f>
        <v>82.2570969059243</v>
      </c>
      <c r="P714" s="4" t="n">
        <f aca="false">N714-K714</f>
        <v>0</v>
      </c>
      <c r="Q714" s="4" t="n">
        <f aca="false">A714-MATCH(K714,$M$9:M713,1)</f>
        <v>8</v>
      </c>
      <c r="R714" s="0" t="n">
        <f aca="false">-G714*(O714/3600)</f>
        <v>-0.183645952250618</v>
      </c>
      <c r="S714" s="0" t="n">
        <f aca="false">-1*I714-(H714*(P714/3600))</f>
        <v>-19.5</v>
      </c>
      <c r="T714" s="0" t="n">
        <f aca="false">-H714*(O714/3600)</f>
        <v>-0.0367838486116023</v>
      </c>
      <c r="U714" s="0" t="n">
        <f aca="false">T714-S714</f>
        <v>19.4632161513884</v>
      </c>
      <c r="V714" s="0" t="n">
        <f aca="false">1/(1+EXP(U714))</f>
        <v>3.52559664182098E-009</v>
      </c>
      <c r="W714" s="0" t="n">
        <f aca="true">RAND()</f>
        <v>0.675459344238139</v>
      </c>
      <c r="X714" s="0" t="n">
        <f aca="false">IF(W714&lt;V714,1,0)</f>
        <v>0</v>
      </c>
      <c r="Y714" s="0" t="n">
        <f aca="false">(M714*(1-X714)+N714*X714)*D714+M714*E714</f>
        <v>7268.82985076217</v>
      </c>
      <c r="Z714" s="0" t="n">
        <f aca="false">((1-X714)*O714+X714*P714)*D714+E714*O714</f>
        <v>82.2570969059243</v>
      </c>
      <c r="AA714" s="0" t="n">
        <f aca="false">IF(D714*X714&gt;0,AA713,Q714)</f>
        <v>8</v>
      </c>
      <c r="AB714" s="0" t="n">
        <f aca="false">(X714*D714)</f>
        <v>0</v>
      </c>
      <c r="AC714" s="0" t="n">
        <f aca="false">SUM(AB$10:AB713)/K714</f>
        <v>0.00013914838605974</v>
      </c>
      <c r="AD714" s="0" t="n">
        <f aca="false">R714*E714+D714*(X714*S714+(1-X714)*T714)</f>
        <v>-0.183645952250618</v>
      </c>
      <c r="AE714" s="0" t="n">
        <f aca="false">Z714</f>
        <v>82.2570969059243</v>
      </c>
      <c r="AF714" s="0" t="n">
        <f aca="false">E714*O714</f>
        <v>82.2570969059243</v>
      </c>
      <c r="AG714" s="0" t="n">
        <f aca="false">((1-X714)*O714+X714*P714)*D714</f>
        <v>0</v>
      </c>
      <c r="AH714" s="0" t="n">
        <f aca="false">D714*(LN(EXP(S714)+EXP(T714)))</f>
        <v>-0</v>
      </c>
      <c r="AJ714" s="0" t="n">
        <f aca="false">$J$5</f>
        <v>10</v>
      </c>
      <c r="AK714" s="4" t="n">
        <f aca="false">AJ714+MAX(K714,AK$10:AK713)</f>
        <v>7268.82985076217</v>
      </c>
      <c r="AL714" s="5" t="n">
        <f aca="false">AK714-K714</f>
        <v>82.2570969059243</v>
      </c>
      <c r="AM714" s="0" t="n">
        <f aca="false">-G714*AL714/3600</f>
        <v>-0.183645952250618</v>
      </c>
      <c r="AN714" s="0" t="n">
        <f aca="false">-H714*AL714/3600</f>
        <v>-0.0367838486116023</v>
      </c>
      <c r="AO714" s="0" t="n">
        <f aca="false">AM714*E714+AN714*D714</f>
        <v>-0.183645952250618</v>
      </c>
      <c r="AP714" s="0" t="n">
        <f aca="false">AL714*D714</f>
        <v>0</v>
      </c>
      <c r="AR714" s="0" t="n">
        <f aca="false">AN714*D714</f>
        <v>-0</v>
      </c>
      <c r="AS714" s="0" t="n">
        <f aca="false">AH714-AR714</f>
        <v>0</v>
      </c>
    </row>
    <row r="715" customFormat="false" ht="12" hidden="false" customHeight="false" outlineLevel="0" collapsed="false">
      <c r="A715" s="3" t="n">
        <f aca="false">A714+1</f>
        <v>706</v>
      </c>
      <c r="B715" s="3" t="n">
        <f aca="false">IF(A715&lt;$N$4/3,0.1,(IF(A715&gt;2*$N$4/3,0.05,0.12)))</f>
        <v>0.05</v>
      </c>
      <c r="C715" s="4" t="n">
        <f aca="true">RAND()</f>
        <v>0.505942839695486</v>
      </c>
      <c r="D715" s="0" t="n">
        <f aca="false">IF((C715&gt;$M$2),1,0)</f>
        <v>0</v>
      </c>
      <c r="E715" s="0" t="n">
        <f aca="false">1-D715</f>
        <v>1</v>
      </c>
      <c r="F715" s="0" t="n">
        <f aca="true">RAND()</f>
        <v>0.997434454495799</v>
      </c>
      <c r="G715" s="0" t="n">
        <f aca="false">7.75+F715*10</f>
        <v>17.724344544958</v>
      </c>
      <c r="H715" s="0" t="n">
        <f aca="false">LOGINV(F715,2.64,1.139)</f>
        <v>339.578130366382</v>
      </c>
      <c r="I715" s="0" t="n">
        <v>19.5</v>
      </c>
      <c r="J715" s="4" t="n">
        <f aca="true">-LN(RAND())/B715</f>
        <v>12.1392586486794</v>
      </c>
      <c r="K715" s="4" t="n">
        <f aca="false">K714+J715</f>
        <v>7198.71201250493</v>
      </c>
      <c r="L715" s="4" t="n">
        <f aca="false">(1/$J$4)*(1+AB714)</f>
        <v>10</v>
      </c>
      <c r="M715" s="4" t="n">
        <f aca="false">L715+MAX(K715,Y$10:Y714)</f>
        <v>7278.82985076217</v>
      </c>
      <c r="N715" s="4" t="n">
        <f aca="false">K715</f>
        <v>7198.71201250493</v>
      </c>
      <c r="O715" s="4" t="n">
        <f aca="false">M715-K715</f>
        <v>80.1178382572452</v>
      </c>
      <c r="P715" s="4" t="n">
        <f aca="false">N715-K715</f>
        <v>0</v>
      </c>
      <c r="Q715" s="4" t="n">
        <f aca="false">A715-MATCH(K715,$M$9:M714,1)</f>
        <v>8</v>
      </c>
      <c r="R715" s="0" t="n">
        <f aca="false">-G715*(O715/3600)</f>
        <v>-0.394454491519064</v>
      </c>
      <c r="S715" s="0" t="n">
        <f aca="false">-1*I715-(H715*(P715/3600))</f>
        <v>-19.5</v>
      </c>
      <c r="T715" s="0" t="n">
        <f aca="false">-H715*(O715/3600)</f>
        <v>-7.5572960345532</v>
      </c>
      <c r="U715" s="0" t="n">
        <f aca="false">T715-S715</f>
        <v>11.9427039654468</v>
      </c>
      <c r="V715" s="0" t="n">
        <f aca="false">1/(1+EXP(U715))</f>
        <v>6.50648964668316E-006</v>
      </c>
      <c r="W715" s="0" t="n">
        <f aca="true">RAND()</f>
        <v>0.349882185039327</v>
      </c>
      <c r="X715" s="0" t="n">
        <f aca="false">IF(W715&lt;V715,1,0)</f>
        <v>0</v>
      </c>
      <c r="Y715" s="0" t="n">
        <f aca="false">(M715*(1-X715)+N715*X715)*D715+M715*E715</f>
        <v>7278.82985076217</v>
      </c>
      <c r="Z715" s="0" t="n">
        <f aca="false">((1-X715)*O715+X715*P715)*D715+E715*O715</f>
        <v>80.1178382572452</v>
      </c>
      <c r="AA715" s="0" t="n">
        <f aca="false">IF(D715*X715&gt;0,AA714,Q715)</f>
        <v>8</v>
      </c>
      <c r="AB715" s="0" t="n">
        <f aca="false">(X715*D715)</f>
        <v>0</v>
      </c>
      <c r="AC715" s="0" t="n">
        <f aca="false">SUM(AB$10:AB714)/K715</f>
        <v>0.000138913738772004</v>
      </c>
      <c r="AD715" s="0" t="n">
        <f aca="false">R715*E715+D715*(X715*S715+(1-X715)*T715)</f>
        <v>-0.394454491519064</v>
      </c>
      <c r="AE715" s="0" t="n">
        <f aca="false">Z715</f>
        <v>80.1178382572452</v>
      </c>
      <c r="AF715" s="0" t="n">
        <f aca="false">E715*O715</f>
        <v>80.1178382572452</v>
      </c>
      <c r="AG715" s="0" t="n">
        <f aca="false">((1-X715)*O715+X715*P715)*D715</f>
        <v>0</v>
      </c>
      <c r="AH715" s="0" t="n">
        <f aca="false">D715*(LN(EXP(S715)+EXP(T715)))</f>
        <v>-0</v>
      </c>
      <c r="AJ715" s="0" t="n">
        <f aca="false">$J$5</f>
        <v>10</v>
      </c>
      <c r="AK715" s="4" t="n">
        <f aca="false">AJ715+MAX(K715,AK$10:AK714)</f>
        <v>7278.82985076217</v>
      </c>
      <c r="AL715" s="5" t="n">
        <f aca="false">AK715-K715</f>
        <v>80.1178382572452</v>
      </c>
      <c r="AM715" s="0" t="n">
        <f aca="false">-G715*AL715/3600</f>
        <v>-0.394454491519064</v>
      </c>
      <c r="AN715" s="0" t="n">
        <f aca="false">-H715*AL715/3600</f>
        <v>-7.5572960345532</v>
      </c>
      <c r="AO715" s="0" t="n">
        <f aca="false">AM715*E715+AN715*D715</f>
        <v>-0.394454491519064</v>
      </c>
      <c r="AP715" s="0" t="n">
        <f aca="false">AL715*D715</f>
        <v>0</v>
      </c>
      <c r="AR715" s="0" t="n">
        <f aca="false">AN715*D715</f>
        <v>-0</v>
      </c>
      <c r="AS715" s="0" t="n">
        <f aca="false">AH715-AR715</f>
        <v>0</v>
      </c>
    </row>
    <row r="716" customFormat="false" ht="12" hidden="false" customHeight="false" outlineLevel="0" collapsed="false">
      <c r="A716" s="3" t="n">
        <f aca="false">A715+1</f>
        <v>707</v>
      </c>
      <c r="B716" s="3" t="n">
        <f aca="false">IF(A716&lt;$N$4/3,0.1,(IF(A716&gt;2*$N$4/3,0.05,0.12)))</f>
        <v>0.05</v>
      </c>
      <c r="C716" s="4" t="n">
        <f aca="true">RAND()</f>
        <v>0.761538236236146</v>
      </c>
      <c r="D716" s="0" t="n">
        <f aca="false">IF((C716&gt;$M$2),1,0)</f>
        <v>0</v>
      </c>
      <c r="E716" s="0" t="n">
        <f aca="false">1-D716</f>
        <v>1</v>
      </c>
      <c r="F716" s="0" t="n">
        <f aca="true">RAND()</f>
        <v>0.0931514076130889</v>
      </c>
      <c r="G716" s="0" t="n">
        <f aca="false">7.75+F716*10</f>
        <v>8.68151407613089</v>
      </c>
      <c r="H716" s="0" t="n">
        <f aca="false">LOGINV(F716,2.64,1.139)</f>
        <v>3.11024809074594</v>
      </c>
      <c r="I716" s="0" t="n">
        <v>19.5</v>
      </c>
      <c r="J716" s="4" t="n">
        <f aca="true">-LN(RAND())/B716</f>
        <v>10.4506754173527</v>
      </c>
      <c r="K716" s="4" t="n">
        <f aca="false">K715+J716</f>
        <v>7209.16268792228</v>
      </c>
      <c r="L716" s="4" t="n">
        <f aca="false">(1/$J$4)*(1+AB715)</f>
        <v>10</v>
      </c>
      <c r="M716" s="4" t="n">
        <f aca="false">L716+MAX(K716,Y$10:Y715)</f>
        <v>7288.82985076217</v>
      </c>
      <c r="N716" s="4" t="n">
        <f aca="false">K716</f>
        <v>7209.16268792228</v>
      </c>
      <c r="O716" s="4" t="n">
        <f aca="false">M716-K716</f>
        <v>79.6671628398926</v>
      </c>
      <c r="P716" s="4" t="n">
        <f aca="false">N716-K716</f>
        <v>0</v>
      </c>
      <c r="Q716" s="4" t="n">
        <f aca="false">A716-MATCH(K716,$M$9:M715,1)</f>
        <v>7</v>
      </c>
      <c r="R716" s="0" t="n">
        <f aca="false">-G716*(O716/3600)</f>
        <v>-0.19211988766665</v>
      </c>
      <c r="S716" s="0" t="n">
        <f aca="false">-1*I716-(H716*(P716/3600))</f>
        <v>-19.5</v>
      </c>
      <c r="T716" s="0" t="n">
        <f aca="false">-H716*(O716/3600)</f>
        <v>-0.0688290669772005</v>
      </c>
      <c r="U716" s="0" t="n">
        <f aca="false">T716-S716</f>
        <v>19.4311709330228</v>
      </c>
      <c r="V716" s="0" t="n">
        <f aca="false">1/(1+EXP(U716))</f>
        <v>3.64040485834327E-009</v>
      </c>
      <c r="W716" s="0" t="n">
        <f aca="true">RAND()</f>
        <v>0.612429317242011</v>
      </c>
      <c r="X716" s="0" t="n">
        <f aca="false">IF(W716&lt;V716,1,0)</f>
        <v>0</v>
      </c>
      <c r="Y716" s="0" t="n">
        <f aca="false">(M716*(1-X716)+N716*X716)*D716+M716*E716</f>
        <v>7288.82985076217</v>
      </c>
      <c r="Z716" s="0" t="n">
        <f aca="false">((1-X716)*O716+X716*P716)*D716+E716*O716</f>
        <v>79.6671628398926</v>
      </c>
      <c r="AA716" s="0" t="n">
        <f aca="false">IF(D716*X716&gt;0,AA715,Q716)</f>
        <v>7</v>
      </c>
      <c r="AB716" s="0" t="n">
        <f aca="false">(X716*D716)</f>
        <v>0</v>
      </c>
      <c r="AC716" s="0" t="n">
        <f aca="false">SUM(AB$10:AB715)/K716</f>
        <v>0.000138712364152265</v>
      </c>
      <c r="AD716" s="0" t="n">
        <f aca="false">R716*E716+D716*(X716*S716+(1-X716)*T716)</f>
        <v>-0.19211988766665</v>
      </c>
      <c r="AE716" s="0" t="n">
        <f aca="false">Z716</f>
        <v>79.6671628398926</v>
      </c>
      <c r="AF716" s="0" t="n">
        <f aca="false">E716*O716</f>
        <v>79.6671628398926</v>
      </c>
      <c r="AG716" s="0" t="n">
        <f aca="false">((1-X716)*O716+X716*P716)*D716</f>
        <v>0</v>
      </c>
      <c r="AH716" s="0" t="n">
        <f aca="false">D716*(LN(EXP(S716)+EXP(T716)))</f>
        <v>-0</v>
      </c>
      <c r="AJ716" s="0" t="n">
        <f aca="false">$J$5</f>
        <v>10</v>
      </c>
      <c r="AK716" s="4" t="n">
        <f aca="false">AJ716+MAX(K716,AK$10:AK715)</f>
        <v>7288.82985076217</v>
      </c>
      <c r="AL716" s="5" t="n">
        <f aca="false">AK716-K716</f>
        <v>79.6671628398926</v>
      </c>
      <c r="AM716" s="0" t="n">
        <f aca="false">-G716*AL716/3600</f>
        <v>-0.19211988766665</v>
      </c>
      <c r="AN716" s="0" t="n">
        <f aca="false">-H716*AL716/3600</f>
        <v>-0.0688290669772005</v>
      </c>
      <c r="AO716" s="0" t="n">
        <f aca="false">AM716*E716+AN716*D716</f>
        <v>-0.19211988766665</v>
      </c>
      <c r="AP716" s="0" t="n">
        <f aca="false">AL716*D716</f>
        <v>0</v>
      </c>
      <c r="AR716" s="0" t="n">
        <f aca="false">AN716*D716</f>
        <v>-0</v>
      </c>
      <c r="AS716" s="0" t="n">
        <f aca="false">AH716-AR716</f>
        <v>0</v>
      </c>
    </row>
    <row r="717" customFormat="false" ht="12" hidden="false" customHeight="false" outlineLevel="0" collapsed="false">
      <c r="A717" s="3" t="n">
        <f aca="false">A716+1</f>
        <v>708</v>
      </c>
      <c r="B717" s="3" t="n">
        <f aca="false">IF(A717&lt;$N$4/3,0.1,(IF(A717&gt;2*$N$4/3,0.05,0.12)))</f>
        <v>0.05</v>
      </c>
      <c r="C717" s="4" t="n">
        <f aca="true">RAND()</f>
        <v>0.875723173875483</v>
      </c>
      <c r="D717" s="0" t="n">
        <f aca="false">IF((C717&gt;$M$2),1,0)</f>
        <v>0</v>
      </c>
      <c r="E717" s="0" t="n">
        <f aca="false">1-D717</f>
        <v>1</v>
      </c>
      <c r="F717" s="0" t="n">
        <f aca="true">RAND()</f>
        <v>0.205691306950914</v>
      </c>
      <c r="G717" s="0" t="n">
        <f aca="false">7.75+F717*10</f>
        <v>9.80691306950914</v>
      </c>
      <c r="H717" s="0" t="n">
        <f aca="false">LOGINV(F717,2.64,1.139)</f>
        <v>5.49783120720388</v>
      </c>
      <c r="I717" s="0" t="n">
        <v>19.5</v>
      </c>
      <c r="J717" s="4" t="n">
        <f aca="true">-LN(RAND())/B717</f>
        <v>18.057946230131</v>
      </c>
      <c r="K717" s="4" t="n">
        <f aca="false">K716+J717</f>
        <v>7227.22063415241</v>
      </c>
      <c r="L717" s="4" t="n">
        <f aca="false">(1/$J$4)*(1+AB716)</f>
        <v>10</v>
      </c>
      <c r="M717" s="4" t="n">
        <f aca="false">L717+MAX(K717,Y$10:Y716)</f>
        <v>7298.82985076217</v>
      </c>
      <c r="N717" s="4" t="n">
        <f aca="false">K717</f>
        <v>7227.22063415241</v>
      </c>
      <c r="O717" s="4" t="n">
        <f aca="false">M717-K717</f>
        <v>71.6092166097615</v>
      </c>
      <c r="P717" s="4" t="n">
        <f aca="false">N717-K717</f>
        <v>0</v>
      </c>
      <c r="Q717" s="4" t="n">
        <f aca="false">A717-MATCH(K717,$M$9:M716,1)</f>
        <v>7</v>
      </c>
      <c r="R717" s="0" t="n">
        <f aca="false">-G717*(O717/3600)</f>
        <v>-0.195073711740995</v>
      </c>
      <c r="S717" s="0" t="n">
        <f aca="false">-1*I717-(H717*(P717/3600))</f>
        <v>-19.5</v>
      </c>
      <c r="T717" s="0" t="n">
        <f aca="false">-H717*(O717/3600)</f>
        <v>-0.109359829389047</v>
      </c>
      <c r="U717" s="0" t="n">
        <f aca="false">T717-S717</f>
        <v>19.390640170611</v>
      </c>
      <c r="V717" s="0" t="n">
        <f aca="false">1/(1+EXP(U717))</f>
        <v>3.79098417643798E-009</v>
      </c>
      <c r="W717" s="0" t="n">
        <f aca="true">RAND()</f>
        <v>0.614379030410781</v>
      </c>
      <c r="X717" s="0" t="n">
        <f aca="false">IF(W717&lt;V717,1,0)</f>
        <v>0</v>
      </c>
      <c r="Y717" s="0" t="n">
        <f aca="false">(M717*(1-X717)+N717*X717)*D717+M717*E717</f>
        <v>7298.82985076217</v>
      </c>
      <c r="Z717" s="0" t="n">
        <f aca="false">((1-X717)*O717+X717*P717)*D717+E717*O717</f>
        <v>71.6092166097615</v>
      </c>
      <c r="AA717" s="0" t="n">
        <f aca="false">IF(D717*X717&gt;0,AA716,Q717)</f>
        <v>7</v>
      </c>
      <c r="AB717" s="0" t="n">
        <f aca="false">(X717*D717)</f>
        <v>0</v>
      </c>
      <c r="AC717" s="0" t="n">
        <f aca="false">SUM(AB$10:AB716)/K717</f>
        <v>0.000138365777194413</v>
      </c>
      <c r="AD717" s="0" t="n">
        <f aca="false">R717*E717+D717*(X717*S717+(1-X717)*T717)</f>
        <v>-0.195073711740995</v>
      </c>
      <c r="AE717" s="0" t="n">
        <f aca="false">Z717</f>
        <v>71.6092166097615</v>
      </c>
      <c r="AF717" s="0" t="n">
        <f aca="false">E717*O717</f>
        <v>71.6092166097615</v>
      </c>
      <c r="AG717" s="0" t="n">
        <f aca="false">((1-X717)*O717+X717*P717)*D717</f>
        <v>0</v>
      </c>
      <c r="AH717" s="0" t="n">
        <f aca="false">D717*(LN(EXP(S717)+EXP(T717)))</f>
        <v>-0</v>
      </c>
      <c r="AJ717" s="0" t="n">
        <f aca="false">$J$5</f>
        <v>10</v>
      </c>
      <c r="AK717" s="4" t="n">
        <f aca="false">AJ717+MAX(K717,AK$10:AK716)</f>
        <v>7298.82985076217</v>
      </c>
      <c r="AL717" s="5" t="n">
        <f aca="false">AK717-K717</f>
        <v>71.6092166097615</v>
      </c>
      <c r="AM717" s="0" t="n">
        <f aca="false">-G717*AL717/3600</f>
        <v>-0.195073711740995</v>
      </c>
      <c r="AN717" s="0" t="n">
        <f aca="false">-H717*AL717/3600</f>
        <v>-0.109359829389047</v>
      </c>
      <c r="AO717" s="0" t="n">
        <f aca="false">AM717*E717+AN717*D717</f>
        <v>-0.195073711740995</v>
      </c>
      <c r="AP717" s="0" t="n">
        <f aca="false">AL717*D717</f>
        <v>0</v>
      </c>
      <c r="AR717" s="0" t="n">
        <f aca="false">AN717*D717</f>
        <v>-0</v>
      </c>
      <c r="AS717" s="0" t="n">
        <f aca="false">AH717-AR717</f>
        <v>0</v>
      </c>
    </row>
    <row r="718" customFormat="false" ht="12" hidden="false" customHeight="false" outlineLevel="0" collapsed="false">
      <c r="A718" s="3" t="n">
        <f aca="false">A717+1</f>
        <v>709</v>
      </c>
      <c r="B718" s="3" t="n">
        <f aca="false">IF(A718&lt;$N$4/3,0.1,(IF(A718&gt;2*$N$4/3,0.05,0.12)))</f>
        <v>0.05</v>
      </c>
      <c r="C718" s="4" t="n">
        <f aca="true">RAND()</f>
        <v>0.432292769979522</v>
      </c>
      <c r="D718" s="0" t="n">
        <f aca="false">IF((C718&gt;$M$2),1,0)</f>
        <v>0</v>
      </c>
      <c r="E718" s="0" t="n">
        <f aca="false">1-D718</f>
        <v>1</v>
      </c>
      <c r="F718" s="0" t="n">
        <f aca="true">RAND()</f>
        <v>0.184514655376784</v>
      </c>
      <c r="G718" s="0" t="n">
        <f aca="false">7.75+F718*10</f>
        <v>9.59514655376784</v>
      </c>
      <c r="H718" s="0" t="n">
        <f aca="false">LOGINV(F718,2.64,1.139)</f>
        <v>5.03716871019197</v>
      </c>
      <c r="I718" s="0" t="n">
        <v>19.5</v>
      </c>
      <c r="J718" s="4" t="n">
        <f aca="true">-LN(RAND())/B718</f>
        <v>28.2418757157732</v>
      </c>
      <c r="K718" s="4" t="n">
        <f aca="false">K717+J718</f>
        <v>7255.46250986818</v>
      </c>
      <c r="L718" s="4" t="n">
        <f aca="false">(1/$J$4)*(1+AB717)</f>
        <v>10</v>
      </c>
      <c r="M718" s="4" t="n">
        <f aca="false">L718+MAX(K718,Y$10:Y717)</f>
        <v>7308.82985076217</v>
      </c>
      <c r="N718" s="4" t="n">
        <f aca="false">K718</f>
        <v>7255.46250986818</v>
      </c>
      <c r="O718" s="4" t="n">
        <f aca="false">M718-K718</f>
        <v>53.3673408939885</v>
      </c>
      <c r="P718" s="4" t="n">
        <f aca="false">N718-K718</f>
        <v>0</v>
      </c>
      <c r="Q718" s="4" t="n">
        <f aca="false">A718-MATCH(K718,$M$9:M717,1)</f>
        <v>5</v>
      </c>
      <c r="R718" s="0" t="n">
        <f aca="false">-G718*(O718/3600)</f>
        <v>-0.142240960295197</v>
      </c>
      <c r="S718" s="0" t="n">
        <f aca="false">-1*I718-(H718*(P718/3600))</f>
        <v>-19.5</v>
      </c>
      <c r="T718" s="0" t="n">
        <f aca="false">-H718*(O718/3600)</f>
        <v>-0.0746723054714854</v>
      </c>
      <c r="U718" s="0" t="n">
        <f aca="false">T718-S718</f>
        <v>19.4253276945285</v>
      </c>
      <c r="V718" s="0" t="n">
        <f aca="false">1/(1+EXP(U718))</f>
        <v>3.66173888125903E-009</v>
      </c>
      <c r="W718" s="0" t="n">
        <f aca="true">RAND()</f>
        <v>0.56204214671755</v>
      </c>
      <c r="X718" s="0" t="n">
        <f aca="false">IF(W718&lt;V718,1,0)</f>
        <v>0</v>
      </c>
      <c r="Y718" s="0" t="n">
        <f aca="false">(M718*(1-X718)+N718*X718)*D718+M718*E718</f>
        <v>7308.82985076217</v>
      </c>
      <c r="Z718" s="0" t="n">
        <f aca="false">((1-X718)*O718+X718*P718)*D718+E718*O718</f>
        <v>53.3673408939885</v>
      </c>
      <c r="AA718" s="0" t="n">
        <f aca="false">IF(D718*X718&gt;0,AA717,Q718)</f>
        <v>5</v>
      </c>
      <c r="AB718" s="0" t="n">
        <f aca="false">(X718*D718)</f>
        <v>0</v>
      </c>
      <c r="AC718" s="0" t="n">
        <f aca="false">SUM(AB$10:AB717)/K718</f>
        <v>0.000137827188637512</v>
      </c>
      <c r="AD718" s="0" t="n">
        <f aca="false">R718*E718+D718*(X718*S718+(1-X718)*T718)</f>
        <v>-0.142240960295197</v>
      </c>
      <c r="AE718" s="0" t="n">
        <f aca="false">Z718</f>
        <v>53.3673408939885</v>
      </c>
      <c r="AF718" s="0" t="n">
        <f aca="false">E718*O718</f>
        <v>53.3673408939885</v>
      </c>
      <c r="AG718" s="0" t="n">
        <f aca="false">((1-X718)*O718+X718*P718)*D718</f>
        <v>0</v>
      </c>
      <c r="AH718" s="0" t="n">
        <f aca="false">D718*(LN(EXP(S718)+EXP(T718)))</f>
        <v>-0</v>
      </c>
      <c r="AJ718" s="0" t="n">
        <f aca="false">$J$5</f>
        <v>10</v>
      </c>
      <c r="AK718" s="4" t="n">
        <f aca="false">AJ718+MAX(K718,AK$10:AK717)</f>
        <v>7308.82985076217</v>
      </c>
      <c r="AL718" s="5" t="n">
        <f aca="false">AK718-K718</f>
        <v>53.3673408939885</v>
      </c>
      <c r="AM718" s="0" t="n">
        <f aca="false">-G718*AL718/3600</f>
        <v>-0.142240960295197</v>
      </c>
      <c r="AN718" s="0" t="n">
        <f aca="false">-H718*AL718/3600</f>
        <v>-0.0746723054714854</v>
      </c>
      <c r="AO718" s="0" t="n">
        <f aca="false">AM718*E718+AN718*D718</f>
        <v>-0.142240960295197</v>
      </c>
      <c r="AP718" s="0" t="n">
        <f aca="false">AL718*D718</f>
        <v>0</v>
      </c>
      <c r="AR718" s="0" t="n">
        <f aca="false">AN718*D718</f>
        <v>-0</v>
      </c>
      <c r="AS718" s="0" t="n">
        <f aca="false">AH718-AR718</f>
        <v>0</v>
      </c>
    </row>
    <row r="719" customFormat="false" ht="12" hidden="false" customHeight="false" outlineLevel="0" collapsed="false">
      <c r="A719" s="3" t="n">
        <f aca="false">A718+1</f>
        <v>710</v>
      </c>
      <c r="B719" s="3" t="n">
        <f aca="false">IF(A719&lt;$N$4/3,0.1,(IF(A719&gt;2*$N$4/3,0.05,0.12)))</f>
        <v>0.05</v>
      </c>
      <c r="C719" s="4" t="n">
        <f aca="true">RAND()</f>
        <v>0.357845167161111</v>
      </c>
      <c r="D719" s="0" t="n">
        <f aca="false">IF((C719&gt;$M$2),1,0)</f>
        <v>0</v>
      </c>
      <c r="E719" s="0" t="n">
        <f aca="false">1-D719</f>
        <v>1</v>
      </c>
      <c r="F719" s="0" t="n">
        <f aca="true">RAND()</f>
        <v>0.699770996675471</v>
      </c>
      <c r="G719" s="0" t="n">
        <f aca="false">7.75+F719*10</f>
        <v>14.7477099667547</v>
      </c>
      <c r="H719" s="0" t="n">
        <f aca="false">LOGINV(F719,2.64,1.139)</f>
        <v>25.4455818197806</v>
      </c>
      <c r="I719" s="0" t="n">
        <v>19.5</v>
      </c>
      <c r="J719" s="4" t="n">
        <f aca="true">-LN(RAND())/B719</f>
        <v>18.2139557157995</v>
      </c>
      <c r="K719" s="4" t="n">
        <f aca="false">K718+J719</f>
        <v>7273.67646558398</v>
      </c>
      <c r="L719" s="4" t="n">
        <f aca="false">(1/$J$4)*(1+AB718)</f>
        <v>10</v>
      </c>
      <c r="M719" s="4" t="n">
        <f aca="false">L719+MAX(K719,Y$10:Y718)</f>
        <v>7318.82985076217</v>
      </c>
      <c r="N719" s="4" t="n">
        <f aca="false">K719</f>
        <v>7273.67646558398</v>
      </c>
      <c r="O719" s="4" t="n">
        <f aca="false">M719-K719</f>
        <v>45.1533851781887</v>
      </c>
      <c r="P719" s="4" t="n">
        <f aca="false">N719-K719</f>
        <v>0</v>
      </c>
      <c r="Q719" s="4" t="n">
        <f aca="false">A719-MATCH(K719,$M$9:M718,1)</f>
        <v>4</v>
      </c>
      <c r="R719" s="0" t="n">
        <f aca="false">-G719*(O719/3600)</f>
        <v>-0.184974730173636</v>
      </c>
      <c r="S719" s="0" t="n">
        <f aca="false">-1*I719-(H719*(P719/3600))</f>
        <v>-19.5</v>
      </c>
      <c r="T719" s="0" t="n">
        <f aca="false">-H719*(O719/3600)</f>
        <v>-0.319153932497686</v>
      </c>
      <c r="U719" s="0" t="n">
        <f aca="false">T719-S719</f>
        <v>19.1808460675023</v>
      </c>
      <c r="V719" s="0" t="n">
        <f aca="false">1/(1+EXP(U719))</f>
        <v>4.67589114940356E-009</v>
      </c>
      <c r="W719" s="0" t="n">
        <f aca="true">RAND()</f>
        <v>0.00268785412225052</v>
      </c>
      <c r="X719" s="0" t="n">
        <f aca="false">IF(W719&lt;V719,1,0)</f>
        <v>0</v>
      </c>
      <c r="Y719" s="0" t="n">
        <f aca="false">(M719*(1-X719)+N719*X719)*D719+M719*E719</f>
        <v>7318.82985076217</v>
      </c>
      <c r="Z719" s="0" t="n">
        <f aca="false">((1-X719)*O719+X719*P719)*D719+E719*O719</f>
        <v>45.1533851781887</v>
      </c>
      <c r="AA719" s="0" t="n">
        <f aca="false">IF(D719*X719&gt;0,AA718,Q719)</f>
        <v>4</v>
      </c>
      <c r="AB719" s="0" t="n">
        <f aca="false">(X719*D719)</f>
        <v>0</v>
      </c>
      <c r="AC719" s="0" t="n">
        <f aca="false">SUM(AB$10:AB718)/K719</f>
        <v>0.00013748205666441</v>
      </c>
      <c r="AD719" s="0" t="n">
        <f aca="false">R719*E719+D719*(X719*S719+(1-X719)*T719)</f>
        <v>-0.184974730173636</v>
      </c>
      <c r="AE719" s="0" t="n">
        <f aca="false">Z719</f>
        <v>45.1533851781887</v>
      </c>
      <c r="AF719" s="0" t="n">
        <f aca="false">E719*O719</f>
        <v>45.1533851781887</v>
      </c>
      <c r="AG719" s="0" t="n">
        <f aca="false">((1-X719)*O719+X719*P719)*D719</f>
        <v>0</v>
      </c>
      <c r="AH719" s="0" t="n">
        <f aca="false">D719*(LN(EXP(S719)+EXP(T719)))</f>
        <v>-0</v>
      </c>
      <c r="AJ719" s="0" t="n">
        <f aca="false">$J$5</f>
        <v>10</v>
      </c>
      <c r="AK719" s="4" t="n">
        <f aca="false">AJ719+MAX(K719,AK$10:AK718)</f>
        <v>7318.82985076217</v>
      </c>
      <c r="AL719" s="5" t="n">
        <f aca="false">AK719-K719</f>
        <v>45.1533851781887</v>
      </c>
      <c r="AM719" s="0" t="n">
        <f aca="false">-G719*AL719/3600</f>
        <v>-0.184974730173636</v>
      </c>
      <c r="AN719" s="0" t="n">
        <f aca="false">-H719*AL719/3600</f>
        <v>-0.319153932497686</v>
      </c>
      <c r="AO719" s="0" t="n">
        <f aca="false">AM719*E719+AN719*D719</f>
        <v>-0.184974730173636</v>
      </c>
      <c r="AP719" s="0" t="n">
        <f aca="false">AL719*D719</f>
        <v>0</v>
      </c>
      <c r="AR719" s="0" t="n">
        <f aca="false">AN719*D719</f>
        <v>-0</v>
      </c>
      <c r="AS719" s="0" t="n">
        <f aca="false">AH719-AR719</f>
        <v>0</v>
      </c>
    </row>
    <row r="720" customFormat="false" ht="12" hidden="false" customHeight="false" outlineLevel="0" collapsed="false">
      <c r="A720" s="3" t="n">
        <f aca="false">A719+1</f>
        <v>711</v>
      </c>
      <c r="B720" s="3" t="n">
        <f aca="false">IF(A720&lt;$N$4/3,0.1,(IF(A720&gt;2*$N$4/3,0.05,0.12)))</f>
        <v>0.05</v>
      </c>
      <c r="C720" s="4" t="n">
        <f aca="true">RAND()</f>
        <v>0.274067890761536</v>
      </c>
      <c r="D720" s="0" t="n">
        <f aca="false">IF((C720&gt;$M$2),1,0)</f>
        <v>0</v>
      </c>
      <c r="E720" s="0" t="n">
        <f aca="false">1-D720</f>
        <v>1</v>
      </c>
      <c r="F720" s="0" t="n">
        <f aca="true">RAND()</f>
        <v>0.0198646027950932</v>
      </c>
      <c r="G720" s="0" t="n">
        <f aca="false">7.75+F720*10</f>
        <v>7.94864602795093</v>
      </c>
      <c r="H720" s="0" t="n">
        <f aca="false">LOGINV(F720,2.64,1.139)</f>
        <v>1.34660375870847</v>
      </c>
      <c r="I720" s="0" t="n">
        <v>19.5</v>
      </c>
      <c r="J720" s="4" t="n">
        <f aca="true">-LN(RAND())/B720</f>
        <v>11.5671163386755</v>
      </c>
      <c r="K720" s="4" t="n">
        <f aca="false">K719+J720</f>
        <v>7285.24358192266</v>
      </c>
      <c r="L720" s="4" t="n">
        <f aca="false">(1/$J$4)*(1+AB719)</f>
        <v>10</v>
      </c>
      <c r="M720" s="4" t="n">
        <f aca="false">L720+MAX(K720,Y$10:Y719)</f>
        <v>7328.82985076217</v>
      </c>
      <c r="N720" s="4" t="n">
        <f aca="false">K720</f>
        <v>7285.24358192266</v>
      </c>
      <c r="O720" s="4" t="n">
        <f aca="false">M720-K720</f>
        <v>43.5862688395127</v>
      </c>
      <c r="P720" s="4" t="n">
        <f aca="false">N720-K720</f>
        <v>0</v>
      </c>
      <c r="Q720" s="4" t="n">
        <f aca="false">A720-MATCH(K720,$M$9:M719,1)</f>
        <v>4</v>
      </c>
      <c r="R720" s="0" t="n">
        <f aca="false">-G720*(O720/3600)</f>
        <v>-0.0962366174123318</v>
      </c>
      <c r="S720" s="0" t="n">
        <f aca="false">-1*I720-(H720*(P720/3600))</f>
        <v>-19.5</v>
      </c>
      <c r="T720" s="0" t="n">
        <f aca="false">-H720*(O720/3600)</f>
        <v>-0.0163037315131571</v>
      </c>
      <c r="U720" s="0" t="n">
        <f aca="false">T720-S720</f>
        <v>19.4836962684868</v>
      </c>
      <c r="V720" s="0" t="n">
        <f aca="false">1/(1+EXP(U720))</f>
        <v>3.45412636787201E-009</v>
      </c>
      <c r="W720" s="0" t="n">
        <f aca="true">RAND()</f>
        <v>0.243237338619977</v>
      </c>
      <c r="X720" s="0" t="n">
        <f aca="false">IF(W720&lt;V720,1,0)</f>
        <v>0</v>
      </c>
      <c r="Y720" s="0" t="n">
        <f aca="false">(M720*(1-X720)+N720*X720)*D720+M720*E720</f>
        <v>7328.82985076217</v>
      </c>
      <c r="Z720" s="0" t="n">
        <f aca="false">((1-X720)*O720+X720*P720)*D720+E720*O720</f>
        <v>43.5862688395127</v>
      </c>
      <c r="AA720" s="0" t="n">
        <f aca="false">IF(D720*X720&gt;0,AA719,Q720)</f>
        <v>4</v>
      </c>
      <c r="AB720" s="0" t="n">
        <f aca="false">(X720*D720)</f>
        <v>0</v>
      </c>
      <c r="AC720" s="0" t="n">
        <f aca="false">SUM(AB$10:AB719)/K720</f>
        <v>0.0001372637700792</v>
      </c>
      <c r="AD720" s="0" t="n">
        <f aca="false">R720*E720+D720*(X720*S720+(1-X720)*T720)</f>
        <v>-0.0962366174123318</v>
      </c>
      <c r="AE720" s="0" t="n">
        <f aca="false">Z720</f>
        <v>43.5862688395127</v>
      </c>
      <c r="AF720" s="0" t="n">
        <f aca="false">E720*O720</f>
        <v>43.5862688395127</v>
      </c>
      <c r="AG720" s="0" t="n">
        <f aca="false">((1-X720)*O720+X720*P720)*D720</f>
        <v>0</v>
      </c>
      <c r="AH720" s="0" t="n">
        <f aca="false">D720*(LN(EXP(S720)+EXP(T720)))</f>
        <v>-0</v>
      </c>
      <c r="AJ720" s="0" t="n">
        <f aca="false">$J$5</f>
        <v>10</v>
      </c>
      <c r="AK720" s="4" t="n">
        <f aca="false">AJ720+MAX(K720,AK$10:AK719)</f>
        <v>7328.82985076217</v>
      </c>
      <c r="AL720" s="5" t="n">
        <f aca="false">AK720-K720</f>
        <v>43.5862688395127</v>
      </c>
      <c r="AM720" s="0" t="n">
        <f aca="false">-G720*AL720/3600</f>
        <v>-0.0962366174123318</v>
      </c>
      <c r="AN720" s="0" t="n">
        <f aca="false">-H720*AL720/3600</f>
        <v>-0.0163037315131571</v>
      </c>
      <c r="AO720" s="0" t="n">
        <f aca="false">AM720*E720+AN720*D720</f>
        <v>-0.0962366174123318</v>
      </c>
      <c r="AP720" s="0" t="n">
        <f aca="false">AL720*D720</f>
        <v>0</v>
      </c>
      <c r="AR720" s="0" t="n">
        <f aca="false">AN720*D720</f>
        <v>-0</v>
      </c>
      <c r="AS720" s="0" t="n">
        <f aca="false">AH720-AR720</f>
        <v>0</v>
      </c>
    </row>
    <row r="721" customFormat="false" ht="12" hidden="false" customHeight="false" outlineLevel="0" collapsed="false">
      <c r="A721" s="3" t="n">
        <f aca="false">A720+1</f>
        <v>712</v>
      </c>
      <c r="B721" s="3" t="n">
        <f aca="false">IF(A721&lt;$N$4/3,0.1,(IF(A721&gt;2*$N$4/3,0.05,0.12)))</f>
        <v>0.05</v>
      </c>
      <c r="C721" s="4" t="n">
        <f aca="true">RAND()</f>
        <v>0.339922373769297</v>
      </c>
      <c r="D721" s="0" t="n">
        <f aca="false">IF((C721&gt;$M$2),1,0)</f>
        <v>0</v>
      </c>
      <c r="E721" s="0" t="n">
        <f aca="false">1-D721</f>
        <v>1</v>
      </c>
      <c r="F721" s="0" t="n">
        <f aca="true">RAND()</f>
        <v>0.892241816009295</v>
      </c>
      <c r="G721" s="0" t="n">
        <f aca="false">7.75+F721*10</f>
        <v>16.672418160093</v>
      </c>
      <c r="H721" s="0" t="n">
        <f aca="false">LOGINV(F721,2.64,1.139)</f>
        <v>57.4373978291596</v>
      </c>
      <c r="I721" s="0" t="n">
        <v>19.5</v>
      </c>
      <c r="J721" s="4" t="n">
        <f aca="true">-LN(RAND())/B721</f>
        <v>18.5943776767827</v>
      </c>
      <c r="K721" s="4" t="n">
        <f aca="false">K720+J721</f>
        <v>7303.83795959944</v>
      </c>
      <c r="L721" s="4" t="n">
        <f aca="false">(1/$J$4)*(1+AB720)</f>
        <v>10</v>
      </c>
      <c r="M721" s="4" t="n">
        <f aca="false">L721+MAX(K721,Y$10:Y720)</f>
        <v>7338.82985076217</v>
      </c>
      <c r="N721" s="4" t="n">
        <f aca="false">K721</f>
        <v>7303.83795959944</v>
      </c>
      <c r="O721" s="4" t="n">
        <f aca="false">M721-K721</f>
        <v>34.9918911627301</v>
      </c>
      <c r="P721" s="4" t="n">
        <f aca="false">N721-K721</f>
        <v>0</v>
      </c>
      <c r="Q721" s="4" t="n">
        <f aca="false">A721-MATCH(K721,$M$9:M720,1)</f>
        <v>3</v>
      </c>
      <c r="R721" s="0" t="n">
        <f aca="false">-G721*(O721/3600)</f>
        <v>-0.162055400465972</v>
      </c>
      <c r="S721" s="0" t="n">
        <f aca="false">-1*I721-(H721*(P721/3600))</f>
        <v>-19.5</v>
      </c>
      <c r="T721" s="0" t="n">
        <f aca="false">-H721*(O721/3600)</f>
        <v>-0.558289770418995</v>
      </c>
      <c r="U721" s="0" t="n">
        <f aca="false">T721-S721</f>
        <v>18.941710229581</v>
      </c>
      <c r="V721" s="0" t="n">
        <f aca="false">1/(1+EXP(U721))</f>
        <v>5.93908809023291E-009</v>
      </c>
      <c r="W721" s="0" t="n">
        <f aca="true">RAND()</f>
        <v>0.393018050647801</v>
      </c>
      <c r="X721" s="0" t="n">
        <f aca="false">IF(W721&lt;V721,1,0)</f>
        <v>0</v>
      </c>
      <c r="Y721" s="0" t="n">
        <f aca="false">(M721*(1-X721)+N721*X721)*D721+M721*E721</f>
        <v>7338.82985076217</v>
      </c>
      <c r="Z721" s="0" t="n">
        <f aca="false">((1-X721)*O721+X721*P721)*D721+E721*O721</f>
        <v>34.9918911627301</v>
      </c>
      <c r="AA721" s="0" t="n">
        <f aca="false">IF(D721*X721&gt;0,AA720,Q721)</f>
        <v>3</v>
      </c>
      <c r="AB721" s="0" t="n">
        <f aca="false">(X721*D721)</f>
        <v>0</v>
      </c>
      <c r="AC721" s="0" t="n">
        <f aca="false">SUM(AB$10:AB720)/K721</f>
        <v>0.000136914318955516</v>
      </c>
      <c r="AD721" s="0" t="n">
        <f aca="false">R721*E721+D721*(X721*S721+(1-X721)*T721)</f>
        <v>-0.162055400465972</v>
      </c>
      <c r="AE721" s="0" t="n">
        <f aca="false">Z721</f>
        <v>34.9918911627301</v>
      </c>
      <c r="AF721" s="0" t="n">
        <f aca="false">E721*O721</f>
        <v>34.9918911627301</v>
      </c>
      <c r="AG721" s="0" t="n">
        <f aca="false">((1-X721)*O721+X721*P721)*D721</f>
        <v>0</v>
      </c>
      <c r="AH721" s="0" t="n">
        <f aca="false">D721*(LN(EXP(S721)+EXP(T721)))</f>
        <v>-0</v>
      </c>
      <c r="AJ721" s="0" t="n">
        <f aca="false">$J$5</f>
        <v>10</v>
      </c>
      <c r="AK721" s="4" t="n">
        <f aca="false">AJ721+MAX(K721,AK$10:AK720)</f>
        <v>7338.82985076217</v>
      </c>
      <c r="AL721" s="5" t="n">
        <f aca="false">AK721-K721</f>
        <v>34.9918911627301</v>
      </c>
      <c r="AM721" s="0" t="n">
        <f aca="false">-G721*AL721/3600</f>
        <v>-0.162055400465972</v>
      </c>
      <c r="AN721" s="0" t="n">
        <f aca="false">-H721*AL721/3600</f>
        <v>-0.558289770418995</v>
      </c>
      <c r="AO721" s="0" t="n">
        <f aca="false">AM721*E721+AN721*D721</f>
        <v>-0.162055400465972</v>
      </c>
      <c r="AP721" s="0" t="n">
        <f aca="false">AL721*D721</f>
        <v>0</v>
      </c>
      <c r="AR721" s="0" t="n">
        <f aca="false">AN721*D721</f>
        <v>-0</v>
      </c>
      <c r="AS721" s="0" t="n">
        <f aca="false">AH721-AR721</f>
        <v>0</v>
      </c>
    </row>
    <row r="722" customFormat="false" ht="12" hidden="false" customHeight="false" outlineLevel="0" collapsed="false">
      <c r="A722" s="3" t="n">
        <f aca="false">A721+1</f>
        <v>713</v>
      </c>
      <c r="B722" s="3" t="n">
        <f aca="false">IF(A722&lt;$N$4/3,0.1,(IF(A722&gt;2*$N$4/3,0.05,0.12)))</f>
        <v>0.05</v>
      </c>
      <c r="C722" s="4" t="n">
        <f aca="true">RAND()</f>
        <v>0.125631841823188</v>
      </c>
      <c r="D722" s="0" t="n">
        <f aca="false">IF((C722&gt;$M$2),1,0)</f>
        <v>0</v>
      </c>
      <c r="E722" s="0" t="n">
        <f aca="false">1-D722</f>
        <v>1</v>
      </c>
      <c r="F722" s="0" t="n">
        <f aca="true">RAND()</f>
        <v>0.855808782153636</v>
      </c>
      <c r="G722" s="0" t="n">
        <f aca="false">7.75+F722*10</f>
        <v>16.3080878215364</v>
      </c>
      <c r="H722" s="0" t="n">
        <f aca="false">LOGINV(F722,2.64,1.139)</f>
        <v>46.957825713361</v>
      </c>
      <c r="I722" s="0" t="n">
        <v>19.5</v>
      </c>
      <c r="J722" s="4" t="n">
        <f aca="true">-LN(RAND())/B722</f>
        <v>5.88595814008255</v>
      </c>
      <c r="K722" s="4" t="n">
        <f aca="false">K721+J722</f>
        <v>7309.72391773952</v>
      </c>
      <c r="L722" s="4" t="n">
        <f aca="false">(1/$J$4)*(1+AB721)</f>
        <v>10</v>
      </c>
      <c r="M722" s="4" t="n">
        <f aca="false">L722+MAX(K722,Y$10:Y721)</f>
        <v>7348.82985076217</v>
      </c>
      <c r="N722" s="4" t="n">
        <f aca="false">K722</f>
        <v>7309.72391773952</v>
      </c>
      <c r="O722" s="4" t="n">
        <f aca="false">M722-K722</f>
        <v>39.1059330226472</v>
      </c>
      <c r="P722" s="4" t="n">
        <f aca="false">N722-K722</f>
        <v>0</v>
      </c>
      <c r="Q722" s="4" t="n">
        <f aca="false">A722-MATCH(K722,$M$9:M721,1)</f>
        <v>3</v>
      </c>
      <c r="R722" s="0" t="n">
        <f aca="false">-G722*(O722/3600)</f>
        <v>-0.177150830576791</v>
      </c>
      <c r="S722" s="0" t="n">
        <f aca="false">-1*I722-(H722*(P722/3600))</f>
        <v>-19.5</v>
      </c>
      <c r="T722" s="0" t="n">
        <f aca="false">-H722*(O722/3600)</f>
        <v>-0.510091552009954</v>
      </c>
      <c r="U722" s="0" t="n">
        <f aca="false">T722-S722</f>
        <v>18.98990844799</v>
      </c>
      <c r="V722" s="0" t="n">
        <f aca="false">1/(1+EXP(U722))</f>
        <v>5.65962357204018E-009</v>
      </c>
      <c r="W722" s="0" t="n">
        <f aca="true">RAND()</f>
        <v>0.00728985064811827</v>
      </c>
      <c r="X722" s="0" t="n">
        <f aca="false">IF(W722&lt;V722,1,0)</f>
        <v>0</v>
      </c>
      <c r="Y722" s="0" t="n">
        <f aca="false">(M722*(1-X722)+N722*X722)*D722+M722*E722</f>
        <v>7348.82985076217</v>
      </c>
      <c r="Z722" s="0" t="n">
        <f aca="false">((1-X722)*O722+X722*P722)*D722+E722*O722</f>
        <v>39.1059330226472</v>
      </c>
      <c r="AA722" s="0" t="n">
        <f aca="false">IF(D722*X722&gt;0,AA721,Q722)</f>
        <v>3</v>
      </c>
      <c r="AB722" s="0" t="n">
        <f aca="false">(X722*D722)</f>
        <v>0</v>
      </c>
      <c r="AC722" s="0" t="n">
        <f aca="false">SUM(AB$10:AB721)/K722</f>
        <v>0.000136804072390909</v>
      </c>
      <c r="AD722" s="0" t="n">
        <f aca="false">R722*E722+D722*(X722*S722+(1-X722)*T722)</f>
        <v>-0.177150830576791</v>
      </c>
      <c r="AE722" s="0" t="n">
        <f aca="false">Z722</f>
        <v>39.1059330226472</v>
      </c>
      <c r="AF722" s="0" t="n">
        <f aca="false">E722*O722</f>
        <v>39.1059330226472</v>
      </c>
      <c r="AG722" s="0" t="n">
        <f aca="false">((1-X722)*O722+X722*P722)*D722</f>
        <v>0</v>
      </c>
      <c r="AH722" s="0" t="n">
        <f aca="false">D722*(LN(EXP(S722)+EXP(T722)))</f>
        <v>-0</v>
      </c>
      <c r="AJ722" s="0" t="n">
        <f aca="false">$J$5</f>
        <v>10</v>
      </c>
      <c r="AK722" s="4" t="n">
        <f aca="false">AJ722+MAX(K722,AK$10:AK721)</f>
        <v>7348.82985076217</v>
      </c>
      <c r="AL722" s="5" t="n">
        <f aca="false">AK722-K722</f>
        <v>39.1059330226472</v>
      </c>
      <c r="AM722" s="0" t="n">
        <f aca="false">-G722*AL722/3600</f>
        <v>-0.177150830576791</v>
      </c>
      <c r="AN722" s="0" t="n">
        <f aca="false">-H722*AL722/3600</f>
        <v>-0.510091552009954</v>
      </c>
      <c r="AO722" s="0" t="n">
        <f aca="false">AM722*E722+AN722*D722</f>
        <v>-0.177150830576791</v>
      </c>
      <c r="AP722" s="0" t="n">
        <f aca="false">AL722*D722</f>
        <v>0</v>
      </c>
      <c r="AR722" s="0" t="n">
        <f aca="false">AN722*D722</f>
        <v>-0</v>
      </c>
      <c r="AS722" s="0" t="n">
        <f aca="false">AH722-AR722</f>
        <v>0</v>
      </c>
    </row>
    <row r="723" customFormat="false" ht="12" hidden="false" customHeight="false" outlineLevel="0" collapsed="false">
      <c r="A723" s="3" t="n">
        <f aca="false">A722+1</f>
        <v>714</v>
      </c>
      <c r="B723" s="3" t="n">
        <f aca="false">IF(A723&lt;$N$4/3,0.1,(IF(A723&gt;2*$N$4/3,0.05,0.12)))</f>
        <v>0.05</v>
      </c>
      <c r="C723" s="4" t="n">
        <f aca="true">RAND()</f>
        <v>0.546380769198876</v>
      </c>
      <c r="D723" s="0" t="n">
        <f aca="false">IF((C723&gt;$M$2),1,0)</f>
        <v>0</v>
      </c>
      <c r="E723" s="0" t="n">
        <f aca="false">1-D723</f>
        <v>1</v>
      </c>
      <c r="F723" s="0" t="n">
        <f aca="true">RAND()</f>
        <v>0.480570014661509</v>
      </c>
      <c r="G723" s="0" t="n">
        <f aca="false">7.75+F723*10</f>
        <v>12.5557001466151</v>
      </c>
      <c r="H723" s="0" t="n">
        <f aca="false">LOGINV(F723,2.64,1.139)</f>
        <v>13.2567184764274</v>
      </c>
      <c r="I723" s="0" t="n">
        <v>19.5</v>
      </c>
      <c r="J723" s="4" t="n">
        <f aca="true">-LN(RAND())/B723</f>
        <v>14.2115384662107</v>
      </c>
      <c r="K723" s="4" t="n">
        <f aca="false">K722+J723</f>
        <v>7323.93545620574</v>
      </c>
      <c r="L723" s="4" t="n">
        <f aca="false">(1/$J$4)*(1+AB722)</f>
        <v>10</v>
      </c>
      <c r="M723" s="4" t="n">
        <f aca="false">L723+MAX(K723,Y$10:Y722)</f>
        <v>7358.82985076217</v>
      </c>
      <c r="N723" s="4" t="n">
        <f aca="false">K723</f>
        <v>7323.93545620574</v>
      </c>
      <c r="O723" s="4" t="n">
        <f aca="false">M723-K723</f>
        <v>34.8943945564361</v>
      </c>
      <c r="P723" s="4" t="n">
        <f aca="false">N723-K723</f>
        <v>0</v>
      </c>
      <c r="Q723" s="4" t="n">
        <f aca="false">A723-MATCH(K723,$M$9:M722,1)</f>
        <v>3</v>
      </c>
      <c r="R723" s="0" t="n">
        <f aca="false">-G723*(O723/3600)</f>
        <v>-0.121700987457858</v>
      </c>
      <c r="S723" s="0" t="n">
        <f aca="false">-1*I723-(H723*(P723/3600))</f>
        <v>-19.5</v>
      </c>
      <c r="T723" s="0" t="n">
        <f aca="false">-H723*(O723/3600)</f>
        <v>-0.128495879177792</v>
      </c>
      <c r="U723" s="0" t="n">
        <f aca="false">T723-S723</f>
        <v>19.3715041208222</v>
      </c>
      <c r="V723" s="0" t="n">
        <f aca="false">1/(1+EXP(U723))</f>
        <v>3.86422719407407E-009</v>
      </c>
      <c r="W723" s="0" t="n">
        <f aca="true">RAND()</f>
        <v>0.697978170115488</v>
      </c>
      <c r="X723" s="0" t="n">
        <f aca="false">IF(W723&lt;V723,1,0)</f>
        <v>0</v>
      </c>
      <c r="Y723" s="0" t="n">
        <f aca="false">(M723*(1-X723)+N723*X723)*D723+M723*E723</f>
        <v>7358.82985076217</v>
      </c>
      <c r="Z723" s="0" t="n">
        <f aca="false">((1-X723)*O723+X723*P723)*D723+E723*O723</f>
        <v>34.8943945564361</v>
      </c>
      <c r="AA723" s="0" t="n">
        <f aca="false">IF(D723*X723&gt;0,AA722,Q723)</f>
        <v>3</v>
      </c>
      <c r="AB723" s="0" t="n">
        <f aca="false">(X723*D723)</f>
        <v>0</v>
      </c>
      <c r="AC723" s="0" t="n">
        <f aca="false">SUM(AB$10:AB722)/K723</f>
        <v>0.000136538614516691</v>
      </c>
      <c r="AD723" s="0" t="n">
        <f aca="false">R723*E723+D723*(X723*S723+(1-X723)*T723)</f>
        <v>-0.121700987457858</v>
      </c>
      <c r="AE723" s="0" t="n">
        <f aca="false">Z723</f>
        <v>34.8943945564361</v>
      </c>
      <c r="AF723" s="0" t="n">
        <f aca="false">E723*O723</f>
        <v>34.8943945564361</v>
      </c>
      <c r="AG723" s="0" t="n">
        <f aca="false">((1-X723)*O723+X723*P723)*D723</f>
        <v>0</v>
      </c>
      <c r="AH723" s="0" t="n">
        <f aca="false">D723*(LN(EXP(S723)+EXP(T723)))</f>
        <v>-0</v>
      </c>
      <c r="AJ723" s="0" t="n">
        <f aca="false">$J$5</f>
        <v>10</v>
      </c>
      <c r="AK723" s="4" t="n">
        <f aca="false">AJ723+MAX(K723,AK$10:AK722)</f>
        <v>7358.82985076217</v>
      </c>
      <c r="AL723" s="5" t="n">
        <f aca="false">AK723-K723</f>
        <v>34.8943945564361</v>
      </c>
      <c r="AM723" s="0" t="n">
        <f aca="false">-G723*AL723/3600</f>
        <v>-0.121700987457858</v>
      </c>
      <c r="AN723" s="0" t="n">
        <f aca="false">-H723*AL723/3600</f>
        <v>-0.128495879177792</v>
      </c>
      <c r="AO723" s="0" t="n">
        <f aca="false">AM723*E723+AN723*D723</f>
        <v>-0.121700987457858</v>
      </c>
      <c r="AP723" s="0" t="n">
        <f aca="false">AL723*D723</f>
        <v>0</v>
      </c>
      <c r="AR723" s="0" t="n">
        <f aca="false">AN723*D723</f>
        <v>-0</v>
      </c>
      <c r="AS723" s="0" t="n">
        <f aca="false">AH723-AR723</f>
        <v>0</v>
      </c>
    </row>
    <row r="724" customFormat="false" ht="12" hidden="false" customHeight="false" outlineLevel="0" collapsed="false">
      <c r="A724" s="3" t="n">
        <f aca="false">A723+1</f>
        <v>715</v>
      </c>
      <c r="B724" s="3" t="n">
        <f aca="false">IF(A724&lt;$N$4/3,0.1,(IF(A724&gt;2*$N$4/3,0.05,0.12)))</f>
        <v>0.05</v>
      </c>
      <c r="C724" s="4" t="n">
        <f aca="true">RAND()</f>
        <v>0.595291383714893</v>
      </c>
      <c r="D724" s="0" t="n">
        <f aca="false">IF((C724&gt;$M$2),1,0)</f>
        <v>0</v>
      </c>
      <c r="E724" s="0" t="n">
        <f aca="false">1-D724</f>
        <v>1</v>
      </c>
      <c r="F724" s="0" t="n">
        <f aca="true">RAND()</f>
        <v>0.649748743444566</v>
      </c>
      <c r="G724" s="0" t="n">
        <f aca="false">7.75+F724*10</f>
        <v>14.2474874344457</v>
      </c>
      <c r="H724" s="0" t="n">
        <f aca="false">LOGINV(F724,2.64,1.139)</f>
        <v>21.7172631813424</v>
      </c>
      <c r="I724" s="0" t="n">
        <v>19.5</v>
      </c>
      <c r="J724" s="4" t="n">
        <f aca="true">-LN(RAND())/B724</f>
        <v>11.3284161412272</v>
      </c>
      <c r="K724" s="4" t="n">
        <f aca="false">K723+J724</f>
        <v>7335.26387234696</v>
      </c>
      <c r="L724" s="4" t="n">
        <f aca="false">(1/$J$4)*(1+AB723)</f>
        <v>10</v>
      </c>
      <c r="M724" s="4" t="n">
        <f aca="false">L724+MAX(K724,Y$10:Y723)</f>
        <v>7368.82985076217</v>
      </c>
      <c r="N724" s="4" t="n">
        <f aca="false">K724</f>
        <v>7335.26387234696</v>
      </c>
      <c r="O724" s="4" t="n">
        <f aca="false">M724-K724</f>
        <v>33.5659784152085</v>
      </c>
      <c r="P724" s="4" t="n">
        <f aca="false">N724-K724</f>
        <v>0</v>
      </c>
      <c r="Q724" s="4" t="n">
        <f aca="false">A724-MATCH(K724,$M$9:M723,1)</f>
        <v>3</v>
      </c>
      <c r="R724" s="0" t="n">
        <f aca="false">-G724*(O724/3600)</f>
        <v>-0.132841904359877</v>
      </c>
      <c r="S724" s="0" t="n">
        <f aca="false">-1*I724-(H724*(P724/3600))</f>
        <v>-19.5</v>
      </c>
      <c r="T724" s="0" t="n">
        <f aca="false">-H724*(O724/3600)</f>
        <v>-0.202489218661761</v>
      </c>
      <c r="U724" s="0" t="n">
        <f aca="false">T724-S724</f>
        <v>19.2975107813382</v>
      </c>
      <c r="V724" s="0" t="n">
        <f aca="false">1/(1+EXP(U724))</f>
        <v>4.16099842483864E-009</v>
      </c>
      <c r="W724" s="0" t="n">
        <f aca="true">RAND()</f>
        <v>0.706986878931565</v>
      </c>
      <c r="X724" s="0" t="n">
        <f aca="false">IF(W724&lt;V724,1,0)</f>
        <v>0</v>
      </c>
      <c r="Y724" s="0" t="n">
        <f aca="false">(M724*(1-X724)+N724*X724)*D724+M724*E724</f>
        <v>7368.82985076217</v>
      </c>
      <c r="Z724" s="0" t="n">
        <f aca="false">((1-X724)*O724+X724*P724)*D724+E724*O724</f>
        <v>33.5659784152085</v>
      </c>
      <c r="AA724" s="0" t="n">
        <f aca="false">IF(D724*X724&gt;0,AA723,Q724)</f>
        <v>3</v>
      </c>
      <c r="AB724" s="0" t="n">
        <f aca="false">(X724*D724)</f>
        <v>0</v>
      </c>
      <c r="AC724" s="0" t="n">
        <f aca="false">SUM(AB$10:AB723)/K724</f>
        <v>0.000136327747358875</v>
      </c>
      <c r="AD724" s="0" t="n">
        <f aca="false">R724*E724+D724*(X724*S724+(1-X724)*T724)</f>
        <v>-0.132841904359877</v>
      </c>
      <c r="AE724" s="0" t="n">
        <f aca="false">Z724</f>
        <v>33.5659784152085</v>
      </c>
      <c r="AF724" s="0" t="n">
        <f aca="false">E724*O724</f>
        <v>33.5659784152085</v>
      </c>
      <c r="AG724" s="0" t="n">
        <f aca="false">((1-X724)*O724+X724*P724)*D724</f>
        <v>0</v>
      </c>
      <c r="AH724" s="0" t="n">
        <f aca="false">D724*(LN(EXP(S724)+EXP(T724)))</f>
        <v>-0</v>
      </c>
      <c r="AJ724" s="0" t="n">
        <f aca="false">$J$5</f>
        <v>10</v>
      </c>
      <c r="AK724" s="4" t="n">
        <f aca="false">AJ724+MAX(K724,AK$10:AK723)</f>
        <v>7368.82985076217</v>
      </c>
      <c r="AL724" s="5" t="n">
        <f aca="false">AK724-K724</f>
        <v>33.5659784152085</v>
      </c>
      <c r="AM724" s="0" t="n">
        <f aca="false">-G724*AL724/3600</f>
        <v>-0.132841904359877</v>
      </c>
      <c r="AN724" s="0" t="n">
        <f aca="false">-H724*AL724/3600</f>
        <v>-0.202489218661761</v>
      </c>
      <c r="AO724" s="0" t="n">
        <f aca="false">AM724*E724+AN724*D724</f>
        <v>-0.132841904359877</v>
      </c>
      <c r="AP724" s="0" t="n">
        <f aca="false">AL724*D724</f>
        <v>0</v>
      </c>
      <c r="AR724" s="0" t="n">
        <f aca="false">AN724*D724</f>
        <v>-0</v>
      </c>
      <c r="AS724" s="0" t="n">
        <f aca="false">AH724-AR724</f>
        <v>0</v>
      </c>
    </row>
    <row r="725" customFormat="false" ht="12" hidden="false" customHeight="false" outlineLevel="0" collapsed="false">
      <c r="A725" s="3" t="n">
        <f aca="false">A724+1</f>
        <v>716</v>
      </c>
      <c r="B725" s="3" t="n">
        <f aca="false">IF(A725&lt;$N$4/3,0.1,(IF(A725&gt;2*$N$4/3,0.05,0.12)))</f>
        <v>0.05</v>
      </c>
      <c r="C725" s="4" t="n">
        <f aca="true">RAND()</f>
        <v>0.183929815021039</v>
      </c>
      <c r="D725" s="0" t="n">
        <f aca="false">IF((C725&gt;$M$2),1,0)</f>
        <v>0</v>
      </c>
      <c r="E725" s="0" t="n">
        <f aca="false">1-D725</f>
        <v>1</v>
      </c>
      <c r="F725" s="0" t="n">
        <f aca="true">RAND()</f>
        <v>0.937323979905807</v>
      </c>
      <c r="G725" s="0" t="n">
        <f aca="false">7.75+F725*10</f>
        <v>17.1232397990581</v>
      </c>
      <c r="H725" s="0" t="n">
        <f aca="false">LOGINV(F725,2.64,1.139)</f>
        <v>80.297211881969</v>
      </c>
      <c r="I725" s="0" t="n">
        <v>19.5</v>
      </c>
      <c r="J725" s="4" t="n">
        <f aca="true">-LN(RAND())/B725</f>
        <v>2.57397427125766</v>
      </c>
      <c r="K725" s="4" t="n">
        <f aca="false">K724+J725</f>
        <v>7337.83784661822</v>
      </c>
      <c r="L725" s="4" t="n">
        <f aca="false">(1/$J$4)*(1+AB724)</f>
        <v>10</v>
      </c>
      <c r="M725" s="4" t="n">
        <f aca="false">L725+MAX(K725,Y$10:Y724)</f>
        <v>7378.82985076217</v>
      </c>
      <c r="N725" s="4" t="n">
        <f aca="false">K725</f>
        <v>7337.83784661822</v>
      </c>
      <c r="O725" s="4" t="n">
        <f aca="false">M725-K725</f>
        <v>40.9920041439509</v>
      </c>
      <c r="P725" s="4" t="n">
        <f aca="false">N725-K725</f>
        <v>0</v>
      </c>
      <c r="Q725" s="4" t="n">
        <f aca="false">A725-MATCH(K725,$M$9:M724,1)</f>
        <v>4</v>
      </c>
      <c r="R725" s="0" t="n">
        <f aca="false">-G725*(O725/3600)</f>
        <v>-0.194976643555793</v>
      </c>
      <c r="S725" s="0" t="n">
        <f aca="false">-1*I725-(H725*(P725/3600))</f>
        <v>-19.5</v>
      </c>
      <c r="T725" s="0" t="n">
        <f aca="false">-H725*(O725/3600)</f>
        <v>-0.914317678392605</v>
      </c>
      <c r="U725" s="0" t="n">
        <f aca="false">T725-S725</f>
        <v>18.5856823216074</v>
      </c>
      <c r="V725" s="0" t="n">
        <f aca="false">1/(1+EXP(U725))</f>
        <v>8.47892359215988E-009</v>
      </c>
      <c r="W725" s="0" t="n">
        <f aca="true">RAND()</f>
        <v>0.0362246570610972</v>
      </c>
      <c r="X725" s="0" t="n">
        <f aca="false">IF(W725&lt;V725,1,0)</f>
        <v>0</v>
      </c>
      <c r="Y725" s="0" t="n">
        <f aca="false">(M725*(1-X725)+N725*X725)*D725+M725*E725</f>
        <v>7378.82985076217</v>
      </c>
      <c r="Z725" s="0" t="n">
        <f aca="false">((1-X725)*O725+X725*P725)*D725+E725*O725</f>
        <v>40.9920041439509</v>
      </c>
      <c r="AA725" s="0" t="n">
        <f aca="false">IF(D725*X725&gt;0,AA724,Q725)</f>
        <v>4</v>
      </c>
      <c r="AB725" s="0" t="n">
        <f aca="false">(X725*D725)</f>
        <v>0</v>
      </c>
      <c r="AC725" s="0" t="n">
        <f aca="false">SUM(AB$10:AB724)/K725</f>
        <v>0.000136279926172104</v>
      </c>
      <c r="AD725" s="0" t="n">
        <f aca="false">R725*E725+D725*(X725*S725+(1-X725)*T725)</f>
        <v>-0.194976643555793</v>
      </c>
      <c r="AE725" s="0" t="n">
        <f aca="false">Z725</f>
        <v>40.9920041439509</v>
      </c>
      <c r="AF725" s="0" t="n">
        <f aca="false">E725*O725</f>
        <v>40.9920041439509</v>
      </c>
      <c r="AG725" s="0" t="n">
        <f aca="false">((1-X725)*O725+X725*P725)*D725</f>
        <v>0</v>
      </c>
      <c r="AH725" s="0" t="n">
        <f aca="false">D725*(LN(EXP(S725)+EXP(T725)))</f>
        <v>-0</v>
      </c>
      <c r="AJ725" s="0" t="n">
        <f aca="false">$J$5</f>
        <v>10</v>
      </c>
      <c r="AK725" s="4" t="n">
        <f aca="false">AJ725+MAX(K725,AK$10:AK724)</f>
        <v>7378.82985076217</v>
      </c>
      <c r="AL725" s="5" t="n">
        <f aca="false">AK725-K725</f>
        <v>40.9920041439509</v>
      </c>
      <c r="AM725" s="0" t="n">
        <f aca="false">-G725*AL725/3600</f>
        <v>-0.194976643555793</v>
      </c>
      <c r="AN725" s="0" t="n">
        <f aca="false">-H725*AL725/3600</f>
        <v>-0.914317678392605</v>
      </c>
      <c r="AO725" s="0" t="n">
        <f aca="false">AM725*E725+AN725*D725</f>
        <v>-0.194976643555793</v>
      </c>
      <c r="AP725" s="0" t="n">
        <f aca="false">AL725*D725</f>
        <v>0</v>
      </c>
      <c r="AR725" s="0" t="n">
        <f aca="false">AN725*D725</f>
        <v>-0</v>
      </c>
      <c r="AS725" s="0" t="n">
        <f aca="false">AH725-AR725</f>
        <v>0</v>
      </c>
    </row>
    <row r="726" customFormat="false" ht="12" hidden="false" customHeight="false" outlineLevel="0" collapsed="false">
      <c r="A726" s="3" t="n">
        <f aca="false">A725+1</f>
        <v>717</v>
      </c>
      <c r="B726" s="3" t="n">
        <f aca="false">IF(A726&lt;$N$4/3,0.1,(IF(A726&gt;2*$N$4/3,0.05,0.12)))</f>
        <v>0.05</v>
      </c>
      <c r="C726" s="4" t="n">
        <f aca="true">RAND()</f>
        <v>0.934103657540015</v>
      </c>
      <c r="D726" s="0" t="n">
        <f aca="false">IF((C726&gt;$M$2),1,0)</f>
        <v>1</v>
      </c>
      <c r="E726" s="0" t="n">
        <f aca="false">1-D726</f>
        <v>0</v>
      </c>
      <c r="F726" s="0" t="n">
        <f aca="true">RAND()</f>
        <v>0.996956996659258</v>
      </c>
      <c r="G726" s="0" t="n">
        <f aca="false">7.75+F726*10</f>
        <v>17.7195699665926</v>
      </c>
      <c r="H726" s="0" t="n">
        <f aca="false">LOGINV(F726,2.64,1.139)</f>
        <v>318.748913697877</v>
      </c>
      <c r="I726" s="0" t="n">
        <v>19.5</v>
      </c>
      <c r="J726" s="4" t="n">
        <f aca="true">-LN(RAND())/B726</f>
        <v>7.46514430242248</v>
      </c>
      <c r="K726" s="4" t="n">
        <f aca="false">K725+J726</f>
        <v>7345.30299092064</v>
      </c>
      <c r="L726" s="4" t="n">
        <f aca="false">(1/$J$4)*(1+AB725)</f>
        <v>10</v>
      </c>
      <c r="M726" s="4" t="n">
        <f aca="false">L726+MAX(K726,Y$10:Y725)</f>
        <v>7388.82985076217</v>
      </c>
      <c r="N726" s="4" t="n">
        <f aca="false">K726</f>
        <v>7345.30299092064</v>
      </c>
      <c r="O726" s="4" t="n">
        <f aca="false">M726-K726</f>
        <v>43.5268598415287</v>
      </c>
      <c r="P726" s="4" t="n">
        <f aca="false">N726-K726</f>
        <v>0</v>
      </c>
      <c r="Q726" s="4" t="n">
        <f aca="false">A726-MATCH(K726,$M$9:M725,1)</f>
        <v>4</v>
      </c>
      <c r="R726" s="0" t="n">
        <f aca="false">-G726*(O726/3600)</f>
        <v>-0.21424367733001</v>
      </c>
      <c r="S726" s="0" t="n">
        <f aca="false">-1*I726-(H726*(P726/3600))</f>
        <v>-19.5</v>
      </c>
      <c r="T726" s="0" t="n">
        <f aca="false">-H726*(O726/3600)</f>
        <v>-3.85392758087973</v>
      </c>
      <c r="U726" s="0" t="n">
        <f aca="false">T726-S726</f>
        <v>15.6460724191203</v>
      </c>
      <c r="V726" s="0" t="n">
        <f aca="false">1/(1+EXP(U726))</f>
        <v>1.60323437234511E-007</v>
      </c>
      <c r="W726" s="0" t="n">
        <f aca="true">RAND()</f>
        <v>0.379160089562838</v>
      </c>
      <c r="X726" s="0" t="n">
        <f aca="false">IF(W726&lt;V726,1,0)</f>
        <v>0</v>
      </c>
      <c r="Y726" s="0" t="n">
        <f aca="false">(M726*(1-X726)+N726*X726)*D726+M726*E726</f>
        <v>7388.82985076217</v>
      </c>
      <c r="Z726" s="0" t="n">
        <f aca="false">((1-X726)*O726+X726*P726)*D726+E726*O726</f>
        <v>43.5268598415287</v>
      </c>
      <c r="AA726" s="0" t="n">
        <f aca="false">IF(D726*X726&gt;0,AA725,Q726)</f>
        <v>4</v>
      </c>
      <c r="AB726" s="0" t="n">
        <f aca="false">(X726*D726)</f>
        <v>0</v>
      </c>
      <c r="AC726" s="0" t="n">
        <f aca="false">SUM(AB$10:AB725)/K726</f>
        <v>0.000136141422788968</v>
      </c>
      <c r="AD726" s="0" t="n">
        <f aca="false">R726*E726+D726*(X726*S726+(1-X726)*T726)</f>
        <v>-3.85392758087973</v>
      </c>
      <c r="AE726" s="0" t="n">
        <f aca="false">Z726</f>
        <v>43.5268598415287</v>
      </c>
      <c r="AF726" s="0" t="n">
        <f aca="false">E726*O726</f>
        <v>0</v>
      </c>
      <c r="AG726" s="0" t="n">
        <f aca="false">((1-X726)*O726+X726*P726)*D726</f>
        <v>43.5268598415287</v>
      </c>
      <c r="AH726" s="0" t="n">
        <f aca="false">D726*(LN(EXP(S726)+EXP(T726)))</f>
        <v>-3.85392742055628</v>
      </c>
      <c r="AJ726" s="0" t="n">
        <f aca="false">$J$5</f>
        <v>10</v>
      </c>
      <c r="AK726" s="4" t="n">
        <f aca="false">AJ726+MAX(K726,AK$10:AK725)</f>
        <v>7388.82985076217</v>
      </c>
      <c r="AL726" s="5" t="n">
        <f aca="false">AK726-K726</f>
        <v>43.5268598415287</v>
      </c>
      <c r="AM726" s="0" t="n">
        <f aca="false">-G726*AL726/3600</f>
        <v>-0.21424367733001</v>
      </c>
      <c r="AN726" s="0" t="n">
        <f aca="false">-H726*AL726/3600</f>
        <v>-3.85392758087973</v>
      </c>
      <c r="AO726" s="0" t="n">
        <f aca="false">AM726*E726+AN726*D726</f>
        <v>-3.85392758087973</v>
      </c>
      <c r="AP726" s="0" t="n">
        <f aca="false">AL726*D726</f>
        <v>43.5268598415287</v>
      </c>
      <c r="AR726" s="0" t="n">
        <f aca="false">AN726*D726</f>
        <v>-3.85392758087973</v>
      </c>
      <c r="AS726" s="0" t="n">
        <f aca="false">AH726-AR726</f>
        <v>1.60323450071331E-007</v>
      </c>
    </row>
    <row r="727" customFormat="false" ht="12" hidden="false" customHeight="false" outlineLevel="0" collapsed="false">
      <c r="A727" s="3" t="n">
        <f aca="false">A726+1</f>
        <v>718</v>
      </c>
      <c r="B727" s="3" t="n">
        <f aca="false">IF(A727&lt;$N$4/3,0.1,(IF(A727&gt;2*$N$4/3,0.05,0.12)))</f>
        <v>0.05</v>
      </c>
      <c r="C727" s="4" t="n">
        <f aca="true">RAND()</f>
        <v>0.88280360986149</v>
      </c>
      <c r="D727" s="0" t="n">
        <f aca="false">IF((C727&gt;$M$2),1,0)</f>
        <v>0</v>
      </c>
      <c r="E727" s="0" t="n">
        <f aca="false">1-D727</f>
        <v>1</v>
      </c>
      <c r="F727" s="0" t="n">
        <f aca="true">RAND()</f>
        <v>0.484271293076238</v>
      </c>
      <c r="G727" s="0" t="n">
        <f aca="false">7.75+F727*10</f>
        <v>12.5927129307624</v>
      </c>
      <c r="H727" s="0" t="n">
        <f aca="false">LOGINV(F727,2.64,1.139)</f>
        <v>13.397687552911</v>
      </c>
      <c r="I727" s="0" t="n">
        <v>19.5</v>
      </c>
      <c r="J727" s="4" t="n">
        <f aca="true">-LN(RAND())/B727</f>
        <v>10.6334862602154</v>
      </c>
      <c r="K727" s="4" t="n">
        <f aca="false">K726+J727</f>
        <v>7355.93647718086</v>
      </c>
      <c r="L727" s="4" t="n">
        <f aca="false">(1/$J$4)*(1+AB726)</f>
        <v>10</v>
      </c>
      <c r="M727" s="4" t="n">
        <f aca="false">L727+MAX(K727,Y$10:Y726)</f>
        <v>7398.82985076217</v>
      </c>
      <c r="N727" s="4" t="n">
        <f aca="false">K727</f>
        <v>7355.93647718086</v>
      </c>
      <c r="O727" s="4" t="n">
        <f aca="false">M727-K727</f>
        <v>42.8933735813134</v>
      </c>
      <c r="P727" s="4" t="n">
        <f aca="false">N727-K727</f>
        <v>0</v>
      </c>
      <c r="Q727" s="4" t="n">
        <f aca="false">A727-MATCH(K727,$M$9:M726,1)</f>
        <v>4</v>
      </c>
      <c r="R727" s="0" t="n">
        <f aca="false">-G727*(O727/3600)</f>
        <v>-0.150039983372619</v>
      </c>
      <c r="S727" s="0" t="n">
        <f aca="false">-1*I727-(H727*(P727/3600))</f>
        <v>-19.5</v>
      </c>
      <c r="T727" s="0" t="n">
        <f aca="false">-H727*(O727/3600)</f>
        <v>-0.159631115925757</v>
      </c>
      <c r="U727" s="0" t="n">
        <f aca="false">T727-S727</f>
        <v>19.3403688840742</v>
      </c>
      <c r="V727" s="0" t="n">
        <f aca="false">1/(1+EXP(U727))</f>
        <v>3.98643340976245E-009</v>
      </c>
      <c r="W727" s="0" t="n">
        <f aca="true">RAND()</f>
        <v>0.752966668215205</v>
      </c>
      <c r="X727" s="0" t="n">
        <f aca="false">IF(W727&lt;V727,1,0)</f>
        <v>0</v>
      </c>
      <c r="Y727" s="0" t="n">
        <f aca="false">(M727*(1-X727)+N727*X727)*D727+M727*E727</f>
        <v>7398.82985076217</v>
      </c>
      <c r="Z727" s="0" t="n">
        <f aca="false">((1-X727)*O727+X727*P727)*D727+E727*O727</f>
        <v>42.8933735813134</v>
      </c>
      <c r="AA727" s="0" t="n">
        <f aca="false">IF(D727*X727&gt;0,AA726,Q727)</f>
        <v>4</v>
      </c>
      <c r="AB727" s="0" t="n">
        <f aca="false">(X727*D727)</f>
        <v>0</v>
      </c>
      <c r="AC727" s="0" t="n">
        <f aca="false">SUM(AB$10:AB726)/K727</f>
        <v>0.000135944621477108</v>
      </c>
      <c r="AD727" s="0" t="n">
        <f aca="false">R727*E727+D727*(X727*S727+(1-X727)*T727)</f>
        <v>-0.150039983372619</v>
      </c>
      <c r="AE727" s="0" t="n">
        <f aca="false">Z727</f>
        <v>42.8933735813134</v>
      </c>
      <c r="AF727" s="0" t="n">
        <f aca="false">E727*O727</f>
        <v>42.8933735813134</v>
      </c>
      <c r="AG727" s="0" t="n">
        <f aca="false">((1-X727)*O727+X727*P727)*D727</f>
        <v>0</v>
      </c>
      <c r="AH727" s="0" t="n">
        <f aca="false">D727*(LN(EXP(S727)+EXP(T727)))</f>
        <v>-0</v>
      </c>
      <c r="AJ727" s="0" t="n">
        <f aca="false">$J$5</f>
        <v>10</v>
      </c>
      <c r="AK727" s="4" t="n">
        <f aca="false">AJ727+MAX(K727,AK$10:AK726)</f>
        <v>7398.82985076217</v>
      </c>
      <c r="AL727" s="5" t="n">
        <f aca="false">AK727-K727</f>
        <v>42.8933735813134</v>
      </c>
      <c r="AM727" s="0" t="n">
        <f aca="false">-G727*AL727/3600</f>
        <v>-0.150039983372619</v>
      </c>
      <c r="AN727" s="0" t="n">
        <f aca="false">-H727*AL727/3600</f>
        <v>-0.159631115925757</v>
      </c>
      <c r="AO727" s="0" t="n">
        <f aca="false">AM727*E727+AN727*D727</f>
        <v>-0.150039983372619</v>
      </c>
      <c r="AP727" s="0" t="n">
        <f aca="false">AL727*D727</f>
        <v>0</v>
      </c>
      <c r="AR727" s="0" t="n">
        <f aca="false">AN727*D727</f>
        <v>-0</v>
      </c>
      <c r="AS727" s="0" t="n">
        <f aca="false">AH727-AR727</f>
        <v>0</v>
      </c>
    </row>
    <row r="728" customFormat="false" ht="12" hidden="false" customHeight="false" outlineLevel="0" collapsed="false">
      <c r="A728" s="3" t="n">
        <f aca="false">A727+1</f>
        <v>719</v>
      </c>
      <c r="B728" s="3" t="n">
        <f aca="false">IF(A728&lt;$N$4/3,0.1,(IF(A728&gt;2*$N$4/3,0.05,0.12)))</f>
        <v>0.05</v>
      </c>
      <c r="C728" s="4" t="n">
        <f aca="true">RAND()</f>
        <v>0.161556279285768</v>
      </c>
      <c r="D728" s="0" t="n">
        <f aca="false">IF((C728&gt;$M$2),1,0)</f>
        <v>0</v>
      </c>
      <c r="E728" s="0" t="n">
        <f aca="false">1-D728</f>
        <v>1</v>
      </c>
      <c r="F728" s="0" t="n">
        <f aca="true">RAND()</f>
        <v>0.582576291643816</v>
      </c>
      <c r="G728" s="0" t="n">
        <f aca="false">7.75+F728*10</f>
        <v>13.5757629164382</v>
      </c>
      <c r="H728" s="0" t="n">
        <f aca="false">LOGINV(F728,2.64,1.139)</f>
        <v>17.7692353711376</v>
      </c>
      <c r="I728" s="0" t="n">
        <v>19.5</v>
      </c>
      <c r="J728" s="4" t="n">
        <f aca="true">-LN(RAND())/B728</f>
        <v>20.3479247536376</v>
      </c>
      <c r="K728" s="4" t="n">
        <f aca="false">K727+J728</f>
        <v>7376.2844019345</v>
      </c>
      <c r="L728" s="4" t="n">
        <f aca="false">(1/$J$4)*(1+AB727)</f>
        <v>10</v>
      </c>
      <c r="M728" s="4" t="n">
        <f aca="false">L728+MAX(K728,Y$10:Y727)</f>
        <v>7408.82985076217</v>
      </c>
      <c r="N728" s="4" t="n">
        <f aca="false">K728</f>
        <v>7376.2844019345</v>
      </c>
      <c r="O728" s="4" t="n">
        <f aca="false">M728-K728</f>
        <v>32.5454488276755</v>
      </c>
      <c r="P728" s="4" t="n">
        <f aca="false">N728-K728</f>
        <v>0</v>
      </c>
      <c r="Q728" s="4" t="n">
        <f aca="false">A728-MATCH(K728,$M$9:M727,1)</f>
        <v>3</v>
      </c>
      <c r="R728" s="0" t="n">
        <f aca="false">-G728*(O728/3600)</f>
        <v>-0.122730360359331</v>
      </c>
      <c r="S728" s="0" t="n">
        <f aca="false">-1*I728-(H728*(P728/3600))</f>
        <v>-19.5</v>
      </c>
      <c r="T728" s="0" t="n">
        <f aca="false">-H728*(O728/3600)</f>
        <v>-0.160641039021744</v>
      </c>
      <c r="U728" s="0" t="n">
        <f aca="false">T728-S728</f>
        <v>19.3393589609783</v>
      </c>
      <c r="V728" s="0" t="n">
        <f aca="false">1/(1+EXP(U728))</f>
        <v>3.99046143457281E-009</v>
      </c>
      <c r="W728" s="0" t="n">
        <f aca="true">RAND()</f>
        <v>0.22274102431819</v>
      </c>
      <c r="X728" s="0" t="n">
        <f aca="false">IF(W728&lt;V728,1,0)</f>
        <v>0</v>
      </c>
      <c r="Y728" s="0" t="n">
        <f aca="false">(M728*(1-X728)+N728*X728)*D728+M728*E728</f>
        <v>7408.82985076217</v>
      </c>
      <c r="Z728" s="0" t="n">
        <f aca="false">((1-X728)*O728+X728*P728)*D728+E728*O728</f>
        <v>32.5454488276755</v>
      </c>
      <c r="AA728" s="0" t="n">
        <f aca="false">IF(D728*X728&gt;0,AA727,Q728)</f>
        <v>3</v>
      </c>
      <c r="AB728" s="0" t="n">
        <f aca="false">(X728*D728)</f>
        <v>0</v>
      </c>
      <c r="AC728" s="0" t="n">
        <f aca="false">SUM(AB$10:AB727)/K728</f>
        <v>0.000135569610051606</v>
      </c>
      <c r="AD728" s="0" t="n">
        <f aca="false">R728*E728+D728*(X728*S728+(1-X728)*T728)</f>
        <v>-0.122730360359331</v>
      </c>
      <c r="AE728" s="0" t="n">
        <f aca="false">Z728</f>
        <v>32.5454488276755</v>
      </c>
      <c r="AF728" s="0" t="n">
        <f aca="false">E728*O728</f>
        <v>32.5454488276755</v>
      </c>
      <c r="AG728" s="0" t="n">
        <f aca="false">((1-X728)*O728+X728*P728)*D728</f>
        <v>0</v>
      </c>
      <c r="AH728" s="0" t="n">
        <f aca="false">D728*(LN(EXP(S728)+EXP(T728)))</f>
        <v>-0</v>
      </c>
      <c r="AJ728" s="0" t="n">
        <f aca="false">$J$5</f>
        <v>10</v>
      </c>
      <c r="AK728" s="4" t="n">
        <f aca="false">AJ728+MAX(K728,AK$10:AK727)</f>
        <v>7408.82985076217</v>
      </c>
      <c r="AL728" s="5" t="n">
        <f aca="false">AK728-K728</f>
        <v>32.5454488276755</v>
      </c>
      <c r="AM728" s="0" t="n">
        <f aca="false">-G728*AL728/3600</f>
        <v>-0.122730360359331</v>
      </c>
      <c r="AN728" s="0" t="n">
        <f aca="false">-H728*AL728/3600</f>
        <v>-0.160641039021744</v>
      </c>
      <c r="AO728" s="0" t="n">
        <f aca="false">AM728*E728+AN728*D728</f>
        <v>-0.122730360359331</v>
      </c>
      <c r="AP728" s="0" t="n">
        <f aca="false">AL728*D728</f>
        <v>0</v>
      </c>
      <c r="AR728" s="0" t="n">
        <f aca="false">AN728*D728</f>
        <v>-0</v>
      </c>
      <c r="AS728" s="0" t="n">
        <f aca="false">AH728-AR728</f>
        <v>0</v>
      </c>
    </row>
    <row r="729" customFormat="false" ht="12" hidden="false" customHeight="false" outlineLevel="0" collapsed="false">
      <c r="A729" s="3" t="n">
        <f aca="false">A728+1</f>
        <v>720</v>
      </c>
      <c r="B729" s="3" t="n">
        <f aca="false">IF(A729&lt;$N$4/3,0.1,(IF(A729&gt;2*$N$4/3,0.05,0.12)))</f>
        <v>0.05</v>
      </c>
      <c r="C729" s="4" t="n">
        <f aca="true">RAND()</f>
        <v>0.79718308915385</v>
      </c>
      <c r="D729" s="0" t="n">
        <f aca="false">IF((C729&gt;$M$2),1,0)</f>
        <v>0</v>
      </c>
      <c r="E729" s="0" t="n">
        <f aca="false">1-D729</f>
        <v>1</v>
      </c>
      <c r="F729" s="0" t="n">
        <f aca="true">RAND()</f>
        <v>0.765425401625168</v>
      </c>
      <c r="G729" s="0" t="n">
        <f aca="false">7.75+F729*10</f>
        <v>15.4042540162517</v>
      </c>
      <c r="H729" s="0" t="n">
        <f aca="false">LOGINV(F729,2.64,1.139)</f>
        <v>31.9598735283449</v>
      </c>
      <c r="I729" s="0" t="n">
        <v>19.5</v>
      </c>
      <c r="J729" s="4" t="n">
        <f aca="true">-LN(RAND())/B729</f>
        <v>60.6842985968605</v>
      </c>
      <c r="K729" s="4" t="n">
        <f aca="false">K728+J729</f>
        <v>7436.96870053136</v>
      </c>
      <c r="L729" s="4" t="n">
        <f aca="false">(1/$J$4)*(1+AB728)</f>
        <v>10</v>
      </c>
      <c r="M729" s="4" t="n">
        <f aca="false">L729+MAX(K729,Y$10:Y728)</f>
        <v>7446.96870053136</v>
      </c>
      <c r="N729" s="4" t="n">
        <f aca="false">K729</f>
        <v>7436.96870053136</v>
      </c>
      <c r="O729" s="4" t="n">
        <f aca="false">M729-K729</f>
        <v>10</v>
      </c>
      <c r="P729" s="4" t="n">
        <f aca="false">N729-K729</f>
        <v>0</v>
      </c>
      <c r="Q729" s="4" t="n">
        <f aca="false">A729-MATCH(K729,$M$9:M728,1)</f>
        <v>0</v>
      </c>
      <c r="R729" s="0" t="n">
        <f aca="false">-G729*(O729/3600)</f>
        <v>-0.042789594489588</v>
      </c>
      <c r="S729" s="0" t="n">
        <f aca="false">-1*I729-(H729*(P729/3600))</f>
        <v>-19.5</v>
      </c>
      <c r="T729" s="0" t="n">
        <f aca="false">-H729*(O729/3600)</f>
        <v>-0.0887774264676246</v>
      </c>
      <c r="U729" s="0" t="n">
        <f aca="false">T729-S729</f>
        <v>19.4112225735324</v>
      </c>
      <c r="V729" s="0" t="n">
        <f aca="false">1/(1+EXP(U729))</f>
        <v>3.71375412934173E-009</v>
      </c>
      <c r="W729" s="0" t="n">
        <f aca="true">RAND()</f>
        <v>0.415784518265314</v>
      </c>
      <c r="X729" s="0" t="n">
        <f aca="false">IF(W729&lt;V729,1,0)</f>
        <v>0</v>
      </c>
      <c r="Y729" s="0" t="n">
        <f aca="false">(M729*(1-X729)+N729*X729)*D729+M729*E729</f>
        <v>7446.96870053136</v>
      </c>
      <c r="Z729" s="0" t="n">
        <f aca="false">((1-X729)*O729+X729*P729)*D729+E729*O729</f>
        <v>10</v>
      </c>
      <c r="AA729" s="0" t="n">
        <f aca="false">IF(D729*X729&gt;0,AA728,Q729)</f>
        <v>0</v>
      </c>
      <c r="AB729" s="0" t="n">
        <f aca="false">(X729*D729)</f>
        <v>0</v>
      </c>
      <c r="AC729" s="0" t="n">
        <f aca="false">SUM(AB$10:AB728)/K729</f>
        <v>0.000134463386934592</v>
      </c>
      <c r="AD729" s="0" t="n">
        <f aca="false">R729*E729+D729*(X729*S729+(1-X729)*T729)</f>
        <v>-0.042789594489588</v>
      </c>
      <c r="AE729" s="0" t="n">
        <f aca="false">Z729</f>
        <v>10</v>
      </c>
      <c r="AF729" s="0" t="n">
        <f aca="false">E729*O729</f>
        <v>10</v>
      </c>
      <c r="AG729" s="0" t="n">
        <f aca="false">((1-X729)*O729+X729*P729)*D729</f>
        <v>0</v>
      </c>
      <c r="AH729" s="0" t="n">
        <f aca="false">D729*(LN(EXP(S729)+EXP(T729)))</f>
        <v>-0</v>
      </c>
      <c r="AJ729" s="0" t="n">
        <f aca="false">$J$5</f>
        <v>10</v>
      </c>
      <c r="AK729" s="4" t="n">
        <f aca="false">AJ729+MAX(K729,AK$10:AK728)</f>
        <v>7446.96870053136</v>
      </c>
      <c r="AL729" s="5" t="n">
        <f aca="false">AK729-K729</f>
        <v>10</v>
      </c>
      <c r="AM729" s="0" t="n">
        <f aca="false">-G729*AL729/3600</f>
        <v>-0.042789594489588</v>
      </c>
      <c r="AN729" s="0" t="n">
        <f aca="false">-H729*AL729/3600</f>
        <v>-0.0887774264676246</v>
      </c>
      <c r="AO729" s="0" t="n">
        <f aca="false">AM729*E729+AN729*D729</f>
        <v>-0.042789594489588</v>
      </c>
      <c r="AP729" s="0" t="n">
        <f aca="false">AL729*D729</f>
        <v>0</v>
      </c>
      <c r="AR729" s="0" t="n">
        <f aca="false">AN729*D729</f>
        <v>-0</v>
      </c>
      <c r="AS729" s="0" t="n">
        <f aca="false">AH729-AR729</f>
        <v>0</v>
      </c>
    </row>
    <row r="730" customFormat="false" ht="12" hidden="false" customHeight="false" outlineLevel="0" collapsed="false">
      <c r="A730" s="3" t="n">
        <f aca="false">A729+1</f>
        <v>721</v>
      </c>
      <c r="B730" s="3" t="n">
        <f aca="false">IF(A730&lt;$N$4/3,0.1,(IF(A730&gt;2*$N$4/3,0.05,0.12)))</f>
        <v>0.05</v>
      </c>
      <c r="C730" s="4" t="n">
        <f aca="true">RAND()</f>
        <v>0.226685495216014</v>
      </c>
      <c r="D730" s="0" t="n">
        <f aca="false">IF((C730&gt;$M$2),1,0)</f>
        <v>0</v>
      </c>
      <c r="E730" s="0" t="n">
        <f aca="false">1-D730</f>
        <v>1</v>
      </c>
      <c r="F730" s="0" t="n">
        <f aca="true">RAND()</f>
        <v>0.586606099334426</v>
      </c>
      <c r="G730" s="0" t="n">
        <f aca="false">7.75+F730*10</f>
        <v>13.6160609933443</v>
      </c>
      <c r="H730" s="0" t="n">
        <f aca="false">LOGINV(F730,2.64,1.139)</f>
        <v>17.9796324124399</v>
      </c>
      <c r="I730" s="0" t="n">
        <v>19.5</v>
      </c>
      <c r="J730" s="4" t="n">
        <f aca="true">-LN(RAND())/B730</f>
        <v>8.01363193900944</v>
      </c>
      <c r="K730" s="4" t="n">
        <f aca="false">K729+J730</f>
        <v>7444.98233247037</v>
      </c>
      <c r="L730" s="4" t="n">
        <f aca="false">(1/$J$4)*(1+AB729)</f>
        <v>10</v>
      </c>
      <c r="M730" s="4" t="n">
        <f aca="false">L730+MAX(K730,Y$10:Y729)</f>
        <v>7456.96870053136</v>
      </c>
      <c r="N730" s="4" t="n">
        <f aca="false">K730</f>
        <v>7444.98233247037</v>
      </c>
      <c r="O730" s="4" t="n">
        <f aca="false">M730-K730</f>
        <v>11.9863680609906</v>
      </c>
      <c r="P730" s="4" t="n">
        <f aca="false">N730-K730</f>
        <v>0</v>
      </c>
      <c r="Q730" s="4" t="n">
        <f aca="false">A730-MATCH(K730,$M$9:M729,1)</f>
        <v>1</v>
      </c>
      <c r="R730" s="0" t="n">
        <f aca="false">-G730*(O730/3600)</f>
        <v>-0.0453353107242003</v>
      </c>
      <c r="S730" s="0" t="n">
        <f aca="false">-1*I730-(H730*(P730/3600))</f>
        <v>-19.5</v>
      </c>
      <c r="T730" s="0" t="n">
        <f aca="false">-H730*(O730/3600)</f>
        <v>-0.059864025471339</v>
      </c>
      <c r="U730" s="0" t="n">
        <f aca="false">T730-S730</f>
        <v>19.4401359745287</v>
      </c>
      <c r="V730" s="0" t="n">
        <f aca="false">1/(1+EXP(U730))</f>
        <v>3.60791433486392E-009</v>
      </c>
      <c r="W730" s="0" t="n">
        <f aca="true">RAND()</f>
        <v>0.468070914803032</v>
      </c>
      <c r="X730" s="0" t="n">
        <f aca="false">IF(W730&lt;V730,1,0)</f>
        <v>0</v>
      </c>
      <c r="Y730" s="0" t="n">
        <f aca="false">(M730*(1-X730)+N730*X730)*D730+M730*E730</f>
        <v>7456.96870053136</v>
      </c>
      <c r="Z730" s="0" t="n">
        <f aca="false">((1-X730)*O730+X730*P730)*D730+E730*O730</f>
        <v>11.9863680609906</v>
      </c>
      <c r="AA730" s="0" t="n">
        <f aca="false">IF(D730*X730&gt;0,AA729,Q730)</f>
        <v>1</v>
      </c>
      <c r="AB730" s="0" t="n">
        <f aca="false">(X730*D730)</f>
        <v>0</v>
      </c>
      <c r="AC730" s="0" t="n">
        <f aca="false">SUM(AB$10:AB729)/K730</f>
        <v>0.000134318653200643</v>
      </c>
      <c r="AD730" s="0" t="n">
        <f aca="false">R730*E730+D730*(X730*S730+(1-X730)*T730)</f>
        <v>-0.0453353107242003</v>
      </c>
      <c r="AE730" s="0" t="n">
        <f aca="false">Z730</f>
        <v>11.9863680609906</v>
      </c>
      <c r="AF730" s="0" t="n">
        <f aca="false">E730*O730</f>
        <v>11.9863680609906</v>
      </c>
      <c r="AG730" s="0" t="n">
        <f aca="false">((1-X730)*O730+X730*P730)*D730</f>
        <v>0</v>
      </c>
      <c r="AH730" s="0" t="n">
        <f aca="false">D730*(LN(EXP(S730)+EXP(T730)))</f>
        <v>-0</v>
      </c>
      <c r="AJ730" s="0" t="n">
        <f aca="false">$J$5</f>
        <v>10</v>
      </c>
      <c r="AK730" s="4" t="n">
        <f aca="false">AJ730+MAX(K730,AK$10:AK729)</f>
        <v>7456.96870053136</v>
      </c>
      <c r="AL730" s="5" t="n">
        <f aca="false">AK730-K730</f>
        <v>11.9863680609906</v>
      </c>
      <c r="AM730" s="0" t="n">
        <f aca="false">-G730*AL730/3600</f>
        <v>-0.0453353107242003</v>
      </c>
      <c r="AN730" s="0" t="n">
        <f aca="false">-H730*AL730/3600</f>
        <v>-0.059864025471339</v>
      </c>
      <c r="AO730" s="0" t="n">
        <f aca="false">AM730*E730+AN730*D730</f>
        <v>-0.0453353107242003</v>
      </c>
      <c r="AP730" s="0" t="n">
        <f aca="false">AL730*D730</f>
        <v>0</v>
      </c>
      <c r="AR730" s="0" t="n">
        <f aca="false">AN730*D730</f>
        <v>-0</v>
      </c>
      <c r="AS730" s="0" t="n">
        <f aca="false">AH730-AR730</f>
        <v>0</v>
      </c>
    </row>
    <row r="731" customFormat="false" ht="12" hidden="false" customHeight="false" outlineLevel="0" collapsed="false">
      <c r="A731" s="3" t="n">
        <f aca="false">A730+1</f>
        <v>722</v>
      </c>
      <c r="B731" s="3" t="n">
        <f aca="false">IF(A731&lt;$N$4/3,0.1,(IF(A731&gt;2*$N$4/3,0.05,0.12)))</f>
        <v>0.05</v>
      </c>
      <c r="C731" s="4" t="n">
        <f aca="true">RAND()</f>
        <v>0.654359415998876</v>
      </c>
      <c r="D731" s="0" t="n">
        <f aca="false">IF((C731&gt;$M$2),1,0)</f>
        <v>0</v>
      </c>
      <c r="E731" s="0" t="n">
        <f aca="false">1-D731</f>
        <v>1</v>
      </c>
      <c r="F731" s="0" t="n">
        <f aca="true">RAND()</f>
        <v>0.649344806864284</v>
      </c>
      <c r="G731" s="0" t="n">
        <f aca="false">7.75+F731*10</f>
        <v>14.2434480686428</v>
      </c>
      <c r="H731" s="0" t="n">
        <f aca="false">LOGINV(F731,2.64,1.139)</f>
        <v>21.6903169359502</v>
      </c>
      <c r="I731" s="0" t="n">
        <v>19.5</v>
      </c>
      <c r="J731" s="4" t="n">
        <f aca="true">-LN(RAND())/B731</f>
        <v>4.42974949273523</v>
      </c>
      <c r="K731" s="4" t="n">
        <f aca="false">K730+J731</f>
        <v>7449.4120819631</v>
      </c>
      <c r="L731" s="4" t="n">
        <f aca="false">(1/$J$4)*(1+AB730)</f>
        <v>10</v>
      </c>
      <c r="M731" s="4" t="n">
        <f aca="false">L731+MAX(K731,Y$10:Y730)</f>
        <v>7466.96870053136</v>
      </c>
      <c r="N731" s="4" t="n">
        <f aca="false">K731</f>
        <v>7449.4120819631</v>
      </c>
      <c r="O731" s="4" t="n">
        <f aca="false">M731-K731</f>
        <v>17.5566185682555</v>
      </c>
      <c r="P731" s="4" t="n">
        <f aca="false">N731-K731</f>
        <v>0</v>
      </c>
      <c r="Q731" s="4" t="n">
        <f aca="false">A731-MATCH(K731,$M$9:M730,1)</f>
        <v>1</v>
      </c>
      <c r="R731" s="0" t="n">
        <f aca="false">-G731*(O731/3600)</f>
        <v>-0.0694629957883107</v>
      </c>
      <c r="S731" s="0" t="n">
        <f aca="false">-1*I731-(H731*(P731/3600))</f>
        <v>-19.5</v>
      </c>
      <c r="T731" s="0" t="n">
        <f aca="false">-H731*(O731/3600)</f>
        <v>-0.105780172519181</v>
      </c>
      <c r="U731" s="0" t="n">
        <f aca="false">T731-S731</f>
        <v>19.3942198274808</v>
      </c>
      <c r="V731" s="0" t="n">
        <f aca="false">1/(1+EXP(U731))</f>
        <v>3.77743801371072E-009</v>
      </c>
      <c r="W731" s="0" t="n">
        <f aca="true">RAND()</f>
        <v>0.192823688249261</v>
      </c>
      <c r="X731" s="0" t="n">
        <f aca="false">IF(W731&lt;V731,1,0)</f>
        <v>0</v>
      </c>
      <c r="Y731" s="0" t="n">
        <f aca="false">(M731*(1-X731)+N731*X731)*D731+M731*E731</f>
        <v>7466.96870053136</v>
      </c>
      <c r="Z731" s="0" t="n">
        <f aca="false">((1-X731)*O731+X731*P731)*D731+E731*O731</f>
        <v>17.5566185682555</v>
      </c>
      <c r="AA731" s="0" t="n">
        <f aca="false">IF(D731*X731&gt;0,AA730,Q731)</f>
        <v>1</v>
      </c>
      <c r="AB731" s="0" t="n">
        <f aca="false">(X731*D731)</f>
        <v>0</v>
      </c>
      <c r="AC731" s="0" t="n">
        <f aca="false">SUM(AB$10:AB730)/K731</f>
        <v>0.000134238781396085</v>
      </c>
      <c r="AD731" s="0" t="n">
        <f aca="false">R731*E731+D731*(X731*S731+(1-X731)*T731)</f>
        <v>-0.0694629957883107</v>
      </c>
      <c r="AE731" s="0" t="n">
        <f aca="false">Z731</f>
        <v>17.5566185682555</v>
      </c>
      <c r="AF731" s="0" t="n">
        <f aca="false">E731*O731</f>
        <v>17.5566185682555</v>
      </c>
      <c r="AG731" s="0" t="n">
        <f aca="false">((1-X731)*O731+X731*P731)*D731</f>
        <v>0</v>
      </c>
      <c r="AH731" s="0" t="n">
        <f aca="false">D731*(LN(EXP(S731)+EXP(T731)))</f>
        <v>-0</v>
      </c>
      <c r="AJ731" s="0" t="n">
        <f aca="false">$J$5</f>
        <v>10</v>
      </c>
      <c r="AK731" s="4" t="n">
        <f aca="false">AJ731+MAX(K731,AK$10:AK730)</f>
        <v>7466.96870053136</v>
      </c>
      <c r="AL731" s="5" t="n">
        <f aca="false">AK731-K731</f>
        <v>17.5566185682555</v>
      </c>
      <c r="AM731" s="0" t="n">
        <f aca="false">-G731*AL731/3600</f>
        <v>-0.0694629957883107</v>
      </c>
      <c r="AN731" s="0" t="n">
        <f aca="false">-H731*AL731/3600</f>
        <v>-0.105780172519181</v>
      </c>
      <c r="AO731" s="0" t="n">
        <f aca="false">AM731*E731+AN731*D731</f>
        <v>-0.0694629957883107</v>
      </c>
      <c r="AP731" s="0" t="n">
        <f aca="false">AL731*D731</f>
        <v>0</v>
      </c>
      <c r="AR731" s="0" t="n">
        <f aca="false">AN731*D731</f>
        <v>-0</v>
      </c>
      <c r="AS731" s="0" t="n">
        <f aca="false">AH731-AR731</f>
        <v>0</v>
      </c>
    </row>
    <row r="732" customFormat="false" ht="12" hidden="false" customHeight="false" outlineLevel="0" collapsed="false">
      <c r="A732" s="3" t="n">
        <f aca="false">A731+1</f>
        <v>723</v>
      </c>
      <c r="B732" s="3" t="n">
        <f aca="false">IF(A732&lt;$N$4/3,0.1,(IF(A732&gt;2*$N$4/3,0.05,0.12)))</f>
        <v>0.05</v>
      </c>
      <c r="C732" s="4" t="n">
        <f aca="true">RAND()</f>
        <v>0.322738283484113</v>
      </c>
      <c r="D732" s="0" t="n">
        <f aca="false">IF((C732&gt;$M$2),1,0)</f>
        <v>0</v>
      </c>
      <c r="E732" s="0" t="n">
        <f aca="false">1-D732</f>
        <v>1</v>
      </c>
      <c r="F732" s="0" t="n">
        <f aca="true">RAND()</f>
        <v>0.0884623797804639</v>
      </c>
      <c r="G732" s="0" t="n">
        <f aca="false">7.75+F732*10</f>
        <v>8.63462379780464</v>
      </c>
      <c r="H732" s="0" t="n">
        <f aca="false">LOGINV(F732,2.64,1.139)</f>
        <v>3.01025868180256</v>
      </c>
      <c r="I732" s="0" t="n">
        <v>19.5</v>
      </c>
      <c r="J732" s="4" t="n">
        <f aca="true">-LN(RAND())/B732</f>
        <v>11.7186562011221</v>
      </c>
      <c r="K732" s="4" t="n">
        <f aca="false">K731+J732</f>
        <v>7461.13073816422</v>
      </c>
      <c r="L732" s="4" t="n">
        <f aca="false">(1/$J$4)*(1+AB731)</f>
        <v>10</v>
      </c>
      <c r="M732" s="4" t="n">
        <f aca="false">L732+MAX(K732,Y$10:Y731)</f>
        <v>7476.96870053136</v>
      </c>
      <c r="N732" s="4" t="n">
        <f aca="false">K732</f>
        <v>7461.13073816422</v>
      </c>
      <c r="O732" s="4" t="n">
        <f aca="false">M732-K732</f>
        <v>15.8379623671335</v>
      </c>
      <c r="P732" s="4" t="n">
        <f aca="false">N732-K732</f>
        <v>0</v>
      </c>
      <c r="Q732" s="4" t="n">
        <f aca="false">A732-MATCH(K732,$M$9:M731,1)</f>
        <v>1</v>
      </c>
      <c r="R732" s="0" t="n">
        <f aca="false">-G732*(O732/3600)</f>
        <v>-0.0379874574344404</v>
      </c>
      <c r="S732" s="0" t="n">
        <f aca="false">-1*I732-(H732*(P732/3600))</f>
        <v>-19.5</v>
      </c>
      <c r="T732" s="0" t="n">
        <f aca="false">-H732*(O732/3600)</f>
        <v>-0.013243434366035</v>
      </c>
      <c r="U732" s="0" t="n">
        <f aca="false">T732-S732</f>
        <v>19.486756565634</v>
      </c>
      <c r="V732" s="0" t="n">
        <f aca="false">1/(1+EXP(U732))</f>
        <v>3.44357187302152E-009</v>
      </c>
      <c r="W732" s="0" t="n">
        <f aca="true">RAND()</f>
        <v>0.27709719026496</v>
      </c>
      <c r="X732" s="0" t="n">
        <f aca="false">IF(W732&lt;V732,1,0)</f>
        <v>0</v>
      </c>
      <c r="Y732" s="0" t="n">
        <f aca="false">(M732*(1-X732)+N732*X732)*D732+M732*E732</f>
        <v>7476.96870053136</v>
      </c>
      <c r="Z732" s="0" t="n">
        <f aca="false">((1-X732)*O732+X732*P732)*D732+E732*O732</f>
        <v>15.8379623671335</v>
      </c>
      <c r="AA732" s="0" t="n">
        <f aca="false">IF(D732*X732&gt;0,AA731,Q732)</f>
        <v>1</v>
      </c>
      <c r="AB732" s="0" t="n">
        <f aca="false">(X732*D732)</f>
        <v>0</v>
      </c>
      <c r="AC732" s="0" t="n">
        <f aca="false">SUM(AB$10:AB731)/K732</f>
        <v>0.000134027942290962</v>
      </c>
      <c r="AD732" s="0" t="n">
        <f aca="false">R732*E732+D732*(X732*S732+(1-X732)*T732)</f>
        <v>-0.0379874574344404</v>
      </c>
      <c r="AE732" s="0" t="n">
        <f aca="false">Z732</f>
        <v>15.8379623671335</v>
      </c>
      <c r="AF732" s="0" t="n">
        <f aca="false">E732*O732</f>
        <v>15.8379623671335</v>
      </c>
      <c r="AG732" s="0" t="n">
        <f aca="false">((1-X732)*O732+X732*P732)*D732</f>
        <v>0</v>
      </c>
      <c r="AH732" s="0" t="n">
        <f aca="false">D732*(LN(EXP(S732)+EXP(T732)))</f>
        <v>-0</v>
      </c>
      <c r="AJ732" s="0" t="n">
        <f aca="false">$J$5</f>
        <v>10</v>
      </c>
      <c r="AK732" s="4" t="n">
        <f aca="false">AJ732+MAX(K732,AK$10:AK731)</f>
        <v>7476.96870053136</v>
      </c>
      <c r="AL732" s="5" t="n">
        <f aca="false">AK732-K732</f>
        <v>15.8379623671335</v>
      </c>
      <c r="AM732" s="0" t="n">
        <f aca="false">-G732*AL732/3600</f>
        <v>-0.0379874574344404</v>
      </c>
      <c r="AN732" s="0" t="n">
        <f aca="false">-H732*AL732/3600</f>
        <v>-0.013243434366035</v>
      </c>
      <c r="AO732" s="0" t="n">
        <f aca="false">AM732*E732+AN732*D732</f>
        <v>-0.0379874574344404</v>
      </c>
      <c r="AP732" s="0" t="n">
        <f aca="false">AL732*D732</f>
        <v>0</v>
      </c>
      <c r="AR732" s="0" t="n">
        <f aca="false">AN732*D732</f>
        <v>-0</v>
      </c>
      <c r="AS732" s="0" t="n">
        <f aca="false">AH732-AR732</f>
        <v>0</v>
      </c>
    </row>
    <row r="733" customFormat="false" ht="12" hidden="false" customHeight="false" outlineLevel="0" collapsed="false">
      <c r="A733" s="3" t="n">
        <f aca="false">A732+1</f>
        <v>724</v>
      </c>
      <c r="B733" s="3" t="n">
        <f aca="false">IF(A733&lt;$N$4/3,0.1,(IF(A733&gt;2*$N$4/3,0.05,0.12)))</f>
        <v>0.05</v>
      </c>
      <c r="C733" s="4" t="n">
        <f aca="true">RAND()</f>
        <v>0.559344193258901</v>
      </c>
      <c r="D733" s="0" t="n">
        <f aca="false">IF((C733&gt;$M$2),1,0)</f>
        <v>0</v>
      </c>
      <c r="E733" s="0" t="n">
        <f aca="false">1-D733</f>
        <v>1</v>
      </c>
      <c r="F733" s="0" t="n">
        <f aca="true">RAND()</f>
        <v>0.200030955171546</v>
      </c>
      <c r="G733" s="0" t="n">
        <f aca="false">7.75+F733*10</f>
        <v>9.75030955171546</v>
      </c>
      <c r="H733" s="0" t="n">
        <f aca="false">LOGINV(F733,2.64,1.139)</f>
        <v>5.37371431098167</v>
      </c>
      <c r="I733" s="0" t="n">
        <v>19.5</v>
      </c>
      <c r="J733" s="4" t="n">
        <f aca="true">-LN(RAND())/B733</f>
        <v>23.5130297165282</v>
      </c>
      <c r="K733" s="4" t="n">
        <f aca="false">K732+J733</f>
        <v>7484.64376788075</v>
      </c>
      <c r="L733" s="4" t="n">
        <f aca="false">(1/$J$4)*(1+AB732)</f>
        <v>10</v>
      </c>
      <c r="M733" s="4" t="n">
        <f aca="false">L733+MAX(K733,Y$10:Y732)</f>
        <v>7494.64376788075</v>
      </c>
      <c r="N733" s="4" t="n">
        <f aca="false">K733</f>
        <v>7484.64376788075</v>
      </c>
      <c r="O733" s="4" t="n">
        <f aca="false">M733-K733</f>
        <v>10</v>
      </c>
      <c r="P733" s="4" t="n">
        <f aca="false">N733-K733</f>
        <v>0</v>
      </c>
      <c r="Q733" s="4" t="n">
        <f aca="false">A733-MATCH(K733,$M$9:M732,1)</f>
        <v>0</v>
      </c>
      <c r="R733" s="0" t="n">
        <f aca="false">-G733*(O733/3600)</f>
        <v>-0.0270841931992096</v>
      </c>
      <c r="S733" s="0" t="n">
        <f aca="false">-1*I733-(H733*(P733/3600))</f>
        <v>-19.5</v>
      </c>
      <c r="T733" s="0" t="n">
        <f aca="false">-H733*(O733/3600)</f>
        <v>-0.0149269841971713</v>
      </c>
      <c r="U733" s="0" t="n">
        <f aca="false">T733-S733</f>
        <v>19.4850730158028</v>
      </c>
      <c r="V733" s="0" t="n">
        <f aca="false">1/(1+EXP(U733))</f>
        <v>3.44937418071344E-009</v>
      </c>
      <c r="W733" s="0" t="n">
        <f aca="true">RAND()</f>
        <v>0.64683102327733</v>
      </c>
      <c r="X733" s="0" t="n">
        <f aca="false">IF(W733&lt;V733,1,0)</f>
        <v>0</v>
      </c>
      <c r="Y733" s="0" t="n">
        <f aca="false">(M733*(1-X733)+N733*X733)*D733+M733*E733</f>
        <v>7494.64376788075</v>
      </c>
      <c r="Z733" s="0" t="n">
        <f aca="false">((1-X733)*O733+X733*P733)*D733+E733*O733</f>
        <v>10</v>
      </c>
      <c r="AA733" s="0" t="n">
        <f aca="false">IF(D733*X733&gt;0,AA732,Q733)</f>
        <v>0</v>
      </c>
      <c r="AB733" s="0" t="n">
        <f aca="false">(X733*D733)</f>
        <v>0</v>
      </c>
      <c r="AC733" s="0" t="n">
        <f aca="false">SUM(AB$10:AB732)/K733</f>
        <v>0.000133606893128482</v>
      </c>
      <c r="AD733" s="0" t="n">
        <f aca="false">R733*E733+D733*(X733*S733+(1-X733)*T733)</f>
        <v>-0.0270841931992096</v>
      </c>
      <c r="AE733" s="0" t="n">
        <f aca="false">Z733</f>
        <v>10</v>
      </c>
      <c r="AF733" s="0" t="n">
        <f aca="false">E733*O733</f>
        <v>10</v>
      </c>
      <c r="AG733" s="0" t="n">
        <f aca="false">((1-X733)*O733+X733*P733)*D733</f>
        <v>0</v>
      </c>
      <c r="AH733" s="0" t="n">
        <f aca="false">D733*(LN(EXP(S733)+EXP(T733)))</f>
        <v>-0</v>
      </c>
      <c r="AJ733" s="0" t="n">
        <f aca="false">$J$5</f>
        <v>10</v>
      </c>
      <c r="AK733" s="4" t="n">
        <f aca="false">AJ733+MAX(K733,AK$10:AK732)</f>
        <v>7494.64376788075</v>
      </c>
      <c r="AL733" s="5" t="n">
        <f aca="false">AK733-K733</f>
        <v>10</v>
      </c>
      <c r="AM733" s="0" t="n">
        <f aca="false">-G733*AL733/3600</f>
        <v>-0.0270841931992096</v>
      </c>
      <c r="AN733" s="0" t="n">
        <f aca="false">-H733*AL733/3600</f>
        <v>-0.0149269841971713</v>
      </c>
      <c r="AO733" s="0" t="n">
        <f aca="false">AM733*E733+AN733*D733</f>
        <v>-0.0270841931992096</v>
      </c>
      <c r="AP733" s="0" t="n">
        <f aca="false">AL733*D733</f>
        <v>0</v>
      </c>
      <c r="AR733" s="0" t="n">
        <f aca="false">AN733*D733</f>
        <v>-0</v>
      </c>
      <c r="AS733" s="0" t="n">
        <f aca="false">AH733-AR733</f>
        <v>0</v>
      </c>
    </row>
    <row r="734" customFormat="false" ht="12" hidden="false" customHeight="false" outlineLevel="0" collapsed="false">
      <c r="A734" s="3" t="n">
        <f aca="false">A733+1</f>
        <v>725</v>
      </c>
      <c r="B734" s="3" t="n">
        <f aca="false">IF(A734&lt;$N$4/3,0.1,(IF(A734&gt;2*$N$4/3,0.05,0.12)))</f>
        <v>0.05</v>
      </c>
      <c r="C734" s="4" t="n">
        <f aca="true">RAND()</f>
        <v>0.542421385997375</v>
      </c>
      <c r="D734" s="0" t="n">
        <f aca="false">IF((C734&gt;$M$2),1,0)</f>
        <v>0</v>
      </c>
      <c r="E734" s="0" t="n">
        <f aca="false">1-D734</f>
        <v>1</v>
      </c>
      <c r="F734" s="0" t="n">
        <f aca="true">RAND()</f>
        <v>0.743053733839411</v>
      </c>
      <c r="G734" s="0" t="n">
        <f aca="false">7.75+F734*10</f>
        <v>15.1805373383941</v>
      </c>
      <c r="H734" s="0" t="n">
        <f aca="false">LOGINV(F734,2.64,1.139)</f>
        <v>29.4745237648378</v>
      </c>
      <c r="I734" s="0" t="n">
        <v>19.5</v>
      </c>
      <c r="J734" s="4" t="n">
        <f aca="true">-LN(RAND())/B734</f>
        <v>39.3488102345846</v>
      </c>
      <c r="K734" s="4" t="n">
        <f aca="false">K733+J734</f>
        <v>7523.99257811534</v>
      </c>
      <c r="L734" s="4" t="n">
        <f aca="false">(1/$J$4)*(1+AB733)</f>
        <v>10</v>
      </c>
      <c r="M734" s="4" t="n">
        <f aca="false">L734+MAX(K734,Y$10:Y733)</f>
        <v>7533.99257811534</v>
      </c>
      <c r="N734" s="4" t="n">
        <f aca="false">K734</f>
        <v>7523.99257811534</v>
      </c>
      <c r="O734" s="4" t="n">
        <f aca="false">M734-K734</f>
        <v>10</v>
      </c>
      <c r="P734" s="4" t="n">
        <f aca="false">N734-K734</f>
        <v>0</v>
      </c>
      <c r="Q734" s="4" t="n">
        <f aca="false">A734-MATCH(K734,$M$9:M733,1)</f>
        <v>0</v>
      </c>
      <c r="R734" s="0" t="n">
        <f aca="false">-G734*(O734/3600)</f>
        <v>-0.042168159273317</v>
      </c>
      <c r="S734" s="0" t="n">
        <f aca="false">-1*I734-(H734*(P734/3600))</f>
        <v>-19.5</v>
      </c>
      <c r="T734" s="0" t="n">
        <f aca="false">-H734*(O734/3600)</f>
        <v>-0.0818736771245494</v>
      </c>
      <c r="U734" s="0" t="n">
        <f aca="false">T734-S734</f>
        <v>19.4181263228755</v>
      </c>
      <c r="V734" s="0" t="n">
        <f aca="false">1/(1+EXP(U734))</f>
        <v>3.68820360051065E-009</v>
      </c>
      <c r="W734" s="0" t="n">
        <f aca="true">RAND()</f>
        <v>0.582078709179146</v>
      </c>
      <c r="X734" s="0" t="n">
        <f aca="false">IF(W734&lt;V734,1,0)</f>
        <v>0</v>
      </c>
      <c r="Y734" s="0" t="n">
        <f aca="false">(M734*(1-X734)+N734*X734)*D734+M734*E734</f>
        <v>7533.99257811534</v>
      </c>
      <c r="Z734" s="0" t="n">
        <f aca="false">((1-X734)*O734+X734*P734)*D734+E734*O734</f>
        <v>10</v>
      </c>
      <c r="AA734" s="0" t="n">
        <f aca="false">IF(D734*X734&gt;0,AA733,Q734)</f>
        <v>0</v>
      </c>
      <c r="AB734" s="0" t="n">
        <f aca="false">(X734*D734)</f>
        <v>0</v>
      </c>
      <c r="AC734" s="0" t="n">
        <f aca="false">SUM(AB$10:AB733)/K734</f>
        <v>0.000132908158749206</v>
      </c>
      <c r="AD734" s="0" t="n">
        <f aca="false">R734*E734+D734*(X734*S734+(1-X734)*T734)</f>
        <v>-0.042168159273317</v>
      </c>
      <c r="AE734" s="0" t="n">
        <f aca="false">Z734</f>
        <v>10</v>
      </c>
      <c r="AF734" s="0" t="n">
        <f aca="false">E734*O734</f>
        <v>10</v>
      </c>
      <c r="AG734" s="0" t="n">
        <f aca="false">((1-X734)*O734+X734*P734)*D734</f>
        <v>0</v>
      </c>
      <c r="AH734" s="0" t="n">
        <f aca="false">D734*(LN(EXP(S734)+EXP(T734)))</f>
        <v>-0</v>
      </c>
      <c r="AJ734" s="0" t="n">
        <f aca="false">$J$5</f>
        <v>10</v>
      </c>
      <c r="AK734" s="4" t="n">
        <f aca="false">AJ734+MAX(K734,AK$10:AK733)</f>
        <v>7533.99257811534</v>
      </c>
      <c r="AL734" s="5" t="n">
        <f aca="false">AK734-K734</f>
        <v>10</v>
      </c>
      <c r="AM734" s="0" t="n">
        <f aca="false">-G734*AL734/3600</f>
        <v>-0.042168159273317</v>
      </c>
      <c r="AN734" s="0" t="n">
        <f aca="false">-H734*AL734/3600</f>
        <v>-0.0818736771245494</v>
      </c>
      <c r="AO734" s="0" t="n">
        <f aca="false">AM734*E734+AN734*D734</f>
        <v>-0.042168159273317</v>
      </c>
      <c r="AP734" s="0" t="n">
        <f aca="false">AL734*D734</f>
        <v>0</v>
      </c>
      <c r="AR734" s="0" t="n">
        <f aca="false">AN734*D734</f>
        <v>-0</v>
      </c>
      <c r="AS734" s="0" t="n">
        <f aca="false">AH734-AR734</f>
        <v>0</v>
      </c>
    </row>
    <row r="735" customFormat="false" ht="12" hidden="false" customHeight="false" outlineLevel="0" collapsed="false">
      <c r="A735" s="3" t="n">
        <f aca="false">A734+1</f>
        <v>726</v>
      </c>
      <c r="B735" s="3" t="n">
        <f aca="false">IF(A735&lt;$N$4/3,0.1,(IF(A735&gt;2*$N$4/3,0.05,0.12)))</f>
        <v>0.05</v>
      </c>
      <c r="C735" s="4" t="n">
        <f aca="true">RAND()</f>
        <v>0.126904310273132</v>
      </c>
      <c r="D735" s="0" t="n">
        <f aca="false">IF((C735&gt;$M$2),1,0)</f>
        <v>0</v>
      </c>
      <c r="E735" s="0" t="n">
        <f aca="false">1-D735</f>
        <v>1</v>
      </c>
      <c r="F735" s="0" t="n">
        <f aca="true">RAND()</f>
        <v>0.364619990519147</v>
      </c>
      <c r="G735" s="0" t="n">
        <f aca="false">7.75+F735*10</f>
        <v>11.3961999051915</v>
      </c>
      <c r="H735" s="0" t="n">
        <f aca="false">LOGINV(F735,2.64,1.139)</f>
        <v>9.4475013099001</v>
      </c>
      <c r="I735" s="0" t="n">
        <v>19.5</v>
      </c>
      <c r="J735" s="4" t="n">
        <f aca="true">-LN(RAND())/B735</f>
        <v>50.0614280716672</v>
      </c>
      <c r="K735" s="4" t="n">
        <f aca="false">K734+J735</f>
        <v>7574.054006187</v>
      </c>
      <c r="L735" s="4" t="n">
        <f aca="false">(1/$J$4)*(1+AB734)</f>
        <v>10</v>
      </c>
      <c r="M735" s="4" t="n">
        <f aca="false">L735+MAX(K735,Y$10:Y734)</f>
        <v>7584.054006187</v>
      </c>
      <c r="N735" s="4" t="n">
        <f aca="false">K735</f>
        <v>7574.054006187</v>
      </c>
      <c r="O735" s="4" t="n">
        <f aca="false">M735-K735</f>
        <v>10</v>
      </c>
      <c r="P735" s="4" t="n">
        <f aca="false">N735-K735</f>
        <v>0</v>
      </c>
      <c r="Q735" s="4" t="n">
        <f aca="false">A735-MATCH(K735,$M$9:M734,1)</f>
        <v>0</v>
      </c>
      <c r="R735" s="0" t="n">
        <f aca="false">-G735*(O735/3600)</f>
        <v>-0.0316561108477541</v>
      </c>
      <c r="S735" s="0" t="n">
        <f aca="false">-1*I735-(H735*(P735/3600))</f>
        <v>-19.5</v>
      </c>
      <c r="T735" s="0" t="n">
        <f aca="false">-H735*(O735/3600)</f>
        <v>-0.026243059194167</v>
      </c>
      <c r="U735" s="0" t="n">
        <f aca="false">T735-S735</f>
        <v>19.4737569408058</v>
      </c>
      <c r="V735" s="0" t="n">
        <f aca="false">1/(1+EXP(U735))</f>
        <v>3.488629245231E-009</v>
      </c>
      <c r="W735" s="0" t="n">
        <f aca="true">RAND()</f>
        <v>0.547204977900923</v>
      </c>
      <c r="X735" s="0" t="n">
        <f aca="false">IF(W735&lt;V735,1,0)</f>
        <v>0</v>
      </c>
      <c r="Y735" s="0" t="n">
        <f aca="false">(M735*(1-X735)+N735*X735)*D735+M735*E735</f>
        <v>7584.054006187</v>
      </c>
      <c r="Z735" s="0" t="n">
        <f aca="false">((1-X735)*O735+X735*P735)*D735+E735*O735</f>
        <v>10</v>
      </c>
      <c r="AA735" s="0" t="n">
        <f aca="false">IF(D735*X735&gt;0,AA734,Q735)</f>
        <v>0</v>
      </c>
      <c r="AB735" s="0" t="n">
        <f aca="false">(X735*D735)</f>
        <v>0</v>
      </c>
      <c r="AC735" s="0" t="n">
        <f aca="false">SUM(AB$10:AB734)/K735</f>
        <v>0.000132029689672549</v>
      </c>
      <c r="AD735" s="0" t="n">
        <f aca="false">R735*E735+D735*(X735*S735+(1-X735)*T735)</f>
        <v>-0.0316561108477541</v>
      </c>
      <c r="AE735" s="0" t="n">
        <f aca="false">Z735</f>
        <v>10</v>
      </c>
      <c r="AF735" s="0" t="n">
        <f aca="false">E735*O735</f>
        <v>10</v>
      </c>
      <c r="AG735" s="0" t="n">
        <f aca="false">((1-X735)*O735+X735*P735)*D735</f>
        <v>0</v>
      </c>
      <c r="AH735" s="0" t="n">
        <f aca="false">D735*(LN(EXP(S735)+EXP(T735)))</f>
        <v>-0</v>
      </c>
      <c r="AJ735" s="0" t="n">
        <f aca="false">$J$5</f>
        <v>10</v>
      </c>
      <c r="AK735" s="4" t="n">
        <f aca="false">AJ735+MAX(K735,AK$10:AK734)</f>
        <v>7584.054006187</v>
      </c>
      <c r="AL735" s="5" t="n">
        <f aca="false">AK735-K735</f>
        <v>10</v>
      </c>
      <c r="AM735" s="0" t="n">
        <f aca="false">-G735*AL735/3600</f>
        <v>-0.0316561108477541</v>
      </c>
      <c r="AN735" s="0" t="n">
        <f aca="false">-H735*AL735/3600</f>
        <v>-0.026243059194167</v>
      </c>
      <c r="AO735" s="0" t="n">
        <f aca="false">AM735*E735+AN735*D735</f>
        <v>-0.0316561108477541</v>
      </c>
      <c r="AP735" s="0" t="n">
        <f aca="false">AL735*D735</f>
        <v>0</v>
      </c>
      <c r="AR735" s="0" t="n">
        <f aca="false">AN735*D735</f>
        <v>-0</v>
      </c>
      <c r="AS735" s="0" t="n">
        <f aca="false">AH735-AR735</f>
        <v>0</v>
      </c>
    </row>
    <row r="736" customFormat="false" ht="12" hidden="false" customHeight="false" outlineLevel="0" collapsed="false">
      <c r="A736" s="3" t="n">
        <f aca="false">A735+1</f>
        <v>727</v>
      </c>
      <c r="B736" s="3" t="n">
        <f aca="false">IF(A736&lt;$N$4/3,0.1,(IF(A736&gt;2*$N$4/3,0.05,0.12)))</f>
        <v>0.05</v>
      </c>
      <c r="C736" s="4" t="n">
        <f aca="true">RAND()</f>
        <v>0.774438144495062</v>
      </c>
      <c r="D736" s="0" t="n">
        <f aca="false">IF((C736&gt;$M$2),1,0)</f>
        <v>0</v>
      </c>
      <c r="E736" s="0" t="n">
        <f aca="false">1-D736</f>
        <v>1</v>
      </c>
      <c r="F736" s="0" t="n">
        <f aca="true">RAND()</f>
        <v>0.871654509963064</v>
      </c>
      <c r="G736" s="0" t="n">
        <f aca="false">7.75+F736*10</f>
        <v>16.4665450996306</v>
      </c>
      <c r="H736" s="0" t="n">
        <f aca="false">LOGINV(F736,2.64,1.139)</f>
        <v>51.0041632802033</v>
      </c>
      <c r="I736" s="0" t="n">
        <v>19.5</v>
      </c>
      <c r="J736" s="4" t="n">
        <f aca="true">-LN(RAND())/B736</f>
        <v>19.7433976731849</v>
      </c>
      <c r="K736" s="4" t="n">
        <f aca="false">K735+J736</f>
        <v>7593.79740386019</v>
      </c>
      <c r="L736" s="4" t="n">
        <f aca="false">(1/$J$4)*(1+AB735)</f>
        <v>10</v>
      </c>
      <c r="M736" s="4" t="n">
        <f aca="false">L736+MAX(K736,Y$10:Y735)</f>
        <v>7603.79740386019</v>
      </c>
      <c r="N736" s="4" t="n">
        <f aca="false">K736</f>
        <v>7593.79740386019</v>
      </c>
      <c r="O736" s="4" t="n">
        <f aca="false">M736-K736</f>
        <v>10</v>
      </c>
      <c r="P736" s="4" t="n">
        <f aca="false">N736-K736</f>
        <v>0</v>
      </c>
      <c r="Q736" s="4" t="n">
        <f aca="false">A736-MATCH(K736,$M$9:M735,1)</f>
        <v>0</v>
      </c>
      <c r="R736" s="0" t="n">
        <f aca="false">-G736*(O736/3600)</f>
        <v>-0.0457404030545295</v>
      </c>
      <c r="S736" s="0" t="n">
        <f aca="false">-1*I736-(H736*(P736/3600))</f>
        <v>-19.5</v>
      </c>
      <c r="T736" s="0" t="n">
        <f aca="false">-H736*(O736/3600)</f>
        <v>-0.141678231333898</v>
      </c>
      <c r="U736" s="0" t="n">
        <f aca="false">T736-S736</f>
        <v>19.3583217686661</v>
      </c>
      <c r="V736" s="0" t="n">
        <f aca="false">1/(1+EXP(U736))</f>
        <v>3.9155040296622E-009</v>
      </c>
      <c r="W736" s="0" t="n">
        <f aca="true">RAND()</f>
        <v>0.785016101362971</v>
      </c>
      <c r="X736" s="0" t="n">
        <f aca="false">IF(W736&lt;V736,1,0)</f>
        <v>0</v>
      </c>
      <c r="Y736" s="0" t="n">
        <f aca="false">(M736*(1-X736)+N736*X736)*D736+M736*E736</f>
        <v>7603.79740386019</v>
      </c>
      <c r="Z736" s="0" t="n">
        <f aca="false">((1-X736)*O736+X736*P736)*D736+E736*O736</f>
        <v>10</v>
      </c>
      <c r="AA736" s="0" t="n">
        <f aca="false">IF(D736*X736&gt;0,AA735,Q736)</f>
        <v>0</v>
      </c>
      <c r="AB736" s="0" t="n">
        <f aca="false">(X736*D736)</f>
        <v>0</v>
      </c>
      <c r="AC736" s="0" t="n">
        <f aca="false">SUM(AB$10:AB735)/K736</f>
        <v>0.000131686420748026</v>
      </c>
      <c r="AD736" s="0" t="n">
        <f aca="false">R736*E736+D736*(X736*S736+(1-X736)*T736)</f>
        <v>-0.0457404030545295</v>
      </c>
      <c r="AE736" s="0" t="n">
        <f aca="false">Z736</f>
        <v>10</v>
      </c>
      <c r="AF736" s="0" t="n">
        <f aca="false">E736*O736</f>
        <v>10</v>
      </c>
      <c r="AG736" s="0" t="n">
        <f aca="false">((1-X736)*O736+X736*P736)*D736</f>
        <v>0</v>
      </c>
      <c r="AH736" s="0" t="n">
        <f aca="false">D736*(LN(EXP(S736)+EXP(T736)))</f>
        <v>-0</v>
      </c>
      <c r="AJ736" s="0" t="n">
        <f aca="false">$J$5</f>
        <v>10</v>
      </c>
      <c r="AK736" s="4" t="n">
        <f aca="false">AJ736+MAX(K736,AK$10:AK735)</f>
        <v>7603.79740386019</v>
      </c>
      <c r="AL736" s="5" t="n">
        <f aca="false">AK736-K736</f>
        <v>10</v>
      </c>
      <c r="AM736" s="0" t="n">
        <f aca="false">-G736*AL736/3600</f>
        <v>-0.0457404030545295</v>
      </c>
      <c r="AN736" s="0" t="n">
        <f aca="false">-H736*AL736/3600</f>
        <v>-0.141678231333898</v>
      </c>
      <c r="AO736" s="0" t="n">
        <f aca="false">AM736*E736+AN736*D736</f>
        <v>-0.0457404030545295</v>
      </c>
      <c r="AP736" s="0" t="n">
        <f aca="false">AL736*D736</f>
        <v>0</v>
      </c>
      <c r="AR736" s="0" t="n">
        <f aca="false">AN736*D736</f>
        <v>-0</v>
      </c>
      <c r="AS736" s="0" t="n">
        <f aca="false">AH736-AR736</f>
        <v>0</v>
      </c>
    </row>
    <row r="737" customFormat="false" ht="12" hidden="false" customHeight="false" outlineLevel="0" collapsed="false">
      <c r="A737" s="3" t="n">
        <f aca="false">A736+1</f>
        <v>728</v>
      </c>
      <c r="B737" s="3" t="n">
        <f aca="false">IF(A737&lt;$N$4/3,0.1,(IF(A737&gt;2*$N$4/3,0.05,0.12)))</f>
        <v>0.05</v>
      </c>
      <c r="C737" s="4" t="n">
        <f aca="true">RAND()</f>
        <v>0.912557035586168</v>
      </c>
      <c r="D737" s="0" t="n">
        <f aca="false">IF((C737&gt;$M$2),1,0)</f>
        <v>1</v>
      </c>
      <c r="E737" s="0" t="n">
        <f aca="false">1-D737</f>
        <v>0</v>
      </c>
      <c r="F737" s="0" t="n">
        <f aca="true">RAND()</f>
        <v>0.167896602791464</v>
      </c>
      <c r="G737" s="0" t="n">
        <f aca="false">7.75+F737*10</f>
        <v>9.42896602791464</v>
      </c>
      <c r="H737" s="0" t="n">
        <f aca="false">LOGINV(F737,2.64,1.139)</f>
        <v>4.68188348014088</v>
      </c>
      <c r="I737" s="0" t="n">
        <v>19.5</v>
      </c>
      <c r="J737" s="4" t="n">
        <f aca="true">-LN(RAND())/B737</f>
        <v>4.73336812620095</v>
      </c>
      <c r="K737" s="4" t="n">
        <f aca="false">K736+J737</f>
        <v>7598.53077198639</v>
      </c>
      <c r="L737" s="4" t="n">
        <f aca="false">(1/$J$4)*(1+AB736)</f>
        <v>10</v>
      </c>
      <c r="M737" s="4" t="n">
        <f aca="false">L737+MAX(K737,Y$10:Y736)</f>
        <v>7613.79740386019</v>
      </c>
      <c r="N737" s="4" t="n">
        <f aca="false">K737</f>
        <v>7598.53077198639</v>
      </c>
      <c r="O737" s="4" t="n">
        <f aca="false">M737-K737</f>
        <v>15.2666318737993</v>
      </c>
      <c r="P737" s="4" t="n">
        <f aca="false">N737-K737</f>
        <v>0</v>
      </c>
      <c r="Q737" s="4" t="n">
        <f aca="false">A737-MATCH(K737,$M$9:M736,1)</f>
        <v>1</v>
      </c>
      <c r="R737" s="0" t="n">
        <f aca="false">-G737*(O737/3600)</f>
        <v>-0.0399857092496478</v>
      </c>
      <c r="S737" s="0" t="n">
        <f aca="false">-1*I737-(H737*(P737/3600))</f>
        <v>-19.5</v>
      </c>
      <c r="T737" s="0" t="n">
        <f aca="false">-H737*(O737/3600)</f>
        <v>-0.0198546087687036</v>
      </c>
      <c r="U737" s="0" t="n">
        <f aca="false">T737-S737</f>
        <v>19.4801453912313</v>
      </c>
      <c r="V737" s="0" t="n">
        <f aca="false">1/(1+EXP(U737))</f>
        <v>3.46641334845663E-009</v>
      </c>
      <c r="W737" s="0" t="n">
        <f aca="true">RAND()</f>
        <v>0.185122492225384</v>
      </c>
      <c r="X737" s="0" t="n">
        <f aca="false">IF(W737&lt;V737,1,0)</f>
        <v>0</v>
      </c>
      <c r="Y737" s="0" t="n">
        <f aca="false">(M737*(1-X737)+N737*X737)*D737+M737*E737</f>
        <v>7613.79740386019</v>
      </c>
      <c r="Z737" s="0" t="n">
        <f aca="false">((1-X737)*O737+X737*P737)*D737+E737*O737</f>
        <v>15.2666318737993</v>
      </c>
      <c r="AA737" s="0" t="n">
        <f aca="false">IF(D737*X737&gt;0,AA736,Q737)</f>
        <v>1</v>
      </c>
      <c r="AB737" s="0" t="n">
        <f aca="false">(X737*D737)</f>
        <v>0</v>
      </c>
      <c r="AC737" s="0" t="n">
        <f aca="false">SUM(AB$10:AB736)/K737</f>
        <v>0.000131604389059884</v>
      </c>
      <c r="AD737" s="0" t="n">
        <f aca="false">R737*E737+D737*(X737*S737+(1-X737)*T737)</f>
        <v>-0.0198546087687036</v>
      </c>
      <c r="AE737" s="0" t="n">
        <f aca="false">Z737</f>
        <v>15.2666318737993</v>
      </c>
      <c r="AF737" s="0" t="n">
        <f aca="false">E737*O737</f>
        <v>0</v>
      </c>
      <c r="AG737" s="0" t="n">
        <f aca="false">((1-X737)*O737+X737*P737)*D737</f>
        <v>15.2666318737993</v>
      </c>
      <c r="AH737" s="0" t="n">
        <f aca="false">D737*(LN(EXP(S737)+EXP(T737)))</f>
        <v>-0.0198546053022903</v>
      </c>
      <c r="AJ737" s="0" t="n">
        <f aca="false">$J$5</f>
        <v>10</v>
      </c>
      <c r="AK737" s="4" t="n">
        <f aca="false">AJ737+MAX(K737,AK$10:AK736)</f>
        <v>7613.79740386019</v>
      </c>
      <c r="AL737" s="5" t="n">
        <f aca="false">AK737-K737</f>
        <v>15.2666318737993</v>
      </c>
      <c r="AM737" s="0" t="n">
        <f aca="false">-G737*AL737/3600</f>
        <v>-0.0399857092496478</v>
      </c>
      <c r="AN737" s="0" t="n">
        <f aca="false">-H737*AL737/3600</f>
        <v>-0.0198546087687036</v>
      </c>
      <c r="AO737" s="0" t="n">
        <f aca="false">AM737*E737+AN737*D737</f>
        <v>-0.0198546087687036</v>
      </c>
      <c r="AP737" s="0" t="n">
        <f aca="false">AL737*D737</f>
        <v>15.2666318737993</v>
      </c>
      <c r="AR737" s="0" t="n">
        <f aca="false">AN737*D737</f>
        <v>-0.0198546087687036</v>
      </c>
      <c r="AS737" s="0" t="n">
        <f aca="false">AH737-AR737</f>
        <v>3.46641329876385E-009</v>
      </c>
    </row>
    <row r="738" customFormat="false" ht="12" hidden="false" customHeight="false" outlineLevel="0" collapsed="false">
      <c r="A738" s="3" t="n">
        <f aca="false">A737+1</f>
        <v>729</v>
      </c>
      <c r="B738" s="3" t="n">
        <f aca="false">IF(A738&lt;$N$4/3,0.1,(IF(A738&gt;2*$N$4/3,0.05,0.12)))</f>
        <v>0.05</v>
      </c>
      <c r="C738" s="4" t="n">
        <f aca="true">RAND()</f>
        <v>0.274142804513916</v>
      </c>
      <c r="D738" s="0" t="n">
        <f aca="false">IF((C738&gt;$M$2),1,0)</f>
        <v>0</v>
      </c>
      <c r="E738" s="0" t="n">
        <f aca="false">1-D738</f>
        <v>1</v>
      </c>
      <c r="F738" s="0" t="n">
        <f aca="true">RAND()</f>
        <v>0.751831346635689</v>
      </c>
      <c r="G738" s="0" t="n">
        <f aca="false">7.75+F738*10</f>
        <v>15.2683134663569</v>
      </c>
      <c r="H738" s="0" t="n">
        <f aca="false">LOGINV(F738,2.64,1.139)</f>
        <v>30.4114964805492</v>
      </c>
      <c r="I738" s="0" t="n">
        <v>19.5</v>
      </c>
      <c r="J738" s="4" t="n">
        <f aca="true">-LN(RAND())/B738</f>
        <v>41.0327863783647</v>
      </c>
      <c r="K738" s="4" t="n">
        <f aca="false">K737+J738</f>
        <v>7639.56355836475</v>
      </c>
      <c r="L738" s="4" t="n">
        <f aca="false">(1/$J$4)*(1+AB737)</f>
        <v>10</v>
      </c>
      <c r="M738" s="4" t="n">
        <f aca="false">L738+MAX(K738,Y$10:Y737)</f>
        <v>7649.56355836475</v>
      </c>
      <c r="N738" s="4" t="n">
        <f aca="false">K738</f>
        <v>7639.56355836475</v>
      </c>
      <c r="O738" s="4" t="n">
        <f aca="false">M738-K738</f>
        <v>10</v>
      </c>
      <c r="P738" s="4" t="n">
        <f aca="false">N738-K738</f>
        <v>0</v>
      </c>
      <c r="Q738" s="4" t="n">
        <f aca="false">A738-MATCH(K738,$M$9:M737,1)</f>
        <v>0</v>
      </c>
      <c r="R738" s="0" t="n">
        <f aca="false">-G738*(O738/3600)</f>
        <v>-0.0424119818509914</v>
      </c>
      <c r="S738" s="0" t="n">
        <f aca="false">-1*I738-(H738*(P738/3600))</f>
        <v>-19.5</v>
      </c>
      <c r="T738" s="0" t="n">
        <f aca="false">-H738*(O738/3600)</f>
        <v>-0.0844763791126366</v>
      </c>
      <c r="U738" s="0" t="n">
        <f aca="false">T738-S738</f>
        <v>19.4155236208874</v>
      </c>
      <c r="V738" s="0" t="n">
        <f aca="false">1/(1+EXP(U738))</f>
        <v>3.69781539821527E-009</v>
      </c>
      <c r="W738" s="0" t="n">
        <f aca="true">RAND()</f>
        <v>0.187403799234162</v>
      </c>
      <c r="X738" s="0" t="n">
        <f aca="false">IF(W738&lt;V738,1,0)</f>
        <v>0</v>
      </c>
      <c r="Y738" s="0" t="n">
        <f aca="false">(M738*(1-X738)+N738*X738)*D738+M738*E738</f>
        <v>7649.56355836475</v>
      </c>
      <c r="Z738" s="0" t="n">
        <f aca="false">((1-X738)*O738+X738*P738)*D738+E738*O738</f>
        <v>10</v>
      </c>
      <c r="AA738" s="0" t="n">
        <f aca="false">IF(D738*X738&gt;0,AA737,Q738)</f>
        <v>0</v>
      </c>
      <c r="AB738" s="0" t="n">
        <f aca="false">(X738*D738)</f>
        <v>0</v>
      </c>
      <c r="AC738" s="0" t="n">
        <f aca="false">SUM(AB$10:AB737)/K738</f>
        <v>0.000130897529991105</v>
      </c>
      <c r="AD738" s="0" t="n">
        <f aca="false">R738*E738+D738*(X738*S738+(1-X738)*T738)</f>
        <v>-0.0424119818509914</v>
      </c>
      <c r="AE738" s="0" t="n">
        <f aca="false">Z738</f>
        <v>10</v>
      </c>
      <c r="AF738" s="0" t="n">
        <f aca="false">E738*O738</f>
        <v>10</v>
      </c>
      <c r="AG738" s="0" t="n">
        <f aca="false">((1-X738)*O738+X738*P738)*D738</f>
        <v>0</v>
      </c>
      <c r="AH738" s="0" t="n">
        <f aca="false">D738*(LN(EXP(S738)+EXP(T738)))</f>
        <v>-0</v>
      </c>
      <c r="AJ738" s="0" t="n">
        <f aca="false">$J$5</f>
        <v>10</v>
      </c>
      <c r="AK738" s="4" t="n">
        <f aca="false">AJ738+MAX(K738,AK$10:AK737)</f>
        <v>7649.56355836475</v>
      </c>
      <c r="AL738" s="5" t="n">
        <f aca="false">AK738-K738</f>
        <v>10</v>
      </c>
      <c r="AM738" s="0" t="n">
        <f aca="false">-G738*AL738/3600</f>
        <v>-0.0424119818509914</v>
      </c>
      <c r="AN738" s="0" t="n">
        <f aca="false">-H738*AL738/3600</f>
        <v>-0.0844763791126366</v>
      </c>
      <c r="AO738" s="0" t="n">
        <f aca="false">AM738*E738+AN738*D738</f>
        <v>-0.0424119818509914</v>
      </c>
      <c r="AP738" s="0" t="n">
        <f aca="false">AL738*D738</f>
        <v>0</v>
      </c>
      <c r="AR738" s="0" t="n">
        <f aca="false">AN738*D738</f>
        <v>-0</v>
      </c>
      <c r="AS738" s="0" t="n">
        <f aca="false">AH738-AR738</f>
        <v>0</v>
      </c>
    </row>
    <row r="739" customFormat="false" ht="12" hidden="false" customHeight="false" outlineLevel="0" collapsed="false">
      <c r="A739" s="3" t="n">
        <f aca="false">A738+1</f>
        <v>730</v>
      </c>
      <c r="B739" s="3" t="n">
        <f aca="false">IF(A739&lt;$N$4/3,0.1,(IF(A739&gt;2*$N$4/3,0.05,0.12)))</f>
        <v>0.05</v>
      </c>
      <c r="C739" s="4" t="n">
        <f aca="true">RAND()</f>
        <v>0.135904445367696</v>
      </c>
      <c r="D739" s="0" t="n">
        <f aca="false">IF((C739&gt;$M$2),1,0)</f>
        <v>0</v>
      </c>
      <c r="E739" s="0" t="n">
        <f aca="false">1-D739</f>
        <v>1</v>
      </c>
      <c r="F739" s="0" t="n">
        <f aca="true">RAND()</f>
        <v>0.634136905932317</v>
      </c>
      <c r="G739" s="0" t="n">
        <f aca="false">7.75+F739*10</f>
        <v>14.0913690593232</v>
      </c>
      <c r="H739" s="0" t="n">
        <f aca="false">LOGINV(F739,2.64,1.139)</f>
        <v>20.7072446734698</v>
      </c>
      <c r="I739" s="0" t="n">
        <v>19.5</v>
      </c>
      <c r="J739" s="4" t="n">
        <f aca="true">-LN(RAND())/B739</f>
        <v>1.03623047154665</v>
      </c>
      <c r="K739" s="4" t="n">
        <f aca="false">K738+J739</f>
        <v>7640.5997888363</v>
      </c>
      <c r="L739" s="4" t="n">
        <f aca="false">(1/$J$4)*(1+AB738)</f>
        <v>10</v>
      </c>
      <c r="M739" s="4" t="n">
        <f aca="false">L739+MAX(K739,Y$10:Y738)</f>
        <v>7659.56355836475</v>
      </c>
      <c r="N739" s="4" t="n">
        <f aca="false">K739</f>
        <v>7640.5997888363</v>
      </c>
      <c r="O739" s="4" t="n">
        <f aca="false">M739-K739</f>
        <v>18.9637695284537</v>
      </c>
      <c r="P739" s="4" t="n">
        <f aca="false">N739-K739</f>
        <v>0</v>
      </c>
      <c r="Q739" s="4" t="n">
        <f aca="false">A739-MATCH(K739,$M$9:M738,1)</f>
        <v>1</v>
      </c>
      <c r="R739" s="0" t="n">
        <f aca="false">-G739*(O739/3600)</f>
        <v>-0.0742292986614966</v>
      </c>
      <c r="S739" s="0" t="n">
        <f aca="false">-1*I739-(H739*(P739/3600))</f>
        <v>-19.5</v>
      </c>
      <c r="T739" s="0" t="n">
        <f aca="false">-H739*(O739/3600)</f>
        <v>-0.109079837654717</v>
      </c>
      <c r="U739" s="0" t="n">
        <f aca="false">T739-S739</f>
        <v>19.3909201623453</v>
      </c>
      <c r="V739" s="0" t="n">
        <f aca="false">1/(1+EXP(U739))</f>
        <v>3.78992288079157E-009</v>
      </c>
      <c r="W739" s="0" t="n">
        <f aca="true">RAND()</f>
        <v>0.669377730828293</v>
      </c>
      <c r="X739" s="0" t="n">
        <f aca="false">IF(W739&lt;V739,1,0)</f>
        <v>0</v>
      </c>
      <c r="Y739" s="0" t="n">
        <f aca="false">(M739*(1-X739)+N739*X739)*D739+M739*E739</f>
        <v>7659.56355836475</v>
      </c>
      <c r="Z739" s="0" t="n">
        <f aca="false">((1-X739)*O739+X739*P739)*D739+E739*O739</f>
        <v>18.9637695284537</v>
      </c>
      <c r="AA739" s="0" t="n">
        <f aca="false">IF(D739*X739&gt;0,AA738,Q739)</f>
        <v>1</v>
      </c>
      <c r="AB739" s="0" t="n">
        <f aca="false">(X739*D739)</f>
        <v>0</v>
      </c>
      <c r="AC739" s="0" t="n">
        <f aca="false">SUM(AB$10:AB738)/K739</f>
        <v>0.000130879777456883</v>
      </c>
      <c r="AD739" s="0" t="n">
        <f aca="false">R739*E739+D739*(X739*S739+(1-X739)*T739)</f>
        <v>-0.0742292986614966</v>
      </c>
      <c r="AE739" s="0" t="n">
        <f aca="false">Z739</f>
        <v>18.9637695284537</v>
      </c>
      <c r="AF739" s="0" t="n">
        <f aca="false">E739*O739</f>
        <v>18.9637695284537</v>
      </c>
      <c r="AG739" s="0" t="n">
        <f aca="false">((1-X739)*O739+X739*P739)*D739</f>
        <v>0</v>
      </c>
      <c r="AH739" s="0" t="n">
        <f aca="false">D739*(LN(EXP(S739)+EXP(T739)))</f>
        <v>-0</v>
      </c>
      <c r="AJ739" s="0" t="n">
        <f aca="false">$J$5</f>
        <v>10</v>
      </c>
      <c r="AK739" s="4" t="n">
        <f aca="false">AJ739+MAX(K739,AK$10:AK738)</f>
        <v>7659.56355836475</v>
      </c>
      <c r="AL739" s="5" t="n">
        <f aca="false">AK739-K739</f>
        <v>18.9637695284537</v>
      </c>
      <c r="AM739" s="0" t="n">
        <f aca="false">-G739*AL739/3600</f>
        <v>-0.0742292986614966</v>
      </c>
      <c r="AN739" s="0" t="n">
        <f aca="false">-H739*AL739/3600</f>
        <v>-0.109079837654717</v>
      </c>
      <c r="AO739" s="0" t="n">
        <f aca="false">AM739*E739+AN739*D739</f>
        <v>-0.0742292986614966</v>
      </c>
      <c r="AP739" s="0" t="n">
        <f aca="false">AL739*D739</f>
        <v>0</v>
      </c>
      <c r="AR739" s="0" t="n">
        <f aca="false">AN739*D739</f>
        <v>-0</v>
      </c>
      <c r="AS739" s="0" t="n">
        <f aca="false">AH739-AR739</f>
        <v>0</v>
      </c>
    </row>
    <row r="740" customFormat="false" ht="12" hidden="false" customHeight="false" outlineLevel="0" collapsed="false">
      <c r="A740" s="3" t="n">
        <f aca="false">A739+1</f>
        <v>731</v>
      </c>
      <c r="B740" s="3" t="n">
        <f aca="false">IF(A740&lt;$N$4/3,0.1,(IF(A740&gt;2*$N$4/3,0.05,0.12)))</f>
        <v>0.05</v>
      </c>
      <c r="C740" s="4" t="n">
        <f aca="true">RAND()</f>
        <v>0.0439823972794369</v>
      </c>
      <c r="D740" s="0" t="n">
        <f aca="false">IF((C740&gt;$M$2),1,0)</f>
        <v>0</v>
      </c>
      <c r="E740" s="0" t="n">
        <f aca="false">1-D740</f>
        <v>1</v>
      </c>
      <c r="F740" s="0" t="n">
        <f aca="true">RAND()</f>
        <v>0.0741163565819422</v>
      </c>
      <c r="G740" s="0" t="n">
        <f aca="false">7.75+F740*10</f>
        <v>8.49116356581942</v>
      </c>
      <c r="H740" s="0" t="n">
        <f aca="false">LOGINV(F740,2.64,1.139)</f>
        <v>2.69994497386223</v>
      </c>
      <c r="I740" s="0" t="n">
        <v>19.5</v>
      </c>
      <c r="J740" s="4" t="n">
        <f aca="true">-LN(RAND())/B740</f>
        <v>11.9276629666283</v>
      </c>
      <c r="K740" s="4" t="n">
        <f aca="false">K739+J740</f>
        <v>7652.52745180293</v>
      </c>
      <c r="L740" s="4" t="n">
        <f aca="false">(1/$J$4)*(1+AB739)</f>
        <v>10</v>
      </c>
      <c r="M740" s="4" t="n">
        <f aca="false">L740+MAX(K740,Y$10:Y739)</f>
        <v>7669.56355836475</v>
      </c>
      <c r="N740" s="4" t="n">
        <f aca="false">K740</f>
        <v>7652.52745180293</v>
      </c>
      <c r="O740" s="4" t="n">
        <f aca="false">M740-K740</f>
        <v>17.0361065618254</v>
      </c>
      <c r="P740" s="4" t="n">
        <f aca="false">N740-K740</f>
        <v>0</v>
      </c>
      <c r="Q740" s="4" t="n">
        <f aca="false">A740-MATCH(K740,$M$9:M739,1)</f>
        <v>1</v>
      </c>
      <c r="R740" s="0" t="n">
        <f aca="false">-G740*(O740/3600)</f>
        <v>-0.0401823242614413</v>
      </c>
      <c r="S740" s="0" t="n">
        <f aca="false">-1*I740-(H740*(P740/3600))</f>
        <v>-19.5</v>
      </c>
      <c r="T740" s="0" t="n">
        <f aca="false">-H740*(O740/3600)</f>
        <v>-0.0127768195238283</v>
      </c>
      <c r="U740" s="0" t="n">
        <f aca="false">T740-S740</f>
        <v>19.4872231804762</v>
      </c>
      <c r="V740" s="0" t="n">
        <f aca="false">1/(1+EXP(U740))</f>
        <v>3.44196542610603E-009</v>
      </c>
      <c r="W740" s="0" t="n">
        <f aca="true">RAND()</f>
        <v>0.57568329689241</v>
      </c>
      <c r="X740" s="0" t="n">
        <f aca="false">IF(W740&lt;V740,1,0)</f>
        <v>0</v>
      </c>
      <c r="Y740" s="0" t="n">
        <f aca="false">(M740*(1-X740)+N740*X740)*D740+M740*E740</f>
        <v>7669.56355836475</v>
      </c>
      <c r="Z740" s="0" t="n">
        <f aca="false">((1-X740)*O740+X740*P740)*D740+E740*O740</f>
        <v>17.0361065618254</v>
      </c>
      <c r="AA740" s="0" t="n">
        <f aca="false">IF(D740*X740&gt;0,AA739,Q740)</f>
        <v>1</v>
      </c>
      <c r="AB740" s="0" t="n">
        <f aca="false">(X740*D740)</f>
        <v>0</v>
      </c>
      <c r="AC740" s="0" t="n">
        <f aca="false">SUM(AB$10:AB739)/K740</f>
        <v>0.000130675780818584</v>
      </c>
      <c r="AD740" s="0" t="n">
        <f aca="false">R740*E740+D740*(X740*S740+(1-X740)*T740)</f>
        <v>-0.0401823242614413</v>
      </c>
      <c r="AE740" s="0" t="n">
        <f aca="false">Z740</f>
        <v>17.0361065618254</v>
      </c>
      <c r="AF740" s="0" t="n">
        <f aca="false">E740*O740</f>
        <v>17.0361065618254</v>
      </c>
      <c r="AG740" s="0" t="n">
        <f aca="false">((1-X740)*O740+X740*P740)*D740</f>
        <v>0</v>
      </c>
      <c r="AH740" s="0" t="n">
        <f aca="false">D740*(LN(EXP(S740)+EXP(T740)))</f>
        <v>-0</v>
      </c>
      <c r="AJ740" s="0" t="n">
        <f aca="false">$J$5</f>
        <v>10</v>
      </c>
      <c r="AK740" s="4" t="n">
        <f aca="false">AJ740+MAX(K740,AK$10:AK739)</f>
        <v>7669.56355836475</v>
      </c>
      <c r="AL740" s="5" t="n">
        <f aca="false">AK740-K740</f>
        <v>17.0361065618254</v>
      </c>
      <c r="AM740" s="0" t="n">
        <f aca="false">-G740*AL740/3600</f>
        <v>-0.0401823242614413</v>
      </c>
      <c r="AN740" s="0" t="n">
        <f aca="false">-H740*AL740/3600</f>
        <v>-0.0127768195238283</v>
      </c>
      <c r="AO740" s="0" t="n">
        <f aca="false">AM740*E740+AN740*D740</f>
        <v>-0.0401823242614413</v>
      </c>
      <c r="AP740" s="0" t="n">
        <f aca="false">AL740*D740</f>
        <v>0</v>
      </c>
      <c r="AR740" s="0" t="n">
        <f aca="false">AN740*D740</f>
        <v>-0</v>
      </c>
      <c r="AS740" s="0" t="n">
        <f aca="false">AH740-AR740</f>
        <v>0</v>
      </c>
    </row>
    <row r="741" customFormat="false" ht="12" hidden="false" customHeight="false" outlineLevel="0" collapsed="false">
      <c r="A741" s="3" t="n">
        <f aca="false">A740+1</f>
        <v>732</v>
      </c>
      <c r="B741" s="3" t="n">
        <f aca="false">IF(A741&lt;$N$4/3,0.1,(IF(A741&gt;2*$N$4/3,0.05,0.12)))</f>
        <v>0.05</v>
      </c>
      <c r="C741" s="4" t="n">
        <f aca="true">RAND()</f>
        <v>0.00729694996136883</v>
      </c>
      <c r="D741" s="0" t="n">
        <f aca="false">IF((C741&gt;$M$2),1,0)</f>
        <v>0</v>
      </c>
      <c r="E741" s="0" t="n">
        <f aca="false">1-D741</f>
        <v>1</v>
      </c>
      <c r="F741" s="0" t="n">
        <f aca="true">RAND()</f>
        <v>0.714145543121974</v>
      </c>
      <c r="G741" s="0" t="n">
        <f aca="false">7.75+F741*10</f>
        <v>14.8914554312197</v>
      </c>
      <c r="H741" s="0" t="n">
        <f aca="false">LOGINV(F741,2.64,1.139)</f>
        <v>26.6861861551638</v>
      </c>
      <c r="I741" s="0" t="n">
        <v>19.5</v>
      </c>
      <c r="J741" s="4" t="n">
        <f aca="true">-LN(RAND())/B741</f>
        <v>13.4613372393216</v>
      </c>
      <c r="K741" s="4" t="n">
        <f aca="false">K740+J741</f>
        <v>7665.98878904225</v>
      </c>
      <c r="L741" s="4" t="n">
        <f aca="false">(1/$J$4)*(1+AB740)</f>
        <v>10</v>
      </c>
      <c r="M741" s="4" t="n">
        <f aca="false">L741+MAX(K741,Y$10:Y740)</f>
        <v>7679.56355836475</v>
      </c>
      <c r="N741" s="4" t="n">
        <f aca="false">K741</f>
        <v>7665.98878904225</v>
      </c>
      <c r="O741" s="4" t="n">
        <f aca="false">M741-K741</f>
        <v>13.5747693225039</v>
      </c>
      <c r="P741" s="4" t="n">
        <f aca="false">N741-K741</f>
        <v>0</v>
      </c>
      <c r="Q741" s="4" t="n">
        <f aca="false">A741-MATCH(K741,$M$9:M740,1)</f>
        <v>1</v>
      </c>
      <c r="R741" s="0" t="n">
        <f aca="false">-G741*(O741/3600)</f>
        <v>-0.0561522423208767</v>
      </c>
      <c r="S741" s="0" t="n">
        <f aca="false">-1*I741-(H741*(P741/3600))</f>
        <v>-19.5</v>
      </c>
      <c r="T741" s="0" t="n">
        <f aca="false">-H741*(O741/3600)</f>
        <v>-0.100627450320485</v>
      </c>
      <c r="U741" s="0" t="n">
        <f aca="false">T741-S741</f>
        <v>19.3993725496795</v>
      </c>
      <c r="V741" s="0" t="n">
        <f aca="false">1/(1+EXP(U741))</f>
        <v>3.75802398557768E-009</v>
      </c>
      <c r="W741" s="0" t="n">
        <f aca="true">RAND()</f>
        <v>0.78899490636325</v>
      </c>
      <c r="X741" s="0" t="n">
        <f aca="false">IF(W741&lt;V741,1,0)</f>
        <v>0</v>
      </c>
      <c r="Y741" s="0" t="n">
        <f aca="false">(M741*(1-X741)+N741*X741)*D741+M741*E741</f>
        <v>7679.56355836475</v>
      </c>
      <c r="Z741" s="0" t="n">
        <f aca="false">((1-X741)*O741+X741*P741)*D741+E741*O741</f>
        <v>13.5747693225039</v>
      </c>
      <c r="AA741" s="0" t="n">
        <f aca="false">IF(D741*X741&gt;0,AA740,Q741)</f>
        <v>1</v>
      </c>
      <c r="AB741" s="0" t="n">
        <f aca="false">(X741*D741)</f>
        <v>0</v>
      </c>
      <c r="AC741" s="0" t="n">
        <f aca="false">SUM(AB$10:AB740)/K741</f>
        <v>0.000130446316518151</v>
      </c>
      <c r="AD741" s="0" t="n">
        <f aca="false">R741*E741+D741*(X741*S741+(1-X741)*T741)</f>
        <v>-0.0561522423208767</v>
      </c>
      <c r="AE741" s="0" t="n">
        <f aca="false">Z741</f>
        <v>13.5747693225039</v>
      </c>
      <c r="AF741" s="0" t="n">
        <f aca="false">E741*O741</f>
        <v>13.5747693225039</v>
      </c>
      <c r="AG741" s="0" t="n">
        <f aca="false">((1-X741)*O741+X741*P741)*D741</f>
        <v>0</v>
      </c>
      <c r="AH741" s="0" t="n">
        <f aca="false">D741*(LN(EXP(S741)+EXP(T741)))</f>
        <v>-0</v>
      </c>
      <c r="AJ741" s="0" t="n">
        <f aca="false">$J$5</f>
        <v>10</v>
      </c>
      <c r="AK741" s="4" t="n">
        <f aca="false">AJ741+MAX(K741,AK$10:AK740)</f>
        <v>7679.56355836475</v>
      </c>
      <c r="AL741" s="5" t="n">
        <f aca="false">AK741-K741</f>
        <v>13.5747693225039</v>
      </c>
      <c r="AM741" s="0" t="n">
        <f aca="false">-G741*AL741/3600</f>
        <v>-0.0561522423208767</v>
      </c>
      <c r="AN741" s="0" t="n">
        <f aca="false">-H741*AL741/3600</f>
        <v>-0.100627450320485</v>
      </c>
      <c r="AO741" s="0" t="n">
        <f aca="false">AM741*E741+AN741*D741</f>
        <v>-0.0561522423208767</v>
      </c>
      <c r="AP741" s="0" t="n">
        <f aca="false">AL741*D741</f>
        <v>0</v>
      </c>
      <c r="AR741" s="0" t="n">
        <f aca="false">AN741*D741</f>
        <v>-0</v>
      </c>
      <c r="AS741" s="0" t="n">
        <f aca="false">AH741-AR741</f>
        <v>0</v>
      </c>
    </row>
    <row r="742" customFormat="false" ht="12" hidden="false" customHeight="false" outlineLevel="0" collapsed="false">
      <c r="A742" s="3" t="n">
        <f aca="false">A741+1</f>
        <v>733</v>
      </c>
      <c r="B742" s="3" t="n">
        <f aca="false">IF(A742&lt;$N$4/3,0.1,(IF(A742&gt;2*$N$4/3,0.05,0.12)))</f>
        <v>0.05</v>
      </c>
      <c r="C742" s="4" t="n">
        <f aca="true">RAND()</f>
        <v>0.16589799600039</v>
      </c>
      <c r="D742" s="0" t="n">
        <f aca="false">IF((C742&gt;$M$2),1,0)</f>
        <v>0</v>
      </c>
      <c r="E742" s="0" t="n">
        <f aca="false">1-D742</f>
        <v>1</v>
      </c>
      <c r="F742" s="0" t="n">
        <f aca="true">RAND()</f>
        <v>0.0926873263438173</v>
      </c>
      <c r="G742" s="0" t="n">
        <f aca="false">7.75+F742*10</f>
        <v>8.67687326343817</v>
      </c>
      <c r="H742" s="0" t="n">
        <f aca="false">LOGINV(F742,2.64,1.139)</f>
        <v>3.10037651310647</v>
      </c>
      <c r="I742" s="0" t="n">
        <v>19.5</v>
      </c>
      <c r="J742" s="4" t="n">
        <f aca="true">-LN(RAND())/B742</f>
        <v>0.428937968636341</v>
      </c>
      <c r="K742" s="4" t="n">
        <f aca="false">K741+J742</f>
        <v>7666.41772701089</v>
      </c>
      <c r="L742" s="4" t="n">
        <f aca="false">(1/$J$4)*(1+AB741)</f>
        <v>10</v>
      </c>
      <c r="M742" s="4" t="n">
        <f aca="false">L742+MAX(K742,Y$10:Y741)</f>
        <v>7689.56355836475</v>
      </c>
      <c r="N742" s="4" t="n">
        <f aca="false">K742</f>
        <v>7666.41772701089</v>
      </c>
      <c r="O742" s="4" t="n">
        <f aca="false">M742-K742</f>
        <v>23.1458313538678</v>
      </c>
      <c r="P742" s="4" t="n">
        <f aca="false">N742-K742</f>
        <v>0</v>
      </c>
      <c r="Q742" s="4" t="n">
        <f aca="false">A742-MATCH(K742,$M$9:M741,1)</f>
        <v>2</v>
      </c>
      <c r="R742" s="0" t="n">
        <f aca="false">-G742*(O742/3600)</f>
        <v>-0.0557870681206736</v>
      </c>
      <c r="S742" s="0" t="n">
        <f aca="false">-1*I742-(H742*(P742/3600))</f>
        <v>-19.5</v>
      </c>
      <c r="T742" s="0" t="n">
        <f aca="false">-H742*(O742/3600)</f>
        <v>-0.019933553307182</v>
      </c>
      <c r="U742" s="0" t="n">
        <f aca="false">T742-S742</f>
        <v>19.4800664466928</v>
      </c>
      <c r="V742" s="0" t="n">
        <f aca="false">1/(1+EXP(U742))</f>
        <v>3.4666870136597E-009</v>
      </c>
      <c r="W742" s="0" t="n">
        <f aca="true">RAND()</f>
        <v>0.551249249103009</v>
      </c>
      <c r="X742" s="0" t="n">
        <f aca="false">IF(W742&lt;V742,1,0)</f>
        <v>0</v>
      </c>
      <c r="Y742" s="0" t="n">
        <f aca="false">(M742*(1-X742)+N742*X742)*D742+M742*E742</f>
        <v>7689.56355836475</v>
      </c>
      <c r="Z742" s="0" t="n">
        <f aca="false">((1-X742)*O742+X742*P742)*D742+E742*O742</f>
        <v>23.1458313538678</v>
      </c>
      <c r="AA742" s="0" t="n">
        <f aca="false">IF(D742*X742&gt;0,AA741,Q742)</f>
        <v>2</v>
      </c>
      <c r="AB742" s="0" t="n">
        <f aca="false">(X742*D742)</f>
        <v>0</v>
      </c>
      <c r="AC742" s="0" t="n">
        <f aca="false">SUM(AB$10:AB741)/K742</f>
        <v>0.000130439018014467</v>
      </c>
      <c r="AD742" s="0" t="n">
        <f aca="false">R742*E742+D742*(X742*S742+(1-X742)*T742)</f>
        <v>-0.0557870681206736</v>
      </c>
      <c r="AE742" s="0" t="n">
        <f aca="false">Z742</f>
        <v>23.1458313538678</v>
      </c>
      <c r="AF742" s="0" t="n">
        <f aca="false">E742*O742</f>
        <v>23.1458313538678</v>
      </c>
      <c r="AG742" s="0" t="n">
        <f aca="false">((1-X742)*O742+X742*P742)*D742</f>
        <v>0</v>
      </c>
      <c r="AH742" s="0" t="n">
        <f aca="false">D742*(LN(EXP(S742)+EXP(T742)))</f>
        <v>-0</v>
      </c>
      <c r="AJ742" s="0" t="n">
        <f aca="false">$J$5</f>
        <v>10</v>
      </c>
      <c r="AK742" s="4" t="n">
        <f aca="false">AJ742+MAX(K742,AK$10:AK741)</f>
        <v>7689.56355836475</v>
      </c>
      <c r="AL742" s="5" t="n">
        <f aca="false">AK742-K742</f>
        <v>23.1458313538678</v>
      </c>
      <c r="AM742" s="0" t="n">
        <f aca="false">-G742*AL742/3600</f>
        <v>-0.0557870681206736</v>
      </c>
      <c r="AN742" s="0" t="n">
        <f aca="false">-H742*AL742/3600</f>
        <v>-0.019933553307182</v>
      </c>
      <c r="AO742" s="0" t="n">
        <f aca="false">AM742*E742+AN742*D742</f>
        <v>-0.0557870681206736</v>
      </c>
      <c r="AP742" s="0" t="n">
        <f aca="false">AL742*D742</f>
        <v>0</v>
      </c>
      <c r="AR742" s="0" t="n">
        <f aca="false">AN742*D742</f>
        <v>-0</v>
      </c>
      <c r="AS742" s="0" t="n">
        <f aca="false">AH742-AR742</f>
        <v>0</v>
      </c>
    </row>
    <row r="743" customFormat="false" ht="12" hidden="false" customHeight="false" outlineLevel="0" collapsed="false">
      <c r="A743" s="3" t="n">
        <f aca="false">A742+1</f>
        <v>734</v>
      </c>
      <c r="B743" s="3" t="n">
        <f aca="false">IF(A743&lt;$N$4/3,0.1,(IF(A743&gt;2*$N$4/3,0.05,0.12)))</f>
        <v>0.05</v>
      </c>
      <c r="C743" s="4" t="n">
        <f aca="true">RAND()</f>
        <v>0.482070519335783</v>
      </c>
      <c r="D743" s="0" t="n">
        <f aca="false">IF((C743&gt;$M$2),1,0)</f>
        <v>0</v>
      </c>
      <c r="E743" s="0" t="n">
        <f aca="false">1-D743</f>
        <v>1</v>
      </c>
      <c r="F743" s="0" t="n">
        <f aca="true">RAND()</f>
        <v>0.032118810132233</v>
      </c>
      <c r="G743" s="0" t="n">
        <f aca="false">7.75+F743*10</f>
        <v>8.07118810132233</v>
      </c>
      <c r="H743" s="0" t="n">
        <f aca="false">LOGINV(F743,2.64,1.139)</f>
        <v>1.70275864490829</v>
      </c>
      <c r="I743" s="0" t="n">
        <v>19.5</v>
      </c>
      <c r="J743" s="4" t="n">
        <f aca="true">-LN(RAND())/B743</f>
        <v>4.4651688149657</v>
      </c>
      <c r="K743" s="4" t="n">
        <f aca="false">K742+J743</f>
        <v>7670.88289582585</v>
      </c>
      <c r="L743" s="4" t="n">
        <f aca="false">(1/$J$4)*(1+AB742)</f>
        <v>10</v>
      </c>
      <c r="M743" s="4" t="n">
        <f aca="false">L743+MAX(K743,Y$10:Y742)</f>
        <v>7699.56355836475</v>
      </c>
      <c r="N743" s="4" t="n">
        <f aca="false">K743</f>
        <v>7670.88289582585</v>
      </c>
      <c r="O743" s="4" t="n">
        <f aca="false">M743-K743</f>
        <v>28.6806625389017</v>
      </c>
      <c r="P743" s="4" t="n">
        <f aca="false">N743-K743</f>
        <v>0</v>
      </c>
      <c r="Q743" s="4" t="n">
        <f aca="false">A743-MATCH(K743,$M$9:M742,1)</f>
        <v>2</v>
      </c>
      <c r="R743" s="0" t="n">
        <f aca="false">-G743*(O743/3600)</f>
        <v>-0.0643019506172291</v>
      </c>
      <c r="S743" s="0" t="n">
        <f aca="false">-1*I743-(H743*(P743/3600))</f>
        <v>-19.5</v>
      </c>
      <c r="T743" s="0" t="n">
        <f aca="false">-H743*(O743/3600)</f>
        <v>-0.013565623911059</v>
      </c>
      <c r="U743" s="0" t="n">
        <f aca="false">T743-S743</f>
        <v>19.4864343760889</v>
      </c>
      <c r="V743" s="0" t="n">
        <f aca="false">1/(1+EXP(U743))</f>
        <v>3.44468153462381E-009</v>
      </c>
      <c r="W743" s="0" t="n">
        <f aca="true">RAND()</f>
        <v>0.460678023347464</v>
      </c>
      <c r="X743" s="0" t="n">
        <f aca="false">IF(W743&lt;V743,1,0)</f>
        <v>0</v>
      </c>
      <c r="Y743" s="0" t="n">
        <f aca="false">(M743*(1-X743)+N743*X743)*D743+M743*E743</f>
        <v>7699.56355836475</v>
      </c>
      <c r="Z743" s="0" t="n">
        <f aca="false">((1-X743)*O743+X743*P743)*D743+E743*O743</f>
        <v>28.6806625389017</v>
      </c>
      <c r="AA743" s="0" t="n">
        <f aca="false">IF(D743*X743&gt;0,AA742,Q743)</f>
        <v>2</v>
      </c>
      <c r="AB743" s="0" t="n">
        <f aca="false">(X743*D743)</f>
        <v>0</v>
      </c>
      <c r="AC743" s="0" t="n">
        <f aca="false">SUM(AB$10:AB742)/K743</f>
        <v>0.000130363090348329</v>
      </c>
      <c r="AD743" s="0" t="n">
        <f aca="false">R743*E743+D743*(X743*S743+(1-X743)*T743)</f>
        <v>-0.0643019506172291</v>
      </c>
      <c r="AE743" s="0" t="n">
        <f aca="false">Z743</f>
        <v>28.6806625389017</v>
      </c>
      <c r="AF743" s="0" t="n">
        <f aca="false">E743*O743</f>
        <v>28.6806625389017</v>
      </c>
      <c r="AG743" s="0" t="n">
        <f aca="false">((1-X743)*O743+X743*P743)*D743</f>
        <v>0</v>
      </c>
      <c r="AH743" s="0" t="n">
        <f aca="false">D743*(LN(EXP(S743)+EXP(T743)))</f>
        <v>-0</v>
      </c>
      <c r="AJ743" s="0" t="n">
        <f aca="false">$J$5</f>
        <v>10</v>
      </c>
      <c r="AK743" s="4" t="n">
        <f aca="false">AJ743+MAX(K743,AK$10:AK742)</f>
        <v>7699.56355836475</v>
      </c>
      <c r="AL743" s="5" t="n">
        <f aca="false">AK743-K743</f>
        <v>28.6806625389017</v>
      </c>
      <c r="AM743" s="0" t="n">
        <f aca="false">-G743*AL743/3600</f>
        <v>-0.0643019506172291</v>
      </c>
      <c r="AN743" s="0" t="n">
        <f aca="false">-H743*AL743/3600</f>
        <v>-0.013565623911059</v>
      </c>
      <c r="AO743" s="0" t="n">
        <f aca="false">AM743*E743+AN743*D743</f>
        <v>-0.0643019506172291</v>
      </c>
      <c r="AP743" s="0" t="n">
        <f aca="false">AL743*D743</f>
        <v>0</v>
      </c>
      <c r="AR743" s="0" t="n">
        <f aca="false">AN743*D743</f>
        <v>-0</v>
      </c>
      <c r="AS743" s="0" t="n">
        <f aca="false">AH743-AR743</f>
        <v>0</v>
      </c>
    </row>
    <row r="744" customFormat="false" ht="12" hidden="false" customHeight="false" outlineLevel="0" collapsed="false">
      <c r="A744" s="3" t="n">
        <f aca="false">A743+1</f>
        <v>735</v>
      </c>
      <c r="B744" s="3" t="n">
        <f aca="false">IF(A744&lt;$N$4/3,0.1,(IF(A744&gt;2*$N$4/3,0.05,0.12)))</f>
        <v>0.05</v>
      </c>
      <c r="C744" s="4" t="n">
        <f aca="true">RAND()</f>
        <v>0.729387741916631</v>
      </c>
      <c r="D744" s="0" t="n">
        <f aca="false">IF((C744&gt;$M$2),1,0)</f>
        <v>0</v>
      </c>
      <c r="E744" s="0" t="n">
        <f aca="false">1-D744</f>
        <v>1</v>
      </c>
      <c r="F744" s="0" t="n">
        <f aca="true">RAND()</f>
        <v>0.0655124828983544</v>
      </c>
      <c r="G744" s="0" t="n">
        <f aca="false">7.75+F744*10</f>
        <v>8.40512482898354</v>
      </c>
      <c r="H744" s="0" t="n">
        <f aca="false">LOGINV(F744,2.64,1.139)</f>
        <v>2.50935965149427</v>
      </c>
      <c r="I744" s="0" t="n">
        <v>19.5</v>
      </c>
      <c r="J744" s="4" t="n">
        <f aca="true">-LN(RAND())/B744</f>
        <v>1.509843257936</v>
      </c>
      <c r="K744" s="4" t="n">
        <f aca="false">K743+J744</f>
        <v>7672.39273908379</v>
      </c>
      <c r="L744" s="4" t="n">
        <f aca="false">(1/$J$4)*(1+AB743)</f>
        <v>10</v>
      </c>
      <c r="M744" s="4" t="n">
        <f aca="false">L744+MAX(K744,Y$10:Y743)</f>
        <v>7709.56355836475</v>
      </c>
      <c r="N744" s="4" t="n">
        <f aca="false">K744</f>
        <v>7672.39273908379</v>
      </c>
      <c r="O744" s="4" t="n">
        <f aca="false">M744-K744</f>
        <v>37.1708192809656</v>
      </c>
      <c r="P744" s="4" t="n">
        <f aca="false">N744-K744</f>
        <v>0</v>
      </c>
      <c r="Q744" s="4" t="n">
        <f aca="false">A744-MATCH(K744,$M$9:M743,1)</f>
        <v>3</v>
      </c>
      <c r="R744" s="0" t="n">
        <f aca="false">-G744*(O744/3600)</f>
        <v>-0.08678482668114</v>
      </c>
      <c r="S744" s="0" t="n">
        <f aca="false">-1*I744-(H744*(P744/3600))</f>
        <v>-19.5</v>
      </c>
      <c r="T744" s="0" t="n">
        <f aca="false">-H744*(O744/3600)</f>
        <v>-0.0259097094768445</v>
      </c>
      <c r="U744" s="0" t="n">
        <f aca="false">T744-S744</f>
        <v>19.4740902905232</v>
      </c>
      <c r="V744" s="0" t="n">
        <f aca="false">1/(1+EXP(U744))</f>
        <v>3.48746650547256E-009</v>
      </c>
      <c r="W744" s="0" t="n">
        <f aca="true">RAND()</f>
        <v>0.609323225522834</v>
      </c>
      <c r="X744" s="0" t="n">
        <f aca="false">IF(W744&lt;V744,1,0)</f>
        <v>0</v>
      </c>
      <c r="Y744" s="0" t="n">
        <f aca="false">(M744*(1-X744)+N744*X744)*D744+M744*E744</f>
        <v>7709.56355836475</v>
      </c>
      <c r="Z744" s="0" t="n">
        <f aca="false">((1-X744)*O744+X744*P744)*D744+E744*O744</f>
        <v>37.1708192809656</v>
      </c>
      <c r="AA744" s="0" t="n">
        <f aca="false">IF(D744*X744&gt;0,AA743,Q744)</f>
        <v>3</v>
      </c>
      <c r="AB744" s="0" t="n">
        <f aca="false">(X744*D744)</f>
        <v>0</v>
      </c>
      <c r="AC744" s="0" t="n">
        <f aca="false">SUM(AB$10:AB743)/K744</f>
        <v>0.000130337436313175</v>
      </c>
      <c r="AD744" s="0" t="n">
        <f aca="false">R744*E744+D744*(X744*S744+(1-X744)*T744)</f>
        <v>-0.08678482668114</v>
      </c>
      <c r="AE744" s="0" t="n">
        <f aca="false">Z744</f>
        <v>37.1708192809656</v>
      </c>
      <c r="AF744" s="0" t="n">
        <f aca="false">E744*O744</f>
        <v>37.1708192809656</v>
      </c>
      <c r="AG744" s="0" t="n">
        <f aca="false">((1-X744)*O744+X744*P744)*D744</f>
        <v>0</v>
      </c>
      <c r="AH744" s="0" t="n">
        <f aca="false">D744*(LN(EXP(S744)+EXP(T744)))</f>
        <v>-0</v>
      </c>
      <c r="AJ744" s="0" t="n">
        <f aca="false">$J$5</f>
        <v>10</v>
      </c>
      <c r="AK744" s="4" t="n">
        <f aca="false">AJ744+MAX(K744,AK$10:AK743)</f>
        <v>7709.56355836475</v>
      </c>
      <c r="AL744" s="5" t="n">
        <f aca="false">AK744-K744</f>
        <v>37.1708192809656</v>
      </c>
      <c r="AM744" s="0" t="n">
        <f aca="false">-G744*AL744/3600</f>
        <v>-0.08678482668114</v>
      </c>
      <c r="AN744" s="0" t="n">
        <f aca="false">-H744*AL744/3600</f>
        <v>-0.0259097094768445</v>
      </c>
      <c r="AO744" s="0" t="n">
        <f aca="false">AM744*E744+AN744*D744</f>
        <v>-0.08678482668114</v>
      </c>
      <c r="AP744" s="0" t="n">
        <f aca="false">AL744*D744</f>
        <v>0</v>
      </c>
      <c r="AR744" s="0" t="n">
        <f aca="false">AN744*D744</f>
        <v>-0</v>
      </c>
      <c r="AS744" s="0" t="n">
        <f aca="false">AH744-AR744</f>
        <v>0</v>
      </c>
    </row>
    <row r="745" customFormat="false" ht="12" hidden="false" customHeight="false" outlineLevel="0" collapsed="false">
      <c r="A745" s="3" t="n">
        <f aca="false">A744+1</f>
        <v>736</v>
      </c>
      <c r="B745" s="3" t="n">
        <f aca="false">IF(A745&lt;$N$4/3,0.1,(IF(A745&gt;2*$N$4/3,0.05,0.12)))</f>
        <v>0.05</v>
      </c>
      <c r="C745" s="4" t="n">
        <f aca="true">RAND()</f>
        <v>0.605889635034484</v>
      </c>
      <c r="D745" s="0" t="n">
        <f aca="false">IF((C745&gt;$M$2),1,0)</f>
        <v>0</v>
      </c>
      <c r="E745" s="0" t="n">
        <f aca="false">1-D745</f>
        <v>1</v>
      </c>
      <c r="F745" s="0" t="n">
        <f aca="true">RAND()</f>
        <v>0.836076643673559</v>
      </c>
      <c r="G745" s="0" t="n">
        <f aca="false">7.75+F745*10</f>
        <v>16.1107664367356</v>
      </c>
      <c r="H745" s="0" t="n">
        <f aca="false">LOGINV(F745,2.64,1.139)</f>
        <v>42.7114183075062</v>
      </c>
      <c r="I745" s="0" t="n">
        <v>19.5</v>
      </c>
      <c r="J745" s="4" t="n">
        <f aca="true">-LN(RAND())/B745</f>
        <v>16.7968375821239</v>
      </c>
      <c r="K745" s="4" t="n">
        <f aca="false">K744+J745</f>
        <v>7689.18957666591</v>
      </c>
      <c r="L745" s="4" t="n">
        <f aca="false">(1/$J$4)*(1+AB744)</f>
        <v>10</v>
      </c>
      <c r="M745" s="4" t="n">
        <f aca="false">L745+MAX(K745,Y$10:Y744)</f>
        <v>7719.56355836475</v>
      </c>
      <c r="N745" s="4" t="n">
        <f aca="false">K745</f>
        <v>7689.18957666591</v>
      </c>
      <c r="O745" s="4" t="n">
        <f aca="false">M745-K745</f>
        <v>30.3739816988418</v>
      </c>
      <c r="P745" s="4" t="n">
        <f aca="false">N745-K745</f>
        <v>0</v>
      </c>
      <c r="Q745" s="4" t="n">
        <f aca="false">A745-MATCH(K745,$M$9:M744,1)</f>
        <v>3</v>
      </c>
      <c r="R745" s="0" t="n">
        <f aca="false">-G745*(O745/3600)</f>
        <v>-0.135930034695478</v>
      </c>
      <c r="S745" s="0" t="n">
        <f aca="false">-1*I745-(H745*(P745/3600))</f>
        <v>-19.5</v>
      </c>
      <c r="T745" s="0" t="n">
        <f aca="false">-H745*(O745/3600)</f>
        <v>-0.360365510556603</v>
      </c>
      <c r="U745" s="0" t="n">
        <f aca="false">T745-S745</f>
        <v>19.1396344894434</v>
      </c>
      <c r="V745" s="0" t="n">
        <f aca="false">1/(1+EXP(U745))</f>
        <v>4.87261786832529E-009</v>
      </c>
      <c r="W745" s="0" t="n">
        <f aca="true">RAND()</f>
        <v>0.323526626529449</v>
      </c>
      <c r="X745" s="0" t="n">
        <f aca="false">IF(W745&lt;V745,1,0)</f>
        <v>0</v>
      </c>
      <c r="Y745" s="0" t="n">
        <f aca="false">(M745*(1-X745)+N745*X745)*D745+M745*E745</f>
        <v>7719.56355836475</v>
      </c>
      <c r="Z745" s="0" t="n">
        <f aca="false">((1-X745)*O745+X745*P745)*D745+E745*O745</f>
        <v>30.3739816988418</v>
      </c>
      <c r="AA745" s="0" t="n">
        <f aca="false">IF(D745*X745&gt;0,AA744,Q745)</f>
        <v>3</v>
      </c>
      <c r="AB745" s="0" t="n">
        <f aca="false">(X745*D745)</f>
        <v>0</v>
      </c>
      <c r="AC745" s="0" t="n">
        <f aca="false">SUM(AB$10:AB744)/K745</f>
        <v>0.00013005271752366</v>
      </c>
      <c r="AD745" s="0" t="n">
        <f aca="false">R745*E745+D745*(X745*S745+(1-X745)*T745)</f>
        <v>-0.135930034695478</v>
      </c>
      <c r="AE745" s="0" t="n">
        <f aca="false">Z745</f>
        <v>30.3739816988418</v>
      </c>
      <c r="AF745" s="0" t="n">
        <f aca="false">E745*O745</f>
        <v>30.3739816988418</v>
      </c>
      <c r="AG745" s="0" t="n">
        <f aca="false">((1-X745)*O745+X745*P745)*D745</f>
        <v>0</v>
      </c>
      <c r="AH745" s="0" t="n">
        <f aca="false">D745*(LN(EXP(S745)+EXP(T745)))</f>
        <v>-0</v>
      </c>
      <c r="AJ745" s="0" t="n">
        <f aca="false">$J$5</f>
        <v>10</v>
      </c>
      <c r="AK745" s="4" t="n">
        <f aca="false">AJ745+MAX(K745,AK$10:AK744)</f>
        <v>7719.56355836475</v>
      </c>
      <c r="AL745" s="5" t="n">
        <f aca="false">AK745-K745</f>
        <v>30.3739816988418</v>
      </c>
      <c r="AM745" s="0" t="n">
        <f aca="false">-G745*AL745/3600</f>
        <v>-0.135930034695478</v>
      </c>
      <c r="AN745" s="0" t="n">
        <f aca="false">-H745*AL745/3600</f>
        <v>-0.360365510556603</v>
      </c>
      <c r="AO745" s="0" t="n">
        <f aca="false">AM745*E745+AN745*D745</f>
        <v>-0.135930034695478</v>
      </c>
      <c r="AP745" s="0" t="n">
        <f aca="false">AL745*D745</f>
        <v>0</v>
      </c>
      <c r="AR745" s="0" t="n">
        <f aca="false">AN745*D745</f>
        <v>-0</v>
      </c>
      <c r="AS745" s="0" t="n">
        <f aca="false">AH745-AR745</f>
        <v>0</v>
      </c>
    </row>
    <row r="746" customFormat="false" ht="12" hidden="false" customHeight="false" outlineLevel="0" collapsed="false">
      <c r="A746" s="3" t="n">
        <f aca="false">A745+1</f>
        <v>737</v>
      </c>
      <c r="B746" s="3" t="n">
        <f aca="false">IF(A746&lt;$N$4/3,0.1,(IF(A746&gt;2*$N$4/3,0.05,0.12)))</f>
        <v>0.05</v>
      </c>
      <c r="C746" s="4" t="n">
        <f aca="true">RAND()</f>
        <v>0.0631019200414795</v>
      </c>
      <c r="D746" s="0" t="n">
        <f aca="false">IF((C746&gt;$M$2),1,0)</f>
        <v>0</v>
      </c>
      <c r="E746" s="0" t="n">
        <f aca="false">1-D746</f>
        <v>1</v>
      </c>
      <c r="F746" s="0" t="n">
        <f aca="true">RAND()</f>
        <v>0.922645330623664</v>
      </c>
      <c r="G746" s="0" t="n">
        <f aca="false">7.75+F746*10</f>
        <v>16.9764533062366</v>
      </c>
      <c r="H746" s="0" t="n">
        <f aca="false">LOGINV(F746,2.64,1.139)</f>
        <v>70.8739091839772</v>
      </c>
      <c r="I746" s="0" t="n">
        <v>19.5</v>
      </c>
      <c r="J746" s="4" t="n">
        <f aca="true">-LN(RAND())/B746</f>
        <v>54.5413579085458</v>
      </c>
      <c r="K746" s="4" t="n">
        <f aca="false">K745+J746</f>
        <v>7743.73093457446</v>
      </c>
      <c r="L746" s="4" t="n">
        <f aca="false">(1/$J$4)*(1+AB745)</f>
        <v>10</v>
      </c>
      <c r="M746" s="4" t="n">
        <f aca="false">L746+MAX(K746,Y$10:Y745)</f>
        <v>7753.73093457446</v>
      </c>
      <c r="N746" s="4" t="n">
        <f aca="false">K746</f>
        <v>7743.73093457446</v>
      </c>
      <c r="O746" s="4" t="n">
        <f aca="false">M746-K746</f>
        <v>10</v>
      </c>
      <c r="P746" s="4" t="n">
        <f aca="false">N746-K746</f>
        <v>0</v>
      </c>
      <c r="Q746" s="4" t="n">
        <f aca="false">A746-MATCH(K746,$M$9:M745,1)</f>
        <v>0</v>
      </c>
      <c r="R746" s="0" t="n">
        <f aca="false">-G746*(O746/3600)</f>
        <v>-0.0471568147395462</v>
      </c>
      <c r="S746" s="0" t="n">
        <f aca="false">-1*I746-(H746*(P746/3600))</f>
        <v>-19.5</v>
      </c>
      <c r="T746" s="0" t="n">
        <f aca="false">-H746*(O746/3600)</f>
        <v>-0.196871969955492</v>
      </c>
      <c r="U746" s="0" t="n">
        <f aca="false">T746-S746</f>
        <v>19.3031280300445</v>
      </c>
      <c r="V746" s="0" t="n">
        <f aca="false">1/(1+EXP(U746))</f>
        <v>4.13769058616688E-009</v>
      </c>
      <c r="W746" s="0" t="n">
        <f aca="true">RAND()</f>
        <v>0.287400718650764</v>
      </c>
      <c r="X746" s="0" t="n">
        <f aca="false">IF(W746&lt;V746,1,0)</f>
        <v>0</v>
      </c>
      <c r="Y746" s="0" t="n">
        <f aca="false">(M746*(1-X746)+N746*X746)*D746+M746*E746</f>
        <v>7753.73093457446</v>
      </c>
      <c r="Z746" s="0" t="n">
        <f aca="false">((1-X746)*O746+X746*P746)*D746+E746*O746</f>
        <v>10</v>
      </c>
      <c r="AA746" s="0" t="n">
        <f aca="false">IF(D746*X746&gt;0,AA745,Q746)</f>
        <v>0</v>
      </c>
      <c r="AB746" s="0" t="n">
        <f aca="false">(X746*D746)</f>
        <v>0</v>
      </c>
      <c r="AC746" s="0" t="n">
        <f aca="false">SUM(AB$10:AB745)/K746</f>
        <v>0.000129136718262662</v>
      </c>
      <c r="AD746" s="0" t="n">
        <f aca="false">R746*E746+D746*(X746*S746+(1-X746)*T746)</f>
        <v>-0.0471568147395462</v>
      </c>
      <c r="AE746" s="0" t="n">
        <f aca="false">Z746</f>
        <v>10</v>
      </c>
      <c r="AF746" s="0" t="n">
        <f aca="false">E746*O746</f>
        <v>10</v>
      </c>
      <c r="AG746" s="0" t="n">
        <f aca="false">((1-X746)*O746+X746*P746)*D746</f>
        <v>0</v>
      </c>
      <c r="AH746" s="0" t="n">
        <f aca="false">D746*(LN(EXP(S746)+EXP(T746)))</f>
        <v>-0</v>
      </c>
      <c r="AJ746" s="0" t="n">
        <f aca="false">$J$5</f>
        <v>10</v>
      </c>
      <c r="AK746" s="4" t="n">
        <f aca="false">AJ746+MAX(K746,AK$10:AK745)</f>
        <v>7753.73093457446</v>
      </c>
      <c r="AL746" s="5" t="n">
        <f aca="false">AK746-K746</f>
        <v>10</v>
      </c>
      <c r="AM746" s="0" t="n">
        <f aca="false">-G746*AL746/3600</f>
        <v>-0.0471568147395462</v>
      </c>
      <c r="AN746" s="0" t="n">
        <f aca="false">-H746*AL746/3600</f>
        <v>-0.196871969955492</v>
      </c>
      <c r="AO746" s="0" t="n">
        <f aca="false">AM746*E746+AN746*D746</f>
        <v>-0.0471568147395462</v>
      </c>
      <c r="AP746" s="0" t="n">
        <f aca="false">AL746*D746</f>
        <v>0</v>
      </c>
      <c r="AR746" s="0" t="n">
        <f aca="false">AN746*D746</f>
        <v>-0</v>
      </c>
      <c r="AS746" s="0" t="n">
        <f aca="false">AH746-AR746</f>
        <v>0</v>
      </c>
    </row>
    <row r="747" customFormat="false" ht="12" hidden="false" customHeight="false" outlineLevel="0" collapsed="false">
      <c r="A747" s="3" t="n">
        <f aca="false">A746+1</f>
        <v>738</v>
      </c>
      <c r="B747" s="3" t="n">
        <f aca="false">IF(A747&lt;$N$4/3,0.1,(IF(A747&gt;2*$N$4/3,0.05,0.12)))</f>
        <v>0.05</v>
      </c>
      <c r="C747" s="4" t="n">
        <f aca="true">RAND()</f>
        <v>0.530884344985964</v>
      </c>
      <c r="D747" s="0" t="n">
        <f aca="false">IF((C747&gt;$M$2),1,0)</f>
        <v>0</v>
      </c>
      <c r="E747" s="0" t="n">
        <f aca="false">1-D747</f>
        <v>1</v>
      </c>
      <c r="F747" s="0" t="n">
        <f aca="true">RAND()</f>
        <v>0.506776252528571</v>
      </c>
      <c r="G747" s="0" t="n">
        <f aca="false">7.75+F747*10</f>
        <v>12.8177625252857</v>
      </c>
      <c r="H747" s="0" t="n">
        <f aca="false">LOGINV(F747,2.64,1.139)</f>
        <v>14.2869633480198</v>
      </c>
      <c r="I747" s="0" t="n">
        <v>19.5</v>
      </c>
      <c r="J747" s="4" t="n">
        <f aca="true">-LN(RAND())/B747</f>
        <v>26.4273653211888</v>
      </c>
      <c r="K747" s="4" t="n">
        <f aca="false">K746+J747</f>
        <v>7770.15829989565</v>
      </c>
      <c r="L747" s="4" t="n">
        <f aca="false">(1/$J$4)*(1+AB746)</f>
        <v>10</v>
      </c>
      <c r="M747" s="4" t="n">
        <f aca="false">L747+MAX(K747,Y$10:Y746)</f>
        <v>7780.15829989565</v>
      </c>
      <c r="N747" s="4" t="n">
        <f aca="false">K747</f>
        <v>7770.15829989565</v>
      </c>
      <c r="O747" s="4" t="n">
        <f aca="false">M747-K747</f>
        <v>10</v>
      </c>
      <c r="P747" s="4" t="n">
        <f aca="false">N747-K747</f>
        <v>0</v>
      </c>
      <c r="Q747" s="4" t="n">
        <f aca="false">A747-MATCH(K747,$M$9:M746,1)</f>
        <v>0</v>
      </c>
      <c r="R747" s="0" t="n">
        <f aca="false">-G747*(O747/3600)</f>
        <v>-0.0356048959035714</v>
      </c>
      <c r="S747" s="0" t="n">
        <f aca="false">-1*I747-(H747*(P747/3600))</f>
        <v>-19.5</v>
      </c>
      <c r="T747" s="0" t="n">
        <f aca="false">-H747*(O747/3600)</f>
        <v>-0.039686009300055</v>
      </c>
      <c r="U747" s="0" t="n">
        <f aca="false">T747-S747</f>
        <v>19.4603139906999</v>
      </c>
      <c r="V747" s="0" t="n">
        <f aca="false">1/(1+EXP(U747))</f>
        <v>3.53584335136891E-009</v>
      </c>
      <c r="W747" s="0" t="n">
        <f aca="true">RAND()</f>
        <v>0.749466025781464</v>
      </c>
      <c r="X747" s="0" t="n">
        <f aca="false">IF(W747&lt;V747,1,0)</f>
        <v>0</v>
      </c>
      <c r="Y747" s="0" t="n">
        <f aca="false">(M747*(1-X747)+N747*X747)*D747+M747*E747</f>
        <v>7780.15829989565</v>
      </c>
      <c r="Z747" s="0" t="n">
        <f aca="false">((1-X747)*O747+X747*P747)*D747+E747*O747</f>
        <v>10</v>
      </c>
      <c r="AA747" s="0" t="n">
        <f aca="false">IF(D747*X747&gt;0,AA746,Q747)</f>
        <v>0</v>
      </c>
      <c r="AB747" s="0" t="n">
        <f aca="false">(X747*D747)</f>
        <v>0</v>
      </c>
      <c r="AC747" s="0" t="n">
        <f aca="false">SUM(AB$10:AB746)/K747</f>
        <v>0.000128697506717904</v>
      </c>
      <c r="AD747" s="0" t="n">
        <f aca="false">R747*E747+D747*(X747*S747+(1-X747)*T747)</f>
        <v>-0.0356048959035714</v>
      </c>
      <c r="AE747" s="0" t="n">
        <f aca="false">Z747</f>
        <v>10</v>
      </c>
      <c r="AF747" s="0" t="n">
        <f aca="false">E747*O747</f>
        <v>10</v>
      </c>
      <c r="AG747" s="0" t="n">
        <f aca="false">((1-X747)*O747+X747*P747)*D747</f>
        <v>0</v>
      </c>
      <c r="AH747" s="0" t="n">
        <f aca="false">D747*(LN(EXP(S747)+EXP(T747)))</f>
        <v>-0</v>
      </c>
      <c r="AJ747" s="0" t="n">
        <f aca="false">$J$5</f>
        <v>10</v>
      </c>
      <c r="AK747" s="4" t="n">
        <f aca="false">AJ747+MAX(K747,AK$10:AK746)</f>
        <v>7780.15829989565</v>
      </c>
      <c r="AL747" s="5" t="n">
        <f aca="false">AK747-K747</f>
        <v>10</v>
      </c>
      <c r="AM747" s="0" t="n">
        <f aca="false">-G747*AL747/3600</f>
        <v>-0.0356048959035714</v>
      </c>
      <c r="AN747" s="0" t="n">
        <f aca="false">-H747*AL747/3600</f>
        <v>-0.039686009300055</v>
      </c>
      <c r="AO747" s="0" t="n">
        <f aca="false">AM747*E747+AN747*D747</f>
        <v>-0.0356048959035714</v>
      </c>
      <c r="AP747" s="0" t="n">
        <f aca="false">AL747*D747</f>
        <v>0</v>
      </c>
      <c r="AR747" s="0" t="n">
        <f aca="false">AN747*D747</f>
        <v>-0</v>
      </c>
      <c r="AS747" s="0" t="n">
        <f aca="false">AH747-AR747</f>
        <v>0</v>
      </c>
    </row>
    <row r="748" customFormat="false" ht="12" hidden="false" customHeight="false" outlineLevel="0" collapsed="false">
      <c r="A748" s="3" t="n">
        <f aca="false">A747+1</f>
        <v>739</v>
      </c>
      <c r="B748" s="3" t="n">
        <f aca="false">IF(A748&lt;$N$4/3,0.1,(IF(A748&gt;2*$N$4/3,0.05,0.12)))</f>
        <v>0.05</v>
      </c>
      <c r="C748" s="4" t="n">
        <f aca="true">RAND()</f>
        <v>0.323860750961828</v>
      </c>
      <c r="D748" s="0" t="n">
        <f aca="false">IF((C748&gt;$M$2),1,0)</f>
        <v>0</v>
      </c>
      <c r="E748" s="0" t="n">
        <f aca="false">1-D748</f>
        <v>1</v>
      </c>
      <c r="F748" s="0" t="n">
        <f aca="true">RAND()</f>
        <v>0.732442776328564</v>
      </c>
      <c r="G748" s="0" t="n">
        <f aca="false">7.75+F748*10</f>
        <v>15.0744277632856</v>
      </c>
      <c r="H748" s="0" t="n">
        <f aca="false">LOGINV(F748,2.64,1.139)</f>
        <v>28.4011034803881</v>
      </c>
      <c r="I748" s="0" t="n">
        <v>19.5</v>
      </c>
      <c r="J748" s="4" t="n">
        <f aca="true">-LN(RAND())/B748</f>
        <v>23.5416077940805</v>
      </c>
      <c r="K748" s="4" t="n">
        <f aca="false">K747+J748</f>
        <v>7793.69990768973</v>
      </c>
      <c r="L748" s="4" t="n">
        <f aca="false">(1/$J$4)*(1+AB747)</f>
        <v>10</v>
      </c>
      <c r="M748" s="4" t="n">
        <f aca="false">L748+MAX(K748,Y$10:Y747)</f>
        <v>7803.69990768973</v>
      </c>
      <c r="N748" s="4" t="n">
        <f aca="false">K748</f>
        <v>7793.69990768973</v>
      </c>
      <c r="O748" s="4" t="n">
        <f aca="false">M748-K748</f>
        <v>10</v>
      </c>
      <c r="P748" s="4" t="n">
        <f aca="false">N748-K748</f>
        <v>0</v>
      </c>
      <c r="Q748" s="4" t="n">
        <f aca="false">A748-MATCH(K748,$M$9:M747,1)</f>
        <v>0</v>
      </c>
      <c r="R748" s="0" t="n">
        <f aca="false">-G748*(O748/3600)</f>
        <v>-0.0418734104535712</v>
      </c>
      <c r="S748" s="0" t="n">
        <f aca="false">-1*I748-(H748*(P748/3600))</f>
        <v>-19.5</v>
      </c>
      <c r="T748" s="0" t="n">
        <f aca="false">-H748*(O748/3600)</f>
        <v>-0.078891954112189</v>
      </c>
      <c r="U748" s="0" t="n">
        <f aca="false">T748-S748</f>
        <v>19.4211080458878</v>
      </c>
      <c r="V748" s="0" t="n">
        <f aca="false">1/(1+EXP(U748))</f>
        <v>3.67722277802231E-009</v>
      </c>
      <c r="W748" s="0" t="n">
        <f aca="true">RAND()</f>
        <v>0.333321343909975</v>
      </c>
      <c r="X748" s="0" t="n">
        <f aca="false">IF(W748&lt;V748,1,0)</f>
        <v>0</v>
      </c>
      <c r="Y748" s="0" t="n">
        <f aca="false">(M748*(1-X748)+N748*X748)*D748+M748*E748</f>
        <v>7803.69990768973</v>
      </c>
      <c r="Z748" s="0" t="n">
        <f aca="false">((1-X748)*O748+X748*P748)*D748+E748*O748</f>
        <v>10</v>
      </c>
      <c r="AA748" s="0" t="n">
        <f aca="false">IF(D748*X748&gt;0,AA747,Q748)</f>
        <v>0</v>
      </c>
      <c r="AB748" s="0" t="n">
        <f aca="false">(X748*D748)</f>
        <v>0</v>
      </c>
      <c r="AC748" s="0" t="n">
        <f aca="false">SUM(AB$10:AB747)/K748</f>
        <v>0.000128308763725088</v>
      </c>
      <c r="AD748" s="0" t="n">
        <f aca="false">R748*E748+D748*(X748*S748+(1-X748)*T748)</f>
        <v>-0.0418734104535712</v>
      </c>
      <c r="AE748" s="0" t="n">
        <f aca="false">Z748</f>
        <v>10</v>
      </c>
      <c r="AF748" s="0" t="n">
        <f aca="false">E748*O748</f>
        <v>10</v>
      </c>
      <c r="AG748" s="0" t="n">
        <f aca="false">((1-X748)*O748+X748*P748)*D748</f>
        <v>0</v>
      </c>
      <c r="AH748" s="0" t="n">
        <f aca="false">D748*(LN(EXP(S748)+EXP(T748)))</f>
        <v>-0</v>
      </c>
      <c r="AJ748" s="0" t="n">
        <f aca="false">$J$5</f>
        <v>10</v>
      </c>
      <c r="AK748" s="4" t="n">
        <f aca="false">AJ748+MAX(K748,AK$10:AK747)</f>
        <v>7803.69990768973</v>
      </c>
      <c r="AL748" s="5" t="n">
        <f aca="false">AK748-K748</f>
        <v>10</v>
      </c>
      <c r="AM748" s="0" t="n">
        <f aca="false">-G748*AL748/3600</f>
        <v>-0.0418734104535712</v>
      </c>
      <c r="AN748" s="0" t="n">
        <f aca="false">-H748*AL748/3600</f>
        <v>-0.078891954112189</v>
      </c>
      <c r="AO748" s="0" t="n">
        <f aca="false">AM748*E748+AN748*D748</f>
        <v>-0.0418734104535712</v>
      </c>
      <c r="AP748" s="0" t="n">
        <f aca="false">AL748*D748</f>
        <v>0</v>
      </c>
      <c r="AR748" s="0" t="n">
        <f aca="false">AN748*D748</f>
        <v>-0</v>
      </c>
      <c r="AS748" s="0" t="n">
        <f aca="false">AH748-AR748</f>
        <v>0</v>
      </c>
    </row>
    <row r="749" customFormat="false" ht="12" hidden="false" customHeight="false" outlineLevel="0" collapsed="false">
      <c r="A749" s="3" t="n">
        <f aca="false">A748+1</f>
        <v>740</v>
      </c>
      <c r="B749" s="3" t="n">
        <f aca="false">IF(A749&lt;$N$4/3,0.1,(IF(A749&gt;2*$N$4/3,0.05,0.12)))</f>
        <v>0.05</v>
      </c>
      <c r="C749" s="4" t="n">
        <f aca="true">RAND()</f>
        <v>0.281144744615568</v>
      </c>
      <c r="D749" s="0" t="n">
        <f aca="false">IF((C749&gt;$M$2),1,0)</f>
        <v>0</v>
      </c>
      <c r="E749" s="0" t="n">
        <f aca="false">1-D749</f>
        <v>1</v>
      </c>
      <c r="F749" s="0" t="n">
        <f aca="true">RAND()</f>
        <v>0.669153042274973</v>
      </c>
      <c r="G749" s="0" t="n">
        <f aca="false">7.75+F749*10</f>
        <v>14.4415304227497</v>
      </c>
      <c r="H749" s="0" t="n">
        <f aca="false">LOGINV(F749,2.64,1.139)</f>
        <v>23.066899819533</v>
      </c>
      <c r="I749" s="0" t="n">
        <v>19.5</v>
      </c>
      <c r="J749" s="4" t="n">
        <f aca="true">-LN(RAND())/B749</f>
        <v>37.9983683097151</v>
      </c>
      <c r="K749" s="4" t="n">
        <f aca="false">K748+J749</f>
        <v>7831.69827599944</v>
      </c>
      <c r="L749" s="4" t="n">
        <f aca="false">(1/$J$4)*(1+AB748)</f>
        <v>10</v>
      </c>
      <c r="M749" s="4" t="n">
        <f aca="false">L749+MAX(K749,Y$10:Y748)</f>
        <v>7841.69827599944</v>
      </c>
      <c r="N749" s="4" t="n">
        <f aca="false">K749</f>
        <v>7831.69827599944</v>
      </c>
      <c r="O749" s="4" t="n">
        <f aca="false">M749-K749</f>
        <v>10</v>
      </c>
      <c r="P749" s="4" t="n">
        <f aca="false">N749-K749</f>
        <v>0</v>
      </c>
      <c r="Q749" s="4" t="n">
        <f aca="false">A749-MATCH(K749,$M$9:M748,1)</f>
        <v>0</v>
      </c>
      <c r="R749" s="0" t="n">
        <f aca="false">-G749*(O749/3600)</f>
        <v>-0.0401153622854159</v>
      </c>
      <c r="S749" s="0" t="n">
        <f aca="false">-1*I749-(H749*(P749/3600))</f>
        <v>-19.5</v>
      </c>
      <c r="T749" s="0" t="n">
        <f aca="false">-H749*(O749/3600)</f>
        <v>-0.064074721720925</v>
      </c>
      <c r="U749" s="0" t="n">
        <f aca="false">T749-S749</f>
        <v>19.4359252782791</v>
      </c>
      <c r="V749" s="0" t="n">
        <f aca="false">1/(1+EXP(U749))</f>
        <v>3.62313819520013E-009</v>
      </c>
      <c r="W749" s="0" t="n">
        <f aca="true">RAND()</f>
        <v>0.869557283058912</v>
      </c>
      <c r="X749" s="0" t="n">
        <f aca="false">IF(W749&lt;V749,1,0)</f>
        <v>0</v>
      </c>
      <c r="Y749" s="0" t="n">
        <f aca="false">(M749*(1-X749)+N749*X749)*D749+M749*E749</f>
        <v>7841.69827599944</v>
      </c>
      <c r="Z749" s="0" t="n">
        <f aca="false">((1-X749)*O749+X749*P749)*D749+E749*O749</f>
        <v>10</v>
      </c>
      <c r="AA749" s="0" t="n">
        <f aca="false">IF(D749*X749&gt;0,AA748,Q749)</f>
        <v>0</v>
      </c>
      <c r="AB749" s="0" t="n">
        <f aca="false">(X749*D749)</f>
        <v>0</v>
      </c>
      <c r="AC749" s="0" t="n">
        <f aca="false">SUM(AB$10:AB748)/K749</f>
        <v>0.000127686226506522</v>
      </c>
      <c r="AD749" s="0" t="n">
        <f aca="false">R749*E749+D749*(X749*S749+(1-X749)*T749)</f>
        <v>-0.0401153622854159</v>
      </c>
      <c r="AE749" s="0" t="n">
        <f aca="false">Z749</f>
        <v>10</v>
      </c>
      <c r="AF749" s="0" t="n">
        <f aca="false">E749*O749</f>
        <v>10</v>
      </c>
      <c r="AG749" s="0" t="n">
        <f aca="false">((1-X749)*O749+X749*P749)*D749</f>
        <v>0</v>
      </c>
      <c r="AH749" s="0" t="n">
        <f aca="false">D749*(LN(EXP(S749)+EXP(T749)))</f>
        <v>-0</v>
      </c>
      <c r="AJ749" s="0" t="n">
        <f aca="false">$J$5</f>
        <v>10</v>
      </c>
      <c r="AK749" s="4" t="n">
        <f aca="false">AJ749+MAX(K749,AK$10:AK748)</f>
        <v>7841.69827599944</v>
      </c>
      <c r="AL749" s="5" t="n">
        <f aca="false">AK749-K749</f>
        <v>10</v>
      </c>
      <c r="AM749" s="0" t="n">
        <f aca="false">-G749*AL749/3600</f>
        <v>-0.0401153622854159</v>
      </c>
      <c r="AN749" s="0" t="n">
        <f aca="false">-H749*AL749/3600</f>
        <v>-0.064074721720925</v>
      </c>
      <c r="AO749" s="0" t="n">
        <f aca="false">AM749*E749+AN749*D749</f>
        <v>-0.0401153622854159</v>
      </c>
      <c r="AP749" s="0" t="n">
        <f aca="false">AL749*D749</f>
        <v>0</v>
      </c>
      <c r="AR749" s="0" t="n">
        <f aca="false">AN749*D749</f>
        <v>-0</v>
      </c>
      <c r="AS749" s="0" t="n">
        <f aca="false">AH749-AR749</f>
        <v>0</v>
      </c>
    </row>
    <row r="750" customFormat="false" ht="12" hidden="false" customHeight="false" outlineLevel="0" collapsed="false">
      <c r="A750" s="3" t="n">
        <f aca="false">A749+1</f>
        <v>741</v>
      </c>
      <c r="B750" s="3" t="n">
        <f aca="false">IF(A750&lt;$N$4/3,0.1,(IF(A750&gt;2*$N$4/3,0.05,0.12)))</f>
        <v>0.05</v>
      </c>
      <c r="C750" s="4" t="n">
        <f aca="true">RAND()</f>
        <v>0.041774651442081</v>
      </c>
      <c r="D750" s="0" t="n">
        <f aca="false">IF((C750&gt;$M$2),1,0)</f>
        <v>0</v>
      </c>
      <c r="E750" s="0" t="n">
        <f aca="false">1-D750</f>
        <v>1</v>
      </c>
      <c r="F750" s="0" t="n">
        <f aca="true">RAND()</f>
        <v>0.242661343550556</v>
      </c>
      <c r="G750" s="0" t="n">
        <f aca="false">7.75+F750*10</f>
        <v>10.1766134355056</v>
      </c>
      <c r="H750" s="0" t="n">
        <f aca="false">LOGINV(F750,2.64,1.139)</f>
        <v>6.32963747279026</v>
      </c>
      <c r="I750" s="0" t="n">
        <v>19.5</v>
      </c>
      <c r="J750" s="4" t="n">
        <f aca="true">-LN(RAND())/B750</f>
        <v>22.6729320411031</v>
      </c>
      <c r="K750" s="4" t="n">
        <f aca="false">K749+J750</f>
        <v>7854.37120804055</v>
      </c>
      <c r="L750" s="4" t="n">
        <f aca="false">(1/$J$4)*(1+AB749)</f>
        <v>10</v>
      </c>
      <c r="M750" s="4" t="n">
        <f aca="false">L750+MAX(K750,Y$10:Y749)</f>
        <v>7864.37120804055</v>
      </c>
      <c r="N750" s="4" t="n">
        <f aca="false">K750</f>
        <v>7854.37120804055</v>
      </c>
      <c r="O750" s="4" t="n">
        <f aca="false">M750-K750</f>
        <v>10</v>
      </c>
      <c r="P750" s="4" t="n">
        <f aca="false">N750-K750</f>
        <v>0</v>
      </c>
      <c r="Q750" s="4" t="n">
        <f aca="false">A750-MATCH(K750,$M$9:M749,1)</f>
        <v>0</v>
      </c>
      <c r="R750" s="0" t="n">
        <f aca="false">-G750*(O750/3600)</f>
        <v>-0.0282683706541821</v>
      </c>
      <c r="S750" s="0" t="n">
        <f aca="false">-1*I750-(H750*(P750/3600))</f>
        <v>-19.5</v>
      </c>
      <c r="T750" s="0" t="n">
        <f aca="false">-H750*(O750/3600)</f>
        <v>-0.0175823263133063</v>
      </c>
      <c r="U750" s="0" t="n">
        <f aca="false">T750-S750</f>
        <v>19.4824176736867</v>
      </c>
      <c r="V750" s="0" t="n">
        <f aca="false">1/(1+EXP(U750))</f>
        <v>3.45854562048441E-009</v>
      </c>
      <c r="W750" s="0" t="n">
        <f aca="true">RAND()</f>
        <v>0.496159854419126</v>
      </c>
      <c r="X750" s="0" t="n">
        <f aca="false">IF(W750&lt;V750,1,0)</f>
        <v>0</v>
      </c>
      <c r="Y750" s="0" t="n">
        <f aca="false">(M750*(1-X750)+N750*X750)*D750+M750*E750</f>
        <v>7864.37120804055</v>
      </c>
      <c r="Z750" s="0" t="n">
        <f aca="false">((1-X750)*O750+X750*P750)*D750+E750*O750</f>
        <v>10</v>
      </c>
      <c r="AA750" s="0" t="n">
        <f aca="false">IF(D750*X750&gt;0,AA749,Q750)</f>
        <v>0</v>
      </c>
      <c r="AB750" s="0" t="n">
        <f aca="false">(X750*D750)</f>
        <v>0</v>
      </c>
      <c r="AC750" s="0" t="n">
        <f aca="false">SUM(AB$10:AB749)/K750</f>
        <v>0.000127317639249886</v>
      </c>
      <c r="AD750" s="0" t="n">
        <f aca="false">R750*E750+D750*(X750*S750+(1-X750)*T750)</f>
        <v>-0.0282683706541821</v>
      </c>
      <c r="AE750" s="0" t="n">
        <f aca="false">Z750</f>
        <v>10</v>
      </c>
      <c r="AF750" s="0" t="n">
        <f aca="false">E750*O750</f>
        <v>10</v>
      </c>
      <c r="AG750" s="0" t="n">
        <f aca="false">((1-X750)*O750+X750*P750)*D750</f>
        <v>0</v>
      </c>
      <c r="AH750" s="0" t="n">
        <f aca="false">D750*(LN(EXP(S750)+EXP(T750)))</f>
        <v>-0</v>
      </c>
      <c r="AJ750" s="0" t="n">
        <f aca="false">$J$5</f>
        <v>10</v>
      </c>
      <c r="AK750" s="4" t="n">
        <f aca="false">AJ750+MAX(K750,AK$10:AK749)</f>
        <v>7864.37120804055</v>
      </c>
      <c r="AL750" s="5" t="n">
        <f aca="false">AK750-K750</f>
        <v>10</v>
      </c>
      <c r="AM750" s="0" t="n">
        <f aca="false">-G750*AL750/3600</f>
        <v>-0.0282683706541821</v>
      </c>
      <c r="AN750" s="0" t="n">
        <f aca="false">-H750*AL750/3600</f>
        <v>-0.0175823263133063</v>
      </c>
      <c r="AO750" s="0" t="n">
        <f aca="false">AM750*E750+AN750*D750</f>
        <v>-0.0282683706541821</v>
      </c>
      <c r="AP750" s="0" t="n">
        <f aca="false">AL750*D750</f>
        <v>0</v>
      </c>
      <c r="AR750" s="0" t="n">
        <f aca="false">AN750*D750</f>
        <v>-0</v>
      </c>
      <c r="AS750" s="0" t="n">
        <f aca="false">AH750-AR750</f>
        <v>0</v>
      </c>
    </row>
    <row r="751" customFormat="false" ht="12" hidden="false" customHeight="false" outlineLevel="0" collapsed="false">
      <c r="A751" s="3" t="n">
        <f aca="false">A750+1</f>
        <v>742</v>
      </c>
      <c r="B751" s="3" t="n">
        <f aca="false">IF(A751&lt;$N$4/3,0.1,(IF(A751&gt;2*$N$4/3,0.05,0.12)))</f>
        <v>0.05</v>
      </c>
      <c r="C751" s="4" t="n">
        <f aca="true">RAND()</f>
        <v>0.865913527808897</v>
      </c>
      <c r="D751" s="0" t="n">
        <f aca="false">IF((C751&gt;$M$2),1,0)</f>
        <v>0</v>
      </c>
      <c r="E751" s="0" t="n">
        <f aca="false">1-D751</f>
        <v>1</v>
      </c>
      <c r="F751" s="0" t="n">
        <f aca="true">RAND()</f>
        <v>0.536416613558388</v>
      </c>
      <c r="G751" s="0" t="n">
        <f aca="false">7.75+F751*10</f>
        <v>13.1141661355839</v>
      </c>
      <c r="H751" s="0" t="n">
        <f aca="false">LOGINV(F751,2.64,1.139)</f>
        <v>15.5508617025809</v>
      </c>
      <c r="I751" s="0" t="n">
        <v>19.5</v>
      </c>
      <c r="J751" s="4" t="n">
        <f aca="true">-LN(RAND())/B751</f>
        <v>32.4389728842686</v>
      </c>
      <c r="K751" s="4" t="n">
        <f aca="false">K750+J751</f>
        <v>7886.81018092481</v>
      </c>
      <c r="L751" s="4" t="n">
        <f aca="false">(1/$J$4)*(1+AB750)</f>
        <v>10</v>
      </c>
      <c r="M751" s="4" t="n">
        <f aca="false">L751+MAX(K751,Y$10:Y750)</f>
        <v>7896.81018092481</v>
      </c>
      <c r="N751" s="4" t="n">
        <f aca="false">K751</f>
        <v>7886.81018092481</v>
      </c>
      <c r="O751" s="4" t="n">
        <f aca="false">M751-K751</f>
        <v>10</v>
      </c>
      <c r="P751" s="4" t="n">
        <f aca="false">N751-K751</f>
        <v>0</v>
      </c>
      <c r="Q751" s="4" t="n">
        <f aca="false">A751-MATCH(K751,$M$9:M750,1)</f>
        <v>0</v>
      </c>
      <c r="R751" s="0" t="n">
        <f aca="false">-G751*(O751/3600)</f>
        <v>-0.0364282392655108</v>
      </c>
      <c r="S751" s="0" t="n">
        <f aca="false">-1*I751-(H751*(P751/3600))</f>
        <v>-19.5</v>
      </c>
      <c r="T751" s="0" t="n">
        <f aca="false">-H751*(O751/3600)</f>
        <v>-0.0431968380627246</v>
      </c>
      <c r="U751" s="0" t="n">
        <f aca="false">T751-S751</f>
        <v>19.4568031619373</v>
      </c>
      <c r="V751" s="0" t="n">
        <f aca="false">1/(1+EXP(U751))</f>
        <v>3.54827890864592E-009</v>
      </c>
      <c r="W751" s="0" t="n">
        <f aca="true">RAND()</f>
        <v>0.312946228770865</v>
      </c>
      <c r="X751" s="0" t="n">
        <f aca="false">IF(W751&lt;V751,1,0)</f>
        <v>0</v>
      </c>
      <c r="Y751" s="0" t="n">
        <f aca="false">(M751*(1-X751)+N751*X751)*D751+M751*E751</f>
        <v>7896.81018092481</v>
      </c>
      <c r="Z751" s="0" t="n">
        <f aca="false">((1-X751)*O751+X751*P751)*D751+E751*O751</f>
        <v>10</v>
      </c>
      <c r="AA751" s="0" t="n">
        <f aca="false">IF(D751*X751&gt;0,AA750,Q751)</f>
        <v>0</v>
      </c>
      <c r="AB751" s="0" t="n">
        <f aca="false">(X751*D751)</f>
        <v>0</v>
      </c>
      <c r="AC751" s="0" t="n">
        <f aca="false">SUM(AB$10:AB750)/K751</f>
        <v>0.000126793973363099</v>
      </c>
      <c r="AD751" s="0" t="n">
        <f aca="false">R751*E751+D751*(X751*S751+(1-X751)*T751)</f>
        <v>-0.0364282392655108</v>
      </c>
      <c r="AE751" s="0" t="n">
        <f aca="false">Z751</f>
        <v>10</v>
      </c>
      <c r="AF751" s="0" t="n">
        <f aca="false">E751*O751</f>
        <v>10</v>
      </c>
      <c r="AG751" s="0" t="n">
        <f aca="false">((1-X751)*O751+X751*P751)*D751</f>
        <v>0</v>
      </c>
      <c r="AH751" s="0" t="n">
        <f aca="false">D751*(LN(EXP(S751)+EXP(T751)))</f>
        <v>-0</v>
      </c>
      <c r="AJ751" s="0" t="n">
        <f aca="false">$J$5</f>
        <v>10</v>
      </c>
      <c r="AK751" s="4" t="n">
        <f aca="false">AJ751+MAX(K751,AK$10:AK750)</f>
        <v>7896.81018092481</v>
      </c>
      <c r="AL751" s="5" t="n">
        <f aca="false">AK751-K751</f>
        <v>10</v>
      </c>
      <c r="AM751" s="0" t="n">
        <f aca="false">-G751*AL751/3600</f>
        <v>-0.0364282392655108</v>
      </c>
      <c r="AN751" s="0" t="n">
        <f aca="false">-H751*AL751/3600</f>
        <v>-0.0431968380627246</v>
      </c>
      <c r="AO751" s="0" t="n">
        <f aca="false">AM751*E751+AN751*D751</f>
        <v>-0.0364282392655108</v>
      </c>
      <c r="AP751" s="0" t="n">
        <f aca="false">AL751*D751</f>
        <v>0</v>
      </c>
      <c r="AR751" s="0" t="n">
        <f aca="false">AN751*D751</f>
        <v>-0</v>
      </c>
      <c r="AS751" s="0" t="n">
        <f aca="false">AH751-AR751</f>
        <v>0</v>
      </c>
    </row>
    <row r="752" customFormat="false" ht="12" hidden="false" customHeight="false" outlineLevel="0" collapsed="false">
      <c r="A752" s="3" t="n">
        <f aca="false">A751+1</f>
        <v>743</v>
      </c>
      <c r="B752" s="3" t="n">
        <f aca="false">IF(A752&lt;$N$4/3,0.1,(IF(A752&gt;2*$N$4/3,0.05,0.12)))</f>
        <v>0.05</v>
      </c>
      <c r="C752" s="4" t="n">
        <f aca="true">RAND()</f>
        <v>0.864174931685083</v>
      </c>
      <c r="D752" s="0" t="n">
        <f aca="false">IF((C752&gt;$M$2),1,0)</f>
        <v>0</v>
      </c>
      <c r="E752" s="0" t="n">
        <f aca="false">1-D752</f>
        <v>1</v>
      </c>
      <c r="F752" s="0" t="n">
        <f aca="true">RAND()</f>
        <v>0.0553416782327061</v>
      </c>
      <c r="G752" s="0" t="n">
        <f aca="false">7.75+F752*10</f>
        <v>8.30341678232706</v>
      </c>
      <c r="H752" s="0" t="n">
        <f aca="false">LOGINV(F752,2.64,1.139)</f>
        <v>2.27765838160926</v>
      </c>
      <c r="I752" s="0" t="n">
        <v>19.5</v>
      </c>
      <c r="J752" s="4" t="n">
        <f aca="true">-LN(RAND())/B752</f>
        <v>24.0424391274664</v>
      </c>
      <c r="K752" s="4" t="n">
        <f aca="false">K751+J752</f>
        <v>7910.85262005228</v>
      </c>
      <c r="L752" s="4" t="n">
        <f aca="false">(1/$J$4)*(1+AB751)</f>
        <v>10</v>
      </c>
      <c r="M752" s="4" t="n">
        <f aca="false">L752+MAX(K752,Y$10:Y751)</f>
        <v>7920.85262005228</v>
      </c>
      <c r="N752" s="4" t="n">
        <f aca="false">K752</f>
        <v>7910.85262005228</v>
      </c>
      <c r="O752" s="4" t="n">
        <f aca="false">M752-K752</f>
        <v>10</v>
      </c>
      <c r="P752" s="4" t="n">
        <f aca="false">N752-K752</f>
        <v>0</v>
      </c>
      <c r="Q752" s="4" t="n">
        <f aca="false">A752-MATCH(K752,$M$9:M751,1)</f>
        <v>0</v>
      </c>
      <c r="R752" s="0" t="n">
        <f aca="false">-G752*(O752/3600)</f>
        <v>-0.0230650466175752</v>
      </c>
      <c r="S752" s="0" t="n">
        <f aca="false">-1*I752-(H752*(P752/3600))</f>
        <v>-19.5</v>
      </c>
      <c r="T752" s="0" t="n">
        <f aca="false">-H752*(O752/3600)</f>
        <v>-0.00632682883780349</v>
      </c>
      <c r="U752" s="0" t="n">
        <f aca="false">T752-S752</f>
        <v>19.4936731711622</v>
      </c>
      <c r="V752" s="0" t="n">
        <f aca="false">1/(1+EXP(U752))</f>
        <v>3.41983622453287E-009</v>
      </c>
      <c r="W752" s="0" t="n">
        <f aca="true">RAND()</f>
        <v>0.777630016315117</v>
      </c>
      <c r="X752" s="0" t="n">
        <f aca="false">IF(W752&lt;V752,1,0)</f>
        <v>0</v>
      </c>
      <c r="Y752" s="0" t="n">
        <f aca="false">(M752*(1-X752)+N752*X752)*D752+M752*E752</f>
        <v>7920.85262005228</v>
      </c>
      <c r="Z752" s="0" t="n">
        <f aca="false">((1-X752)*O752+X752*P752)*D752+E752*O752</f>
        <v>10</v>
      </c>
      <c r="AA752" s="0" t="n">
        <f aca="false">IF(D752*X752&gt;0,AA751,Q752)</f>
        <v>0</v>
      </c>
      <c r="AB752" s="0" t="n">
        <f aca="false">(X752*D752)</f>
        <v>0</v>
      </c>
      <c r="AC752" s="0" t="n">
        <f aca="false">SUM(AB$10:AB751)/K752</f>
        <v>0.000126408624711983</v>
      </c>
      <c r="AD752" s="0" t="n">
        <f aca="false">R752*E752+D752*(X752*S752+(1-X752)*T752)</f>
        <v>-0.0230650466175752</v>
      </c>
      <c r="AE752" s="0" t="n">
        <f aca="false">Z752</f>
        <v>10</v>
      </c>
      <c r="AF752" s="0" t="n">
        <f aca="false">E752*O752</f>
        <v>10</v>
      </c>
      <c r="AG752" s="0" t="n">
        <f aca="false">((1-X752)*O752+X752*P752)*D752</f>
        <v>0</v>
      </c>
      <c r="AH752" s="0" t="n">
        <f aca="false">D752*(LN(EXP(S752)+EXP(T752)))</f>
        <v>-0</v>
      </c>
      <c r="AJ752" s="0" t="n">
        <f aca="false">$J$5</f>
        <v>10</v>
      </c>
      <c r="AK752" s="4" t="n">
        <f aca="false">AJ752+MAX(K752,AK$10:AK751)</f>
        <v>7920.85262005228</v>
      </c>
      <c r="AL752" s="5" t="n">
        <f aca="false">AK752-K752</f>
        <v>10</v>
      </c>
      <c r="AM752" s="0" t="n">
        <f aca="false">-G752*AL752/3600</f>
        <v>-0.0230650466175752</v>
      </c>
      <c r="AN752" s="0" t="n">
        <f aca="false">-H752*AL752/3600</f>
        <v>-0.00632682883780349</v>
      </c>
      <c r="AO752" s="0" t="n">
        <f aca="false">AM752*E752+AN752*D752</f>
        <v>-0.0230650466175752</v>
      </c>
      <c r="AP752" s="0" t="n">
        <f aca="false">AL752*D752</f>
        <v>0</v>
      </c>
      <c r="AR752" s="0" t="n">
        <f aca="false">AN752*D752</f>
        <v>-0</v>
      </c>
      <c r="AS752" s="0" t="n">
        <f aca="false">AH752-AR752</f>
        <v>0</v>
      </c>
    </row>
    <row r="753" customFormat="false" ht="12" hidden="false" customHeight="false" outlineLevel="0" collapsed="false">
      <c r="A753" s="3" t="n">
        <f aca="false">A752+1</f>
        <v>744</v>
      </c>
      <c r="B753" s="3" t="n">
        <f aca="false">IF(A753&lt;$N$4/3,0.1,(IF(A753&gt;2*$N$4/3,0.05,0.12)))</f>
        <v>0.05</v>
      </c>
      <c r="C753" s="4" t="n">
        <f aca="true">RAND()</f>
        <v>0.774393213667543</v>
      </c>
      <c r="D753" s="0" t="n">
        <f aca="false">IF((C753&gt;$M$2),1,0)</f>
        <v>0</v>
      </c>
      <c r="E753" s="0" t="n">
        <f aca="false">1-D753</f>
        <v>1</v>
      </c>
      <c r="F753" s="0" t="n">
        <f aca="true">RAND()</f>
        <v>0.996229444241555</v>
      </c>
      <c r="G753" s="0" t="n">
        <f aca="false">7.75+F753*10</f>
        <v>17.7122944424155</v>
      </c>
      <c r="H753" s="0" t="n">
        <f aca="false">LOGINV(F753,2.64,1.139)</f>
        <v>293.933910303838</v>
      </c>
      <c r="I753" s="0" t="n">
        <v>19.5</v>
      </c>
      <c r="J753" s="4" t="n">
        <f aca="true">-LN(RAND())/B753</f>
        <v>12.2445631921067</v>
      </c>
      <c r="K753" s="4" t="n">
        <f aca="false">K752+J753</f>
        <v>7923.09718324439</v>
      </c>
      <c r="L753" s="4" t="n">
        <f aca="false">(1/$J$4)*(1+AB752)</f>
        <v>10</v>
      </c>
      <c r="M753" s="4" t="n">
        <f aca="false">L753+MAX(K753,Y$10:Y752)</f>
        <v>7933.09718324439</v>
      </c>
      <c r="N753" s="4" t="n">
        <f aca="false">K753</f>
        <v>7923.09718324439</v>
      </c>
      <c r="O753" s="4" t="n">
        <f aca="false">M753-K753</f>
        <v>10</v>
      </c>
      <c r="P753" s="4" t="n">
        <f aca="false">N753-K753</f>
        <v>0</v>
      </c>
      <c r="Q753" s="4" t="n">
        <f aca="false">A753-MATCH(K753,$M$9:M752,1)</f>
        <v>0</v>
      </c>
      <c r="R753" s="0" t="n">
        <f aca="false">-G753*(O753/3600)</f>
        <v>-0.0492008178955988</v>
      </c>
      <c r="S753" s="0" t="n">
        <f aca="false">-1*I753-(H753*(P753/3600))</f>
        <v>-19.5</v>
      </c>
      <c r="T753" s="0" t="n">
        <f aca="false">-H753*(O753/3600)</f>
        <v>-0.816483084177328</v>
      </c>
      <c r="U753" s="0" t="n">
        <f aca="false">T753-S753</f>
        <v>18.6835169158227</v>
      </c>
      <c r="V753" s="0" t="n">
        <f aca="false">1/(1+EXP(U753))</f>
        <v>7.68867843263784E-009</v>
      </c>
      <c r="W753" s="0" t="n">
        <f aca="true">RAND()</f>
        <v>0.434222802958021</v>
      </c>
      <c r="X753" s="0" t="n">
        <f aca="false">IF(W753&lt;V753,1,0)</f>
        <v>0</v>
      </c>
      <c r="Y753" s="0" t="n">
        <f aca="false">(M753*(1-X753)+N753*X753)*D753+M753*E753</f>
        <v>7933.09718324439</v>
      </c>
      <c r="Z753" s="0" t="n">
        <f aca="false">((1-X753)*O753+X753*P753)*D753+E753*O753</f>
        <v>10</v>
      </c>
      <c r="AA753" s="0" t="n">
        <f aca="false">IF(D753*X753&gt;0,AA752,Q753)</f>
        <v>0</v>
      </c>
      <c r="AB753" s="0" t="n">
        <f aca="false">(X753*D753)</f>
        <v>0</v>
      </c>
      <c r="AC753" s="0" t="n">
        <f aca="false">SUM(AB$10:AB752)/K753</f>
        <v>0.000126213269491984</v>
      </c>
      <c r="AD753" s="0" t="n">
        <f aca="false">R753*E753+D753*(X753*S753+(1-X753)*T753)</f>
        <v>-0.0492008178955988</v>
      </c>
      <c r="AE753" s="0" t="n">
        <f aca="false">Z753</f>
        <v>10</v>
      </c>
      <c r="AF753" s="0" t="n">
        <f aca="false">E753*O753</f>
        <v>10</v>
      </c>
      <c r="AG753" s="0" t="n">
        <f aca="false">((1-X753)*O753+X753*P753)*D753</f>
        <v>0</v>
      </c>
      <c r="AH753" s="0" t="n">
        <f aca="false">D753*(LN(EXP(S753)+EXP(T753)))</f>
        <v>-0</v>
      </c>
      <c r="AJ753" s="0" t="n">
        <f aca="false">$J$5</f>
        <v>10</v>
      </c>
      <c r="AK753" s="4" t="n">
        <f aca="false">AJ753+MAX(K753,AK$10:AK752)</f>
        <v>7933.09718324439</v>
      </c>
      <c r="AL753" s="5" t="n">
        <f aca="false">AK753-K753</f>
        <v>10</v>
      </c>
      <c r="AM753" s="0" t="n">
        <f aca="false">-G753*AL753/3600</f>
        <v>-0.0492008178955988</v>
      </c>
      <c r="AN753" s="0" t="n">
        <f aca="false">-H753*AL753/3600</f>
        <v>-0.816483084177328</v>
      </c>
      <c r="AO753" s="0" t="n">
        <f aca="false">AM753*E753+AN753*D753</f>
        <v>-0.0492008178955988</v>
      </c>
      <c r="AP753" s="0" t="n">
        <f aca="false">AL753*D753</f>
        <v>0</v>
      </c>
      <c r="AR753" s="0" t="n">
        <f aca="false">AN753*D753</f>
        <v>-0</v>
      </c>
      <c r="AS753" s="0" t="n">
        <f aca="false">AH753-AR753</f>
        <v>0</v>
      </c>
    </row>
    <row r="754" customFormat="false" ht="12" hidden="false" customHeight="false" outlineLevel="0" collapsed="false">
      <c r="A754" s="3" t="n">
        <f aca="false">A753+1</f>
        <v>745</v>
      </c>
      <c r="B754" s="3" t="n">
        <f aca="false">IF(A754&lt;$N$4/3,0.1,(IF(A754&gt;2*$N$4/3,0.05,0.12)))</f>
        <v>0.05</v>
      </c>
      <c r="C754" s="4" t="n">
        <f aca="true">RAND()</f>
        <v>0.846294944871256</v>
      </c>
      <c r="D754" s="0" t="n">
        <f aca="false">IF((C754&gt;$M$2),1,0)</f>
        <v>0</v>
      </c>
      <c r="E754" s="0" t="n">
        <f aca="false">1-D754</f>
        <v>1</v>
      </c>
      <c r="F754" s="0" t="n">
        <f aca="true">RAND()</f>
        <v>0.785683665343642</v>
      </c>
      <c r="G754" s="0" t="n">
        <f aca="false">7.75+F754*10</f>
        <v>15.6068366534364</v>
      </c>
      <c r="H754" s="0" t="n">
        <f aca="false">LOGINV(F754,2.64,1.139)</f>
        <v>34.5206185772811</v>
      </c>
      <c r="I754" s="0" t="n">
        <v>19.5</v>
      </c>
      <c r="J754" s="4" t="n">
        <f aca="true">-LN(RAND())/B754</f>
        <v>9.56953083308406</v>
      </c>
      <c r="K754" s="4" t="n">
        <f aca="false">K753+J754</f>
        <v>7932.66671407747</v>
      </c>
      <c r="L754" s="4" t="n">
        <f aca="false">(1/$J$4)*(1+AB753)</f>
        <v>10</v>
      </c>
      <c r="M754" s="4" t="n">
        <f aca="false">L754+MAX(K754,Y$10:Y753)</f>
        <v>7943.09718324439</v>
      </c>
      <c r="N754" s="4" t="n">
        <f aca="false">K754</f>
        <v>7932.66671407747</v>
      </c>
      <c r="O754" s="4" t="n">
        <f aca="false">M754-K754</f>
        <v>10.4304691669158</v>
      </c>
      <c r="P754" s="4" t="n">
        <f aca="false">N754-K754</f>
        <v>0</v>
      </c>
      <c r="Q754" s="4" t="n">
        <f aca="false">A754-MATCH(K754,$M$9:M753,1)</f>
        <v>1</v>
      </c>
      <c r="R754" s="0" t="n">
        <f aca="false">-G754*(O754/3600)</f>
        <v>-0.0452185079185446</v>
      </c>
      <c r="S754" s="0" t="n">
        <f aca="false">-1*I754-(H754*(P754/3600))</f>
        <v>-19.5</v>
      </c>
      <c r="T754" s="0" t="n">
        <f aca="false">-H754*(O754/3600)</f>
        <v>-0.100018402136998</v>
      </c>
      <c r="U754" s="0" t="n">
        <f aca="false">T754-S754</f>
        <v>19.399981597863</v>
      </c>
      <c r="V754" s="0" t="n">
        <f aca="false">1/(1+EXP(U754))</f>
        <v>3.75573586476299E-009</v>
      </c>
      <c r="W754" s="0" t="n">
        <f aca="true">RAND()</f>
        <v>0.0690463668205863</v>
      </c>
      <c r="X754" s="0" t="n">
        <f aca="false">IF(W754&lt;V754,1,0)</f>
        <v>0</v>
      </c>
      <c r="Y754" s="0" t="n">
        <f aca="false">(M754*(1-X754)+N754*X754)*D754+M754*E754</f>
        <v>7943.09718324439</v>
      </c>
      <c r="Z754" s="0" t="n">
        <f aca="false">((1-X754)*O754+X754*P754)*D754+E754*O754</f>
        <v>10.4304691669158</v>
      </c>
      <c r="AA754" s="0" t="n">
        <f aca="false">IF(D754*X754&gt;0,AA753,Q754)</f>
        <v>1</v>
      </c>
      <c r="AB754" s="0" t="n">
        <f aca="false">(X754*D754)</f>
        <v>0</v>
      </c>
      <c r="AC754" s="0" t="n">
        <f aca="false">SUM(AB$10:AB753)/K754</f>
        <v>0.000126061012777126</v>
      </c>
      <c r="AD754" s="0" t="n">
        <f aca="false">R754*E754+D754*(X754*S754+(1-X754)*T754)</f>
        <v>-0.0452185079185446</v>
      </c>
      <c r="AE754" s="0" t="n">
        <f aca="false">Z754</f>
        <v>10.4304691669158</v>
      </c>
      <c r="AF754" s="0" t="n">
        <f aca="false">E754*O754</f>
        <v>10.4304691669158</v>
      </c>
      <c r="AG754" s="0" t="n">
        <f aca="false">((1-X754)*O754+X754*P754)*D754</f>
        <v>0</v>
      </c>
      <c r="AH754" s="0" t="n">
        <f aca="false">D754*(LN(EXP(S754)+EXP(T754)))</f>
        <v>-0</v>
      </c>
      <c r="AJ754" s="0" t="n">
        <f aca="false">$J$5</f>
        <v>10</v>
      </c>
      <c r="AK754" s="4" t="n">
        <f aca="false">AJ754+MAX(K754,AK$10:AK753)</f>
        <v>7943.09718324439</v>
      </c>
      <c r="AL754" s="5" t="n">
        <f aca="false">AK754-K754</f>
        <v>10.4304691669158</v>
      </c>
      <c r="AM754" s="0" t="n">
        <f aca="false">-G754*AL754/3600</f>
        <v>-0.0452185079185446</v>
      </c>
      <c r="AN754" s="0" t="n">
        <f aca="false">-H754*AL754/3600</f>
        <v>-0.100018402136998</v>
      </c>
      <c r="AO754" s="0" t="n">
        <f aca="false">AM754*E754+AN754*D754</f>
        <v>-0.0452185079185446</v>
      </c>
      <c r="AP754" s="0" t="n">
        <f aca="false">AL754*D754</f>
        <v>0</v>
      </c>
      <c r="AR754" s="0" t="n">
        <f aca="false">AN754*D754</f>
        <v>-0</v>
      </c>
      <c r="AS754" s="0" t="n">
        <f aca="false">AH754-AR754</f>
        <v>0</v>
      </c>
    </row>
    <row r="755" customFormat="false" ht="12" hidden="false" customHeight="false" outlineLevel="0" collapsed="false">
      <c r="A755" s="3" t="n">
        <f aca="false">A754+1</f>
        <v>746</v>
      </c>
      <c r="B755" s="3" t="n">
        <f aca="false">IF(A755&lt;$N$4/3,0.1,(IF(A755&gt;2*$N$4/3,0.05,0.12)))</f>
        <v>0.05</v>
      </c>
      <c r="C755" s="4" t="n">
        <f aca="true">RAND()</f>
        <v>0.961305424407847</v>
      </c>
      <c r="D755" s="0" t="n">
        <f aca="false">IF((C755&gt;$M$2),1,0)</f>
        <v>1</v>
      </c>
      <c r="E755" s="0" t="n">
        <f aca="false">1-D755</f>
        <v>0</v>
      </c>
      <c r="F755" s="0" t="n">
        <f aca="true">RAND()</f>
        <v>0.785651493083105</v>
      </c>
      <c r="G755" s="0" t="n">
        <f aca="false">7.75+F755*10</f>
        <v>15.6065149308311</v>
      </c>
      <c r="H755" s="0" t="n">
        <f aca="false">LOGINV(F755,2.64,1.139)</f>
        <v>34.5162817129221</v>
      </c>
      <c r="I755" s="0" t="n">
        <v>19.5</v>
      </c>
      <c r="J755" s="4" t="n">
        <f aca="true">-LN(RAND())/B755</f>
        <v>3.64094610566808</v>
      </c>
      <c r="K755" s="4" t="n">
        <f aca="false">K754+J755</f>
        <v>7936.30766018314</v>
      </c>
      <c r="L755" s="4" t="n">
        <f aca="false">(1/$J$4)*(1+AB754)</f>
        <v>10</v>
      </c>
      <c r="M755" s="4" t="n">
        <f aca="false">L755+MAX(K755,Y$10:Y754)</f>
        <v>7953.09718324439</v>
      </c>
      <c r="N755" s="4" t="n">
        <f aca="false">K755</f>
        <v>7936.30766018314</v>
      </c>
      <c r="O755" s="4" t="n">
        <f aca="false">M755-K755</f>
        <v>16.7895230612476</v>
      </c>
      <c r="P755" s="4" t="n">
        <f aca="false">N755-K755</f>
        <v>0</v>
      </c>
      <c r="Q755" s="4" t="n">
        <f aca="false">A755-MATCH(K755,$M$9:M754,1)</f>
        <v>1</v>
      </c>
      <c r="R755" s="0" t="n">
        <f aca="false">-G755*(O755/3600)</f>
        <v>-0.0727849839824701</v>
      </c>
      <c r="S755" s="0" t="n">
        <f aca="false">-1*I755-(H755*(P755/3600))</f>
        <v>-19.5</v>
      </c>
      <c r="T755" s="0" t="n">
        <f aca="false">-H755*(O755/3600)</f>
        <v>-0.160975529946562</v>
      </c>
      <c r="U755" s="0" t="n">
        <f aca="false">T755-S755</f>
        <v>19.3390244700534</v>
      </c>
      <c r="V755" s="0" t="n">
        <f aca="false">1/(1+EXP(U755))</f>
        <v>3.99179643096282E-009</v>
      </c>
      <c r="W755" s="0" t="n">
        <f aca="true">RAND()</f>
        <v>0.920999828515219</v>
      </c>
      <c r="X755" s="0" t="n">
        <f aca="false">IF(W755&lt;V755,1,0)</f>
        <v>0</v>
      </c>
      <c r="Y755" s="0" t="n">
        <f aca="false">(M755*(1-X755)+N755*X755)*D755+M755*E755</f>
        <v>7953.09718324439</v>
      </c>
      <c r="Z755" s="0" t="n">
        <f aca="false">((1-X755)*O755+X755*P755)*D755+E755*O755</f>
        <v>16.7895230612476</v>
      </c>
      <c r="AA755" s="0" t="n">
        <f aca="false">IF(D755*X755&gt;0,AA754,Q755)</f>
        <v>1</v>
      </c>
      <c r="AB755" s="0" t="n">
        <f aca="false">(X755*D755)</f>
        <v>0</v>
      </c>
      <c r="AC755" s="0" t="n">
        <f aca="false">SUM(AB$10:AB754)/K755</f>
        <v>0.000126003179667171</v>
      </c>
      <c r="AD755" s="0" t="n">
        <f aca="false">R755*E755+D755*(X755*S755+(1-X755)*T755)</f>
        <v>-0.160975529946562</v>
      </c>
      <c r="AE755" s="0" t="n">
        <f aca="false">Z755</f>
        <v>16.7895230612476</v>
      </c>
      <c r="AF755" s="0" t="n">
        <f aca="false">E755*O755</f>
        <v>0</v>
      </c>
      <c r="AG755" s="0" t="n">
        <f aca="false">((1-X755)*O755+X755*P755)*D755</f>
        <v>16.7895230612476</v>
      </c>
      <c r="AH755" s="0" t="n">
        <f aca="false">D755*(LN(EXP(S755)+EXP(T755)))</f>
        <v>-0.160975525954766</v>
      </c>
      <c r="AJ755" s="0" t="n">
        <f aca="false">$J$5</f>
        <v>10</v>
      </c>
      <c r="AK755" s="4" t="n">
        <f aca="false">AJ755+MAX(K755,AK$10:AK754)</f>
        <v>7953.09718324439</v>
      </c>
      <c r="AL755" s="5" t="n">
        <f aca="false">AK755-K755</f>
        <v>16.7895230612476</v>
      </c>
      <c r="AM755" s="0" t="n">
        <f aca="false">-G755*AL755/3600</f>
        <v>-0.0727849839824701</v>
      </c>
      <c r="AN755" s="0" t="n">
        <f aca="false">-H755*AL755/3600</f>
        <v>-0.160975529946562</v>
      </c>
      <c r="AO755" s="0" t="n">
        <f aca="false">AM755*E755+AN755*D755</f>
        <v>-0.160975529946562</v>
      </c>
      <c r="AP755" s="0" t="n">
        <f aca="false">AL755*D755</f>
        <v>16.7895230612476</v>
      </c>
      <c r="AR755" s="0" t="n">
        <f aca="false">AN755*D755</f>
        <v>-0.160975529946562</v>
      </c>
      <c r="AS755" s="0" t="n">
        <f aca="false">AH755-AR755</f>
        <v>3.99179639343217E-009</v>
      </c>
    </row>
    <row r="756" customFormat="false" ht="12" hidden="false" customHeight="false" outlineLevel="0" collapsed="false">
      <c r="A756" s="3" t="n">
        <f aca="false">A755+1</f>
        <v>747</v>
      </c>
      <c r="B756" s="3" t="n">
        <f aca="false">IF(A756&lt;$N$4/3,0.1,(IF(A756&gt;2*$N$4/3,0.05,0.12)))</f>
        <v>0.05</v>
      </c>
      <c r="C756" s="4" t="n">
        <f aca="true">RAND()</f>
        <v>0.441567465887162</v>
      </c>
      <c r="D756" s="0" t="n">
        <f aca="false">IF((C756&gt;$M$2),1,0)</f>
        <v>0</v>
      </c>
      <c r="E756" s="0" t="n">
        <f aca="false">1-D756</f>
        <v>1</v>
      </c>
      <c r="F756" s="0" t="n">
        <f aca="true">RAND()</f>
        <v>0.936179709136916</v>
      </c>
      <c r="G756" s="0" t="n">
        <f aca="false">7.75+F756*10</f>
        <v>17.1117970913692</v>
      </c>
      <c r="H756" s="0" t="n">
        <f aca="false">LOGINV(F756,2.64,1.139)</f>
        <v>79.4585075452919</v>
      </c>
      <c r="I756" s="0" t="n">
        <v>19.5</v>
      </c>
      <c r="J756" s="4" t="n">
        <f aca="true">-LN(RAND())/B756</f>
        <v>6.34237286350665</v>
      </c>
      <c r="K756" s="4" t="n">
        <f aca="false">K755+J756</f>
        <v>7942.65003304665</v>
      </c>
      <c r="L756" s="4" t="n">
        <f aca="false">(1/$J$4)*(1+AB755)</f>
        <v>10</v>
      </c>
      <c r="M756" s="4" t="n">
        <f aca="false">L756+MAX(K756,Y$10:Y755)</f>
        <v>7963.09718324439</v>
      </c>
      <c r="N756" s="4" t="n">
        <f aca="false">K756</f>
        <v>7942.65003304665</v>
      </c>
      <c r="O756" s="4" t="n">
        <f aca="false">M756-K756</f>
        <v>20.4471501977405</v>
      </c>
      <c r="P756" s="4" t="n">
        <f aca="false">N756-K756</f>
        <v>0</v>
      </c>
      <c r="Q756" s="4" t="n">
        <f aca="false">A756-MATCH(K756,$M$9:M755,1)</f>
        <v>2</v>
      </c>
      <c r="R756" s="0" t="n">
        <f aca="false">-G756*(O756/3600)</f>
        <v>-0.0971909681334677</v>
      </c>
      <c r="S756" s="0" t="n">
        <f aca="false">-1*I756-(H756*(P756/3600))</f>
        <v>-19.5</v>
      </c>
      <c r="T756" s="0" t="n">
        <f aca="false">-H756*(O756/3600)</f>
        <v>-0.451305566185244</v>
      </c>
      <c r="U756" s="0" t="n">
        <f aca="false">T756-S756</f>
        <v>19.0486944338148</v>
      </c>
      <c r="V756" s="0" t="n">
        <f aca="false">1/(1+EXP(U756))</f>
        <v>5.33650741999891E-009</v>
      </c>
      <c r="W756" s="0" t="n">
        <f aca="true">RAND()</f>
        <v>0.818411910018641</v>
      </c>
      <c r="X756" s="0" t="n">
        <f aca="false">IF(W756&lt;V756,1,0)</f>
        <v>0</v>
      </c>
      <c r="Y756" s="0" t="n">
        <f aca="false">(M756*(1-X756)+N756*X756)*D756+M756*E756</f>
        <v>7963.09718324439</v>
      </c>
      <c r="Z756" s="0" t="n">
        <f aca="false">((1-X756)*O756+X756*P756)*D756+E756*O756</f>
        <v>20.4471501977405</v>
      </c>
      <c r="AA756" s="0" t="n">
        <f aca="false">IF(D756*X756&gt;0,AA755,Q756)</f>
        <v>2</v>
      </c>
      <c r="AB756" s="0" t="n">
        <f aca="false">(X756*D756)</f>
        <v>0</v>
      </c>
      <c r="AC756" s="0" t="n">
        <f aca="false">SUM(AB$10:AB755)/K756</f>
        <v>0.000125902563481879</v>
      </c>
      <c r="AD756" s="0" t="n">
        <f aca="false">R756*E756+D756*(X756*S756+(1-X756)*T756)</f>
        <v>-0.0971909681334677</v>
      </c>
      <c r="AE756" s="0" t="n">
        <f aca="false">Z756</f>
        <v>20.4471501977405</v>
      </c>
      <c r="AF756" s="0" t="n">
        <f aca="false">E756*O756</f>
        <v>20.4471501977405</v>
      </c>
      <c r="AG756" s="0" t="n">
        <f aca="false">((1-X756)*O756+X756*P756)*D756</f>
        <v>0</v>
      </c>
      <c r="AH756" s="0" t="n">
        <f aca="false">D756*(LN(EXP(S756)+EXP(T756)))</f>
        <v>-0</v>
      </c>
      <c r="AJ756" s="0" t="n">
        <f aca="false">$J$5</f>
        <v>10</v>
      </c>
      <c r="AK756" s="4" t="n">
        <f aca="false">AJ756+MAX(K756,AK$10:AK755)</f>
        <v>7963.09718324439</v>
      </c>
      <c r="AL756" s="5" t="n">
        <f aca="false">AK756-K756</f>
        <v>20.4471501977405</v>
      </c>
      <c r="AM756" s="0" t="n">
        <f aca="false">-G756*AL756/3600</f>
        <v>-0.0971909681334677</v>
      </c>
      <c r="AN756" s="0" t="n">
        <f aca="false">-H756*AL756/3600</f>
        <v>-0.451305566185244</v>
      </c>
      <c r="AO756" s="0" t="n">
        <f aca="false">AM756*E756+AN756*D756</f>
        <v>-0.0971909681334677</v>
      </c>
      <c r="AP756" s="0" t="n">
        <f aca="false">AL756*D756</f>
        <v>0</v>
      </c>
      <c r="AR756" s="0" t="n">
        <f aca="false">AN756*D756</f>
        <v>-0</v>
      </c>
      <c r="AS756" s="0" t="n">
        <f aca="false">AH756-AR756</f>
        <v>0</v>
      </c>
    </row>
    <row r="757" customFormat="false" ht="12" hidden="false" customHeight="false" outlineLevel="0" collapsed="false">
      <c r="A757" s="3" t="n">
        <f aca="false">A756+1</f>
        <v>748</v>
      </c>
      <c r="B757" s="3" t="n">
        <f aca="false">IF(A757&lt;$N$4/3,0.1,(IF(A757&gt;2*$N$4/3,0.05,0.12)))</f>
        <v>0.05</v>
      </c>
      <c r="C757" s="4" t="n">
        <f aca="true">RAND()</f>
        <v>0.70745599373029</v>
      </c>
      <c r="D757" s="0" t="n">
        <f aca="false">IF((C757&gt;$M$2),1,0)</f>
        <v>0</v>
      </c>
      <c r="E757" s="0" t="n">
        <f aca="false">1-D757</f>
        <v>1</v>
      </c>
      <c r="F757" s="0" t="n">
        <f aca="true">RAND()</f>
        <v>0.0848766724022969</v>
      </c>
      <c r="G757" s="0" t="n">
        <f aca="false">7.75+F757*10</f>
        <v>8.59876672402297</v>
      </c>
      <c r="H757" s="0" t="n">
        <f aca="false">LOGINV(F757,2.64,1.139)</f>
        <v>2.93338385765719</v>
      </c>
      <c r="I757" s="0" t="n">
        <v>19.5</v>
      </c>
      <c r="J757" s="4" t="n">
        <f aca="true">-LN(RAND())/B757</f>
        <v>0.318339606417394</v>
      </c>
      <c r="K757" s="4" t="n">
        <f aca="false">K756+J757</f>
        <v>7942.96837265306</v>
      </c>
      <c r="L757" s="4" t="n">
        <f aca="false">(1/$J$4)*(1+AB756)</f>
        <v>10</v>
      </c>
      <c r="M757" s="4" t="n">
        <f aca="false">L757+MAX(K757,Y$10:Y756)</f>
        <v>7973.09718324439</v>
      </c>
      <c r="N757" s="4" t="n">
        <f aca="false">K757</f>
        <v>7942.96837265306</v>
      </c>
      <c r="O757" s="4" t="n">
        <f aca="false">M757-K757</f>
        <v>30.1288105913227</v>
      </c>
      <c r="P757" s="4" t="n">
        <f aca="false">N757-K757</f>
        <v>0</v>
      </c>
      <c r="Q757" s="4" t="n">
        <f aca="false">A757-MATCH(K757,$M$9:M756,1)</f>
        <v>3</v>
      </c>
      <c r="R757" s="0" t="n">
        <f aca="false">-G757*(O757/3600)</f>
        <v>-0.0719640594297379</v>
      </c>
      <c r="S757" s="0" t="n">
        <f aca="false">-1*I757-(H757*(P757/3600))</f>
        <v>-19.5</v>
      </c>
      <c r="T757" s="0" t="n">
        <f aca="false">-H757*(O757/3600)</f>
        <v>-0.0245498240663881</v>
      </c>
      <c r="U757" s="0" t="n">
        <f aca="false">T757-S757</f>
        <v>19.4754501759336</v>
      </c>
      <c r="V757" s="0" t="n">
        <f aca="false">1/(1+EXP(U757))</f>
        <v>3.48272717387314E-009</v>
      </c>
      <c r="W757" s="0" t="n">
        <f aca="true">RAND()</f>
        <v>0.0126543235484152</v>
      </c>
      <c r="X757" s="0" t="n">
        <f aca="false">IF(W757&lt;V757,1,0)</f>
        <v>0</v>
      </c>
      <c r="Y757" s="0" t="n">
        <f aca="false">(M757*(1-X757)+N757*X757)*D757+M757*E757</f>
        <v>7973.09718324439</v>
      </c>
      <c r="Z757" s="0" t="n">
        <f aca="false">((1-X757)*O757+X757*P757)*D757+E757*O757</f>
        <v>30.1288105913227</v>
      </c>
      <c r="AA757" s="0" t="n">
        <f aca="false">IF(D757*X757&gt;0,AA756,Q757)</f>
        <v>3</v>
      </c>
      <c r="AB757" s="0" t="n">
        <f aca="false">(X757*D757)</f>
        <v>0</v>
      </c>
      <c r="AC757" s="0" t="n">
        <f aca="false">SUM(AB$10:AB756)/K757</f>
        <v>0.000125897517538017</v>
      </c>
      <c r="AD757" s="0" t="n">
        <f aca="false">R757*E757+D757*(X757*S757+(1-X757)*T757)</f>
        <v>-0.0719640594297379</v>
      </c>
      <c r="AE757" s="0" t="n">
        <f aca="false">Z757</f>
        <v>30.1288105913227</v>
      </c>
      <c r="AF757" s="0" t="n">
        <f aca="false">E757*O757</f>
        <v>30.1288105913227</v>
      </c>
      <c r="AG757" s="0" t="n">
        <f aca="false">((1-X757)*O757+X757*P757)*D757</f>
        <v>0</v>
      </c>
      <c r="AH757" s="0" t="n">
        <f aca="false">D757*(LN(EXP(S757)+EXP(T757)))</f>
        <v>-0</v>
      </c>
      <c r="AJ757" s="0" t="n">
        <f aca="false">$J$5</f>
        <v>10</v>
      </c>
      <c r="AK757" s="4" t="n">
        <f aca="false">AJ757+MAX(K757,AK$10:AK756)</f>
        <v>7973.09718324439</v>
      </c>
      <c r="AL757" s="5" t="n">
        <f aca="false">AK757-K757</f>
        <v>30.1288105913227</v>
      </c>
      <c r="AM757" s="0" t="n">
        <f aca="false">-G757*AL757/3600</f>
        <v>-0.0719640594297379</v>
      </c>
      <c r="AN757" s="0" t="n">
        <f aca="false">-H757*AL757/3600</f>
        <v>-0.0245498240663881</v>
      </c>
      <c r="AO757" s="0" t="n">
        <f aca="false">AM757*E757+AN757*D757</f>
        <v>-0.0719640594297379</v>
      </c>
      <c r="AP757" s="0" t="n">
        <f aca="false">AL757*D757</f>
        <v>0</v>
      </c>
      <c r="AR757" s="0" t="n">
        <f aca="false">AN757*D757</f>
        <v>-0</v>
      </c>
      <c r="AS757" s="0" t="n">
        <f aca="false">AH757-AR757</f>
        <v>0</v>
      </c>
    </row>
    <row r="758" customFormat="false" ht="12" hidden="false" customHeight="false" outlineLevel="0" collapsed="false">
      <c r="A758" s="3" t="n">
        <f aca="false">A757+1</f>
        <v>749</v>
      </c>
      <c r="B758" s="3" t="n">
        <f aca="false">IF(A758&lt;$N$4/3,0.1,(IF(A758&gt;2*$N$4/3,0.05,0.12)))</f>
        <v>0.05</v>
      </c>
      <c r="C758" s="4" t="n">
        <f aca="true">RAND()</f>
        <v>0.590578642924752</v>
      </c>
      <c r="D758" s="0" t="n">
        <f aca="false">IF((C758&gt;$M$2),1,0)</f>
        <v>0</v>
      </c>
      <c r="E758" s="0" t="n">
        <f aca="false">1-D758</f>
        <v>1</v>
      </c>
      <c r="F758" s="0" t="n">
        <f aca="true">RAND()</f>
        <v>0.75665070149909</v>
      </c>
      <c r="G758" s="0" t="n">
        <f aca="false">7.75+F758*10</f>
        <v>15.3165070149909</v>
      </c>
      <c r="H758" s="0" t="n">
        <f aca="false">LOGINV(F758,2.64,1.139)</f>
        <v>30.9462996816637</v>
      </c>
      <c r="I758" s="0" t="n">
        <v>19.5</v>
      </c>
      <c r="J758" s="4" t="n">
        <f aca="true">-LN(RAND())/B758</f>
        <v>76.0139902415821</v>
      </c>
      <c r="K758" s="4" t="n">
        <f aca="false">K757+J758</f>
        <v>8018.98236289465</v>
      </c>
      <c r="L758" s="4" t="n">
        <f aca="false">(1/$J$4)*(1+AB757)</f>
        <v>10</v>
      </c>
      <c r="M758" s="4" t="n">
        <f aca="false">L758+MAX(K758,Y$10:Y757)</f>
        <v>8028.98236289465</v>
      </c>
      <c r="N758" s="4" t="n">
        <f aca="false">K758</f>
        <v>8018.98236289465</v>
      </c>
      <c r="O758" s="4" t="n">
        <f aca="false">M758-K758</f>
        <v>10</v>
      </c>
      <c r="P758" s="4" t="n">
        <f aca="false">N758-K758</f>
        <v>0</v>
      </c>
      <c r="Q758" s="4" t="n">
        <f aca="false">A758-MATCH(K758,$M$9:M757,1)</f>
        <v>0</v>
      </c>
      <c r="R758" s="0" t="n">
        <f aca="false">-G758*(O758/3600)</f>
        <v>-0.0425458528194192</v>
      </c>
      <c r="S758" s="0" t="n">
        <f aca="false">-1*I758-(H758*(P758/3600))</f>
        <v>-19.5</v>
      </c>
      <c r="T758" s="0" t="n">
        <f aca="false">-H758*(O758/3600)</f>
        <v>-0.0859619435601771</v>
      </c>
      <c r="U758" s="0" t="n">
        <f aca="false">T758-S758</f>
        <v>19.4140380564398</v>
      </c>
      <c r="V758" s="0" t="n">
        <f aca="false">1/(1+EXP(U758))</f>
        <v>3.70331282366296E-009</v>
      </c>
      <c r="W758" s="0" t="n">
        <f aca="true">RAND()</f>
        <v>0.310047583173318</v>
      </c>
      <c r="X758" s="0" t="n">
        <f aca="false">IF(W758&lt;V758,1,0)</f>
        <v>0</v>
      </c>
      <c r="Y758" s="0" t="n">
        <f aca="false">(M758*(1-X758)+N758*X758)*D758+M758*E758</f>
        <v>8028.98236289465</v>
      </c>
      <c r="Z758" s="0" t="n">
        <f aca="false">((1-X758)*O758+X758*P758)*D758+E758*O758</f>
        <v>10</v>
      </c>
      <c r="AA758" s="0" t="n">
        <f aca="false">IF(D758*X758&gt;0,AA757,Q758)</f>
        <v>0</v>
      </c>
      <c r="AB758" s="0" t="n">
        <f aca="false">(X758*D758)</f>
        <v>0</v>
      </c>
      <c r="AC758" s="0" t="n">
        <f aca="false">SUM(AB$10:AB757)/K758</f>
        <v>0.000124704102683551</v>
      </c>
      <c r="AD758" s="0" t="n">
        <f aca="false">R758*E758+D758*(X758*S758+(1-X758)*T758)</f>
        <v>-0.0425458528194192</v>
      </c>
      <c r="AE758" s="0" t="n">
        <f aca="false">Z758</f>
        <v>10</v>
      </c>
      <c r="AF758" s="0" t="n">
        <f aca="false">E758*O758</f>
        <v>10</v>
      </c>
      <c r="AG758" s="0" t="n">
        <f aca="false">((1-X758)*O758+X758*P758)*D758</f>
        <v>0</v>
      </c>
      <c r="AH758" s="0" t="n">
        <f aca="false">D758*(LN(EXP(S758)+EXP(T758)))</f>
        <v>-0</v>
      </c>
      <c r="AJ758" s="0" t="n">
        <f aca="false">$J$5</f>
        <v>10</v>
      </c>
      <c r="AK758" s="4" t="n">
        <f aca="false">AJ758+MAX(K758,AK$10:AK757)</f>
        <v>8028.98236289465</v>
      </c>
      <c r="AL758" s="5" t="n">
        <f aca="false">AK758-K758</f>
        <v>10</v>
      </c>
      <c r="AM758" s="0" t="n">
        <f aca="false">-G758*AL758/3600</f>
        <v>-0.0425458528194192</v>
      </c>
      <c r="AN758" s="0" t="n">
        <f aca="false">-H758*AL758/3600</f>
        <v>-0.0859619435601771</v>
      </c>
      <c r="AO758" s="0" t="n">
        <f aca="false">AM758*E758+AN758*D758</f>
        <v>-0.0425458528194192</v>
      </c>
      <c r="AP758" s="0" t="n">
        <f aca="false">AL758*D758</f>
        <v>0</v>
      </c>
      <c r="AR758" s="0" t="n">
        <f aca="false">AN758*D758</f>
        <v>-0</v>
      </c>
      <c r="AS758" s="0" t="n">
        <f aca="false">AH758-AR758</f>
        <v>0</v>
      </c>
    </row>
    <row r="759" customFormat="false" ht="12" hidden="false" customHeight="false" outlineLevel="0" collapsed="false">
      <c r="A759" s="3" t="n">
        <f aca="false">A758+1</f>
        <v>750</v>
      </c>
      <c r="B759" s="3" t="n">
        <f aca="false">IF(A759&lt;$N$4/3,0.1,(IF(A759&gt;2*$N$4/3,0.05,0.12)))</f>
        <v>0.05</v>
      </c>
      <c r="C759" s="4" t="n">
        <f aca="true">RAND()</f>
        <v>0.337355631894561</v>
      </c>
      <c r="D759" s="0" t="n">
        <f aca="false">IF((C759&gt;$M$2),1,0)</f>
        <v>0</v>
      </c>
      <c r="E759" s="0" t="n">
        <f aca="false">1-D759</f>
        <v>1</v>
      </c>
      <c r="F759" s="0" t="n">
        <f aca="true">RAND()</f>
        <v>0.719349491155333</v>
      </c>
      <c r="G759" s="0" t="n">
        <f aca="false">7.75+F759*10</f>
        <v>14.9434949115533</v>
      </c>
      <c r="H759" s="0" t="n">
        <f aca="false">LOGINV(F759,2.64,1.139)</f>
        <v>27.1575922965771</v>
      </c>
      <c r="I759" s="0" t="n">
        <v>19.5</v>
      </c>
      <c r="J759" s="4" t="n">
        <f aca="true">-LN(RAND())/B759</f>
        <v>6.37559151067915</v>
      </c>
      <c r="K759" s="4" t="n">
        <f aca="false">K758+J759</f>
        <v>8025.35795440533</v>
      </c>
      <c r="L759" s="4" t="n">
        <f aca="false">(1/$J$4)*(1+AB758)</f>
        <v>10</v>
      </c>
      <c r="M759" s="4" t="n">
        <f aca="false">L759+MAX(K759,Y$10:Y758)</f>
        <v>8038.98236289465</v>
      </c>
      <c r="N759" s="4" t="n">
        <f aca="false">K759</f>
        <v>8025.35795440533</v>
      </c>
      <c r="O759" s="4" t="n">
        <f aca="false">M759-K759</f>
        <v>13.6244084893206</v>
      </c>
      <c r="P759" s="4" t="n">
        <f aca="false">N759-K759</f>
        <v>0</v>
      </c>
      <c r="Q759" s="4" t="n">
        <f aca="false">A759-MATCH(K759,$M$9:M758,1)</f>
        <v>1</v>
      </c>
      <c r="R759" s="0" t="n">
        <f aca="false">-G759*(O759/3600)</f>
        <v>-0.0565545219258571</v>
      </c>
      <c r="S759" s="0" t="n">
        <f aca="false">-1*I759-(H759*(P759/3600))</f>
        <v>-19.5</v>
      </c>
      <c r="T759" s="0" t="n">
        <f aca="false">-H759*(O759/3600)</f>
        <v>-0.102779480843053</v>
      </c>
      <c r="U759" s="0" t="n">
        <f aca="false">T759-S759</f>
        <v>19.3972205191569</v>
      </c>
      <c r="V759" s="0" t="n">
        <f aca="false">1/(1+EXP(U759))</f>
        <v>3.76612007626129E-009</v>
      </c>
      <c r="W759" s="0" t="n">
        <f aca="true">RAND()</f>
        <v>0.877616435106166</v>
      </c>
      <c r="X759" s="0" t="n">
        <f aca="false">IF(W759&lt;V759,1,0)</f>
        <v>0</v>
      </c>
      <c r="Y759" s="0" t="n">
        <f aca="false">(M759*(1-X759)+N759*X759)*D759+M759*E759</f>
        <v>8038.98236289465</v>
      </c>
      <c r="Z759" s="0" t="n">
        <f aca="false">((1-X759)*O759+X759*P759)*D759+E759*O759</f>
        <v>13.6244084893206</v>
      </c>
      <c r="AA759" s="0" t="n">
        <f aca="false">IF(D759*X759&gt;0,AA758,Q759)</f>
        <v>1</v>
      </c>
      <c r="AB759" s="0" t="n">
        <f aca="false">(X759*D759)</f>
        <v>0</v>
      </c>
      <c r="AC759" s="0" t="n">
        <f aca="false">SUM(AB$10:AB758)/K759</f>
        <v>0.000124605033903949</v>
      </c>
      <c r="AD759" s="0" t="n">
        <f aca="false">R759*E759+D759*(X759*S759+(1-X759)*T759)</f>
        <v>-0.0565545219258571</v>
      </c>
      <c r="AE759" s="0" t="n">
        <f aca="false">Z759</f>
        <v>13.6244084893206</v>
      </c>
      <c r="AF759" s="0" t="n">
        <f aca="false">E759*O759</f>
        <v>13.6244084893206</v>
      </c>
      <c r="AG759" s="0" t="n">
        <f aca="false">((1-X759)*O759+X759*P759)*D759</f>
        <v>0</v>
      </c>
      <c r="AH759" s="0" t="n">
        <f aca="false">D759*(LN(EXP(S759)+EXP(T759)))</f>
        <v>-0</v>
      </c>
      <c r="AJ759" s="0" t="n">
        <f aca="false">$J$5</f>
        <v>10</v>
      </c>
      <c r="AK759" s="4" t="n">
        <f aca="false">AJ759+MAX(K759,AK$10:AK758)</f>
        <v>8038.98236289465</v>
      </c>
      <c r="AL759" s="5" t="n">
        <f aca="false">AK759-K759</f>
        <v>13.6244084893206</v>
      </c>
      <c r="AM759" s="0" t="n">
        <f aca="false">-G759*AL759/3600</f>
        <v>-0.0565545219258571</v>
      </c>
      <c r="AN759" s="0" t="n">
        <f aca="false">-H759*AL759/3600</f>
        <v>-0.102779480843053</v>
      </c>
      <c r="AO759" s="0" t="n">
        <f aca="false">AM759*E759+AN759*D759</f>
        <v>-0.0565545219258571</v>
      </c>
      <c r="AP759" s="0" t="n">
        <f aca="false">AL759*D759</f>
        <v>0</v>
      </c>
      <c r="AR759" s="0" t="n">
        <f aca="false">AN759*D759</f>
        <v>-0</v>
      </c>
      <c r="AS759" s="0" t="n">
        <f aca="false">AH759-AR759</f>
        <v>0</v>
      </c>
    </row>
    <row r="760" customFormat="false" ht="12" hidden="false" customHeight="false" outlineLevel="0" collapsed="false">
      <c r="A760" s="3" t="n">
        <f aca="false">A759+1</f>
        <v>751</v>
      </c>
      <c r="B760" s="3" t="n">
        <f aca="false">IF(A760&lt;$N$4/3,0.1,(IF(A760&gt;2*$N$4/3,0.05,0.12)))</f>
        <v>0.05</v>
      </c>
      <c r="C760" s="4" t="n">
        <f aca="true">RAND()</f>
        <v>0.694835571354726</v>
      </c>
      <c r="D760" s="0" t="n">
        <f aca="false">IF((C760&gt;$M$2),1,0)</f>
        <v>0</v>
      </c>
      <c r="E760" s="0" t="n">
        <f aca="false">1-D760</f>
        <v>1</v>
      </c>
      <c r="F760" s="0" t="n">
        <f aca="true">RAND()</f>
        <v>0.764983859148953</v>
      </c>
      <c r="G760" s="0" t="n">
        <f aca="false">7.75+F760*10</f>
        <v>15.3998385914895</v>
      </c>
      <c r="H760" s="0" t="n">
        <f aca="false">LOGINV(F760,2.64,1.139)</f>
        <v>31.9075869158216</v>
      </c>
      <c r="I760" s="0" t="n">
        <v>19.5</v>
      </c>
      <c r="J760" s="4" t="n">
        <f aca="true">-LN(RAND())/B760</f>
        <v>42.3823300072835</v>
      </c>
      <c r="K760" s="4" t="n">
        <f aca="false">K759+J760</f>
        <v>8067.74028441261</v>
      </c>
      <c r="L760" s="4" t="n">
        <f aca="false">(1/$J$4)*(1+AB759)</f>
        <v>10</v>
      </c>
      <c r="M760" s="4" t="n">
        <f aca="false">L760+MAX(K760,Y$10:Y759)</f>
        <v>8077.74028441261</v>
      </c>
      <c r="N760" s="4" t="n">
        <f aca="false">K760</f>
        <v>8067.74028441261</v>
      </c>
      <c r="O760" s="4" t="n">
        <f aca="false">M760-K760</f>
        <v>10</v>
      </c>
      <c r="P760" s="4" t="n">
        <f aca="false">N760-K760</f>
        <v>0</v>
      </c>
      <c r="Q760" s="4" t="n">
        <f aca="false">A760-MATCH(K760,$M$9:M759,1)</f>
        <v>0</v>
      </c>
      <c r="R760" s="0" t="n">
        <f aca="false">-G760*(O760/3600)</f>
        <v>-0.0427773294208042</v>
      </c>
      <c r="S760" s="0" t="n">
        <f aca="false">-1*I760-(H760*(P760/3600))</f>
        <v>-19.5</v>
      </c>
      <c r="T760" s="0" t="n">
        <f aca="false">-H760*(O760/3600)</f>
        <v>-0.0886321858772823</v>
      </c>
      <c r="U760" s="0" t="n">
        <f aca="false">T760-S760</f>
        <v>19.4113678141227</v>
      </c>
      <c r="V760" s="0" t="n">
        <f aca="false">1/(1+EXP(U760))</f>
        <v>3.71321478067021E-009</v>
      </c>
      <c r="W760" s="0" t="n">
        <f aca="true">RAND()</f>
        <v>0.473433260144682</v>
      </c>
      <c r="X760" s="0" t="n">
        <f aca="false">IF(W760&lt;V760,1,0)</f>
        <v>0</v>
      </c>
      <c r="Y760" s="0" t="n">
        <f aca="false">(M760*(1-X760)+N760*X760)*D760+M760*E760</f>
        <v>8077.74028441261</v>
      </c>
      <c r="Z760" s="0" t="n">
        <f aca="false">((1-X760)*O760+X760*P760)*D760+E760*O760</f>
        <v>10</v>
      </c>
      <c r="AA760" s="0" t="n">
        <f aca="false">IF(D760*X760&gt;0,AA759,Q760)</f>
        <v>0</v>
      </c>
      <c r="AB760" s="0" t="n">
        <f aca="false">(X760*D760)</f>
        <v>0</v>
      </c>
      <c r="AC760" s="0" t="n">
        <f aca="false">SUM(AB$10:AB759)/K760</f>
        <v>0.000123950445198647</v>
      </c>
      <c r="AD760" s="0" t="n">
        <f aca="false">R760*E760+D760*(X760*S760+(1-X760)*T760)</f>
        <v>-0.0427773294208042</v>
      </c>
      <c r="AE760" s="0" t="n">
        <f aca="false">Z760</f>
        <v>10</v>
      </c>
      <c r="AF760" s="0" t="n">
        <f aca="false">E760*O760</f>
        <v>10</v>
      </c>
      <c r="AG760" s="0" t="n">
        <f aca="false">((1-X760)*O760+X760*P760)*D760</f>
        <v>0</v>
      </c>
      <c r="AH760" s="0" t="n">
        <f aca="false">D760*(LN(EXP(S760)+EXP(T760)))</f>
        <v>-0</v>
      </c>
      <c r="AJ760" s="0" t="n">
        <f aca="false">$J$5</f>
        <v>10</v>
      </c>
      <c r="AK760" s="4" t="n">
        <f aca="false">AJ760+MAX(K760,AK$10:AK759)</f>
        <v>8077.74028441261</v>
      </c>
      <c r="AL760" s="5" t="n">
        <f aca="false">AK760-K760</f>
        <v>10</v>
      </c>
      <c r="AM760" s="0" t="n">
        <f aca="false">-G760*AL760/3600</f>
        <v>-0.0427773294208042</v>
      </c>
      <c r="AN760" s="0" t="n">
        <f aca="false">-H760*AL760/3600</f>
        <v>-0.0886321858772823</v>
      </c>
      <c r="AO760" s="0" t="n">
        <f aca="false">AM760*E760+AN760*D760</f>
        <v>-0.0427773294208042</v>
      </c>
      <c r="AP760" s="0" t="n">
        <f aca="false">AL760*D760</f>
        <v>0</v>
      </c>
      <c r="AR760" s="0" t="n">
        <f aca="false">AN760*D760</f>
        <v>-0</v>
      </c>
      <c r="AS760" s="0" t="n">
        <f aca="false">AH760-AR760</f>
        <v>0</v>
      </c>
    </row>
    <row r="761" customFormat="false" ht="12" hidden="false" customHeight="false" outlineLevel="0" collapsed="false">
      <c r="A761" s="3" t="n">
        <f aca="false">A760+1</f>
        <v>752</v>
      </c>
      <c r="B761" s="3" t="n">
        <f aca="false">IF(A761&lt;$N$4/3,0.1,(IF(A761&gt;2*$N$4/3,0.05,0.12)))</f>
        <v>0.05</v>
      </c>
      <c r="C761" s="4" t="n">
        <f aca="true">RAND()</f>
        <v>0.427157404631012</v>
      </c>
      <c r="D761" s="0" t="n">
        <f aca="false">IF((C761&gt;$M$2),1,0)</f>
        <v>0</v>
      </c>
      <c r="E761" s="0" t="n">
        <f aca="false">1-D761</f>
        <v>1</v>
      </c>
      <c r="F761" s="0" t="n">
        <f aca="true">RAND()</f>
        <v>0.968180211529729</v>
      </c>
      <c r="G761" s="0" t="n">
        <f aca="false">7.75+F761*10</f>
        <v>17.4318021152973</v>
      </c>
      <c r="H761" s="0" t="n">
        <f aca="false">LOGINV(F761,2.64,1.139)</f>
        <v>115.873528962009</v>
      </c>
      <c r="I761" s="0" t="n">
        <v>19.5</v>
      </c>
      <c r="J761" s="4" t="n">
        <f aca="true">-LN(RAND())/B761</f>
        <v>21.8352974842407</v>
      </c>
      <c r="K761" s="4" t="n">
        <f aca="false">K760+J761</f>
        <v>8089.57558189685</v>
      </c>
      <c r="L761" s="4" t="n">
        <f aca="false">(1/$J$4)*(1+AB760)</f>
        <v>10</v>
      </c>
      <c r="M761" s="4" t="n">
        <f aca="false">L761+MAX(K761,Y$10:Y760)</f>
        <v>8099.57558189685</v>
      </c>
      <c r="N761" s="4" t="n">
        <f aca="false">K761</f>
        <v>8089.57558189685</v>
      </c>
      <c r="O761" s="4" t="n">
        <f aca="false">M761-K761</f>
        <v>10</v>
      </c>
      <c r="P761" s="4" t="n">
        <f aca="false">N761-K761</f>
        <v>0</v>
      </c>
      <c r="Q761" s="4" t="n">
        <f aca="false">A761-MATCH(K761,$M$9:M760,1)</f>
        <v>0</v>
      </c>
      <c r="R761" s="0" t="n">
        <f aca="false">-G761*(O761/3600)</f>
        <v>-0.0484216725424925</v>
      </c>
      <c r="S761" s="0" t="n">
        <f aca="false">-1*I761-(H761*(P761/3600))</f>
        <v>-19.5</v>
      </c>
      <c r="T761" s="0" t="n">
        <f aca="false">-H761*(O761/3600)</f>
        <v>-0.321870913783357</v>
      </c>
      <c r="U761" s="0" t="n">
        <f aca="false">T761-S761</f>
        <v>19.1781290862166</v>
      </c>
      <c r="V761" s="0" t="n">
        <f aca="false">1/(1+EXP(U761))</f>
        <v>4.68861273241637E-009</v>
      </c>
      <c r="W761" s="0" t="n">
        <f aca="true">RAND()</f>
        <v>0.485891570905589</v>
      </c>
      <c r="X761" s="0" t="n">
        <f aca="false">IF(W761&lt;V761,1,0)</f>
        <v>0</v>
      </c>
      <c r="Y761" s="0" t="n">
        <f aca="false">(M761*(1-X761)+N761*X761)*D761+M761*E761</f>
        <v>8099.57558189685</v>
      </c>
      <c r="Z761" s="0" t="n">
        <f aca="false">((1-X761)*O761+X761*P761)*D761+E761*O761</f>
        <v>10</v>
      </c>
      <c r="AA761" s="0" t="n">
        <f aca="false">IF(D761*X761&gt;0,AA760,Q761)</f>
        <v>0</v>
      </c>
      <c r="AB761" s="0" t="n">
        <f aca="false">(X761*D761)</f>
        <v>0</v>
      </c>
      <c r="AC761" s="0" t="n">
        <f aca="false">SUM(AB$10:AB760)/K761</f>
        <v>0.00012361587945823</v>
      </c>
      <c r="AD761" s="0" t="n">
        <f aca="false">R761*E761+D761*(X761*S761+(1-X761)*T761)</f>
        <v>-0.0484216725424925</v>
      </c>
      <c r="AE761" s="0" t="n">
        <f aca="false">Z761</f>
        <v>10</v>
      </c>
      <c r="AF761" s="0" t="n">
        <f aca="false">E761*O761</f>
        <v>10</v>
      </c>
      <c r="AG761" s="0" t="n">
        <f aca="false">((1-X761)*O761+X761*P761)*D761</f>
        <v>0</v>
      </c>
      <c r="AH761" s="0" t="n">
        <f aca="false">D761*(LN(EXP(S761)+EXP(T761)))</f>
        <v>-0</v>
      </c>
      <c r="AJ761" s="0" t="n">
        <f aca="false">$J$5</f>
        <v>10</v>
      </c>
      <c r="AK761" s="4" t="n">
        <f aca="false">AJ761+MAX(K761,AK$10:AK760)</f>
        <v>8099.57558189685</v>
      </c>
      <c r="AL761" s="5" t="n">
        <f aca="false">AK761-K761</f>
        <v>10</v>
      </c>
      <c r="AM761" s="0" t="n">
        <f aca="false">-G761*AL761/3600</f>
        <v>-0.0484216725424925</v>
      </c>
      <c r="AN761" s="0" t="n">
        <f aca="false">-H761*AL761/3600</f>
        <v>-0.321870913783357</v>
      </c>
      <c r="AO761" s="0" t="n">
        <f aca="false">AM761*E761+AN761*D761</f>
        <v>-0.0484216725424925</v>
      </c>
      <c r="AP761" s="0" t="n">
        <f aca="false">AL761*D761</f>
        <v>0</v>
      </c>
      <c r="AR761" s="0" t="n">
        <f aca="false">AN761*D761</f>
        <v>-0</v>
      </c>
      <c r="AS761" s="0" t="n">
        <f aca="false">AH761-AR761</f>
        <v>0</v>
      </c>
    </row>
    <row r="762" customFormat="false" ht="12" hidden="false" customHeight="false" outlineLevel="0" collapsed="false">
      <c r="A762" s="3" t="n">
        <f aca="false">A761+1</f>
        <v>753</v>
      </c>
      <c r="B762" s="3" t="n">
        <f aca="false">IF(A762&lt;$N$4/3,0.1,(IF(A762&gt;2*$N$4/3,0.05,0.12)))</f>
        <v>0.05</v>
      </c>
      <c r="C762" s="4" t="n">
        <f aca="true">RAND()</f>
        <v>0.861735593677425</v>
      </c>
      <c r="D762" s="0" t="n">
        <f aca="false">IF((C762&gt;$M$2),1,0)</f>
        <v>0</v>
      </c>
      <c r="E762" s="0" t="n">
        <f aca="false">1-D762</f>
        <v>1</v>
      </c>
      <c r="F762" s="0" t="n">
        <f aca="true">RAND()</f>
        <v>0.179853318430621</v>
      </c>
      <c r="G762" s="0" t="n">
        <f aca="false">7.75+F762*10</f>
        <v>9.54853318430621</v>
      </c>
      <c r="H762" s="0" t="n">
        <f aca="false">LOGINV(F762,2.64,1.139)</f>
        <v>4.9370219295141</v>
      </c>
      <c r="I762" s="0" t="n">
        <v>19.5</v>
      </c>
      <c r="J762" s="4" t="n">
        <f aca="true">-LN(RAND())/B762</f>
        <v>22.0715035876851</v>
      </c>
      <c r="K762" s="4" t="n">
        <f aca="false">K761+J762</f>
        <v>8111.64708548454</v>
      </c>
      <c r="L762" s="4" t="n">
        <f aca="false">(1/$J$4)*(1+AB761)</f>
        <v>10</v>
      </c>
      <c r="M762" s="4" t="n">
        <f aca="false">L762+MAX(K762,Y$10:Y761)</f>
        <v>8121.64708548454</v>
      </c>
      <c r="N762" s="4" t="n">
        <f aca="false">K762</f>
        <v>8111.64708548454</v>
      </c>
      <c r="O762" s="4" t="n">
        <f aca="false">M762-K762</f>
        <v>10</v>
      </c>
      <c r="P762" s="4" t="n">
        <f aca="false">N762-K762</f>
        <v>0</v>
      </c>
      <c r="Q762" s="4" t="n">
        <f aca="false">A762-MATCH(K762,$M$9:M761,1)</f>
        <v>0</v>
      </c>
      <c r="R762" s="0" t="n">
        <f aca="false">-G762*(O762/3600)</f>
        <v>-0.0265237032897395</v>
      </c>
      <c r="S762" s="0" t="n">
        <f aca="false">-1*I762-(H762*(P762/3600))</f>
        <v>-19.5</v>
      </c>
      <c r="T762" s="0" t="n">
        <f aca="false">-H762*(O762/3600)</f>
        <v>-0.0137139498042058</v>
      </c>
      <c r="U762" s="0" t="n">
        <f aca="false">T762-S762</f>
        <v>19.4862860501958</v>
      </c>
      <c r="V762" s="0" t="n">
        <f aca="false">1/(1+EXP(U762))</f>
        <v>3.44519250798163E-009</v>
      </c>
      <c r="W762" s="0" t="n">
        <f aca="true">RAND()</f>
        <v>0.563116213882561</v>
      </c>
      <c r="X762" s="0" t="n">
        <f aca="false">IF(W762&lt;V762,1,0)</f>
        <v>0</v>
      </c>
      <c r="Y762" s="0" t="n">
        <f aca="false">(M762*(1-X762)+N762*X762)*D762+M762*E762</f>
        <v>8121.64708548454</v>
      </c>
      <c r="Z762" s="0" t="n">
        <f aca="false">((1-X762)*O762+X762*P762)*D762+E762*O762</f>
        <v>10</v>
      </c>
      <c r="AA762" s="0" t="n">
        <f aca="false">IF(D762*X762&gt;0,AA761,Q762)</f>
        <v>0</v>
      </c>
      <c r="AB762" s="0" t="n">
        <f aca="false">(X762*D762)</f>
        <v>0</v>
      </c>
      <c r="AC762" s="0" t="n">
        <f aca="false">SUM(AB$10:AB761)/K762</f>
        <v>0.000123279525041155</v>
      </c>
      <c r="AD762" s="0" t="n">
        <f aca="false">R762*E762+D762*(X762*S762+(1-X762)*T762)</f>
        <v>-0.0265237032897395</v>
      </c>
      <c r="AE762" s="0" t="n">
        <f aca="false">Z762</f>
        <v>10</v>
      </c>
      <c r="AF762" s="0" t="n">
        <f aca="false">E762*O762</f>
        <v>10</v>
      </c>
      <c r="AG762" s="0" t="n">
        <f aca="false">((1-X762)*O762+X762*P762)*D762</f>
        <v>0</v>
      </c>
      <c r="AH762" s="0" t="n">
        <f aca="false">D762*(LN(EXP(S762)+EXP(T762)))</f>
        <v>-0</v>
      </c>
      <c r="AJ762" s="0" t="n">
        <f aca="false">$J$5</f>
        <v>10</v>
      </c>
      <c r="AK762" s="4" t="n">
        <f aca="false">AJ762+MAX(K762,AK$10:AK761)</f>
        <v>8121.64708548454</v>
      </c>
      <c r="AL762" s="5" t="n">
        <f aca="false">AK762-K762</f>
        <v>10</v>
      </c>
      <c r="AM762" s="0" t="n">
        <f aca="false">-G762*AL762/3600</f>
        <v>-0.0265237032897395</v>
      </c>
      <c r="AN762" s="0" t="n">
        <f aca="false">-H762*AL762/3600</f>
        <v>-0.0137139498042058</v>
      </c>
      <c r="AO762" s="0" t="n">
        <f aca="false">AM762*E762+AN762*D762</f>
        <v>-0.0265237032897395</v>
      </c>
      <c r="AP762" s="0" t="n">
        <f aca="false">AL762*D762</f>
        <v>0</v>
      </c>
      <c r="AR762" s="0" t="n">
        <f aca="false">AN762*D762</f>
        <v>-0</v>
      </c>
      <c r="AS762" s="0" t="n">
        <f aca="false">AH762-AR762</f>
        <v>0</v>
      </c>
    </row>
    <row r="763" customFormat="false" ht="12" hidden="false" customHeight="false" outlineLevel="0" collapsed="false">
      <c r="A763" s="3" t="n">
        <f aca="false">A762+1</f>
        <v>754</v>
      </c>
      <c r="B763" s="3" t="n">
        <f aca="false">IF(A763&lt;$N$4/3,0.1,(IF(A763&gt;2*$N$4/3,0.05,0.12)))</f>
        <v>0.05</v>
      </c>
      <c r="C763" s="4" t="n">
        <f aca="true">RAND()</f>
        <v>0.234677897901947</v>
      </c>
      <c r="D763" s="0" t="n">
        <f aca="false">IF((C763&gt;$M$2),1,0)</f>
        <v>0</v>
      </c>
      <c r="E763" s="0" t="n">
        <f aca="false">1-D763</f>
        <v>1</v>
      </c>
      <c r="F763" s="0" t="n">
        <f aca="true">RAND()</f>
        <v>0.383726841603302</v>
      </c>
      <c r="G763" s="0" t="n">
        <f aca="false">7.75+F763*10</f>
        <v>11.587268416033</v>
      </c>
      <c r="H763" s="0" t="n">
        <f aca="false">LOGINV(F763,2.64,1.139)</f>
        <v>10.0060456656932</v>
      </c>
      <c r="I763" s="0" t="n">
        <v>19.5</v>
      </c>
      <c r="J763" s="4" t="n">
        <f aca="true">-LN(RAND())/B763</f>
        <v>11.6883560487571</v>
      </c>
      <c r="K763" s="4" t="n">
        <f aca="false">K762+J763</f>
        <v>8123.33544153329</v>
      </c>
      <c r="L763" s="4" t="n">
        <f aca="false">(1/$J$4)*(1+AB762)</f>
        <v>10</v>
      </c>
      <c r="M763" s="4" t="n">
        <f aca="false">L763+MAX(K763,Y$10:Y762)</f>
        <v>8133.33544153329</v>
      </c>
      <c r="N763" s="4" t="n">
        <f aca="false">K763</f>
        <v>8123.33544153329</v>
      </c>
      <c r="O763" s="4" t="n">
        <f aca="false">M763-K763</f>
        <v>10</v>
      </c>
      <c r="P763" s="4" t="n">
        <f aca="false">N763-K763</f>
        <v>0</v>
      </c>
      <c r="Q763" s="4" t="n">
        <f aca="false">A763-MATCH(K763,$M$9:M762,1)</f>
        <v>0</v>
      </c>
      <c r="R763" s="0" t="n">
        <f aca="false">-G763*(O763/3600)</f>
        <v>-0.0321868567112028</v>
      </c>
      <c r="S763" s="0" t="n">
        <f aca="false">-1*I763-(H763*(P763/3600))</f>
        <v>-19.5</v>
      </c>
      <c r="T763" s="0" t="n">
        <f aca="false">-H763*(O763/3600)</f>
        <v>-0.0277945712935922</v>
      </c>
      <c r="U763" s="0" t="n">
        <f aca="false">T763-S763</f>
        <v>19.4722054287064</v>
      </c>
      <c r="V763" s="0" t="n">
        <f aca="false">1/(1+EXP(U763))</f>
        <v>3.4940460967652E-009</v>
      </c>
      <c r="W763" s="0" t="n">
        <f aca="true">RAND()</f>
        <v>0.19179969534446</v>
      </c>
      <c r="X763" s="0" t="n">
        <f aca="false">IF(W763&lt;V763,1,0)</f>
        <v>0</v>
      </c>
      <c r="Y763" s="0" t="n">
        <f aca="false">(M763*(1-X763)+N763*X763)*D763+M763*E763</f>
        <v>8133.33544153329</v>
      </c>
      <c r="Z763" s="0" t="n">
        <f aca="false">((1-X763)*O763+X763*P763)*D763+E763*O763</f>
        <v>10</v>
      </c>
      <c r="AA763" s="0" t="n">
        <f aca="false">IF(D763*X763&gt;0,AA762,Q763)</f>
        <v>0</v>
      </c>
      <c r="AB763" s="0" t="n">
        <f aca="false">(X763*D763)</f>
        <v>0</v>
      </c>
      <c r="AC763" s="0" t="n">
        <f aca="false">SUM(AB$10:AB762)/K763</f>
        <v>0.000123102142857128</v>
      </c>
      <c r="AD763" s="0" t="n">
        <f aca="false">R763*E763+D763*(X763*S763+(1-X763)*T763)</f>
        <v>-0.0321868567112028</v>
      </c>
      <c r="AE763" s="0" t="n">
        <f aca="false">Z763</f>
        <v>10</v>
      </c>
      <c r="AF763" s="0" t="n">
        <f aca="false">E763*O763</f>
        <v>10</v>
      </c>
      <c r="AG763" s="0" t="n">
        <f aca="false">((1-X763)*O763+X763*P763)*D763</f>
        <v>0</v>
      </c>
      <c r="AH763" s="0" t="n">
        <f aca="false">D763*(LN(EXP(S763)+EXP(T763)))</f>
        <v>-0</v>
      </c>
      <c r="AJ763" s="0" t="n">
        <f aca="false">$J$5</f>
        <v>10</v>
      </c>
      <c r="AK763" s="4" t="n">
        <f aca="false">AJ763+MAX(K763,AK$10:AK762)</f>
        <v>8133.33544153329</v>
      </c>
      <c r="AL763" s="5" t="n">
        <f aca="false">AK763-K763</f>
        <v>10</v>
      </c>
      <c r="AM763" s="0" t="n">
        <f aca="false">-G763*AL763/3600</f>
        <v>-0.0321868567112028</v>
      </c>
      <c r="AN763" s="0" t="n">
        <f aca="false">-H763*AL763/3600</f>
        <v>-0.0277945712935922</v>
      </c>
      <c r="AO763" s="0" t="n">
        <f aca="false">AM763*E763+AN763*D763</f>
        <v>-0.0321868567112028</v>
      </c>
      <c r="AP763" s="0" t="n">
        <f aca="false">AL763*D763</f>
        <v>0</v>
      </c>
      <c r="AR763" s="0" t="n">
        <f aca="false">AN763*D763</f>
        <v>-0</v>
      </c>
      <c r="AS763" s="0" t="n">
        <f aca="false">AH763-AR763</f>
        <v>0</v>
      </c>
    </row>
    <row r="764" customFormat="false" ht="12" hidden="false" customHeight="false" outlineLevel="0" collapsed="false">
      <c r="A764" s="3" t="n">
        <f aca="false">A763+1</f>
        <v>755</v>
      </c>
      <c r="B764" s="3" t="n">
        <f aca="false">IF(A764&lt;$N$4/3,0.1,(IF(A764&gt;2*$N$4/3,0.05,0.12)))</f>
        <v>0.05</v>
      </c>
      <c r="C764" s="4" t="n">
        <f aca="true">RAND()</f>
        <v>0.513005414056126</v>
      </c>
      <c r="D764" s="0" t="n">
        <f aca="false">IF((C764&gt;$M$2),1,0)</f>
        <v>0</v>
      </c>
      <c r="E764" s="0" t="n">
        <f aca="false">1-D764</f>
        <v>1</v>
      </c>
      <c r="F764" s="0" t="n">
        <f aca="true">RAND()</f>
        <v>0.457918069763135</v>
      </c>
      <c r="G764" s="0" t="n">
        <f aca="false">7.75+F764*10</f>
        <v>12.3291806976313</v>
      </c>
      <c r="H764" s="0" t="n">
        <f aca="false">LOGINV(F764,2.64,1.139)</f>
        <v>12.4240029415682</v>
      </c>
      <c r="I764" s="0" t="n">
        <v>19.5</v>
      </c>
      <c r="J764" s="4" t="n">
        <f aca="true">-LN(RAND())/B764</f>
        <v>3.90834443575295</v>
      </c>
      <c r="K764" s="4" t="n">
        <f aca="false">K763+J764</f>
        <v>8127.24378596904</v>
      </c>
      <c r="L764" s="4" t="n">
        <f aca="false">(1/$J$4)*(1+AB763)</f>
        <v>10</v>
      </c>
      <c r="M764" s="4" t="n">
        <f aca="false">L764+MAX(K764,Y$10:Y763)</f>
        <v>8143.33544153329</v>
      </c>
      <c r="N764" s="4" t="n">
        <f aca="false">K764</f>
        <v>8127.24378596904</v>
      </c>
      <c r="O764" s="4" t="n">
        <f aca="false">M764-K764</f>
        <v>16.0916555642471</v>
      </c>
      <c r="P764" s="4" t="n">
        <f aca="false">N764-K764</f>
        <v>0</v>
      </c>
      <c r="Q764" s="4" t="n">
        <f aca="false">A764-MATCH(K764,$M$9:M763,1)</f>
        <v>1</v>
      </c>
      <c r="R764" s="0" t="n">
        <f aca="false">-G764*(O764/3600)</f>
        <v>-0.0551102581043463</v>
      </c>
      <c r="S764" s="0" t="n">
        <f aca="false">-1*I764-(H764*(P764/3600))</f>
        <v>-19.5</v>
      </c>
      <c r="T764" s="0" t="n">
        <f aca="false">-H764*(O764/3600)</f>
        <v>-0.0555341044624745</v>
      </c>
      <c r="U764" s="0" t="n">
        <f aca="false">T764-S764</f>
        <v>19.4444658955375</v>
      </c>
      <c r="V764" s="0" t="n">
        <f aca="false">1/(1+EXP(U764))</f>
        <v>3.59232612306047E-009</v>
      </c>
      <c r="W764" s="0" t="n">
        <f aca="true">RAND()</f>
        <v>0.53505063363599</v>
      </c>
      <c r="X764" s="0" t="n">
        <f aca="false">IF(W764&lt;V764,1,0)</f>
        <v>0</v>
      </c>
      <c r="Y764" s="0" t="n">
        <f aca="false">(M764*(1-X764)+N764*X764)*D764+M764*E764</f>
        <v>8143.33544153329</v>
      </c>
      <c r="Z764" s="0" t="n">
        <f aca="false">((1-X764)*O764+X764*P764)*D764+E764*O764</f>
        <v>16.0916555642471</v>
      </c>
      <c r="AA764" s="0" t="n">
        <f aca="false">IF(D764*X764&gt;0,AA763,Q764)</f>
        <v>1</v>
      </c>
      <c r="AB764" s="0" t="n">
        <f aca="false">(X764*D764)</f>
        <v>0</v>
      </c>
      <c r="AC764" s="0" t="n">
        <f aca="false">SUM(AB$10:AB763)/K764</f>
        <v>0.000123042943750058</v>
      </c>
      <c r="AD764" s="0" t="n">
        <f aca="false">R764*E764+D764*(X764*S764+(1-X764)*T764)</f>
        <v>-0.0551102581043463</v>
      </c>
      <c r="AE764" s="0" t="n">
        <f aca="false">Z764</f>
        <v>16.0916555642471</v>
      </c>
      <c r="AF764" s="0" t="n">
        <f aca="false">E764*O764</f>
        <v>16.0916555642471</v>
      </c>
      <c r="AG764" s="0" t="n">
        <f aca="false">((1-X764)*O764+X764*P764)*D764</f>
        <v>0</v>
      </c>
      <c r="AH764" s="0" t="n">
        <f aca="false">D764*(LN(EXP(S764)+EXP(T764)))</f>
        <v>-0</v>
      </c>
      <c r="AJ764" s="0" t="n">
        <f aca="false">$J$5</f>
        <v>10</v>
      </c>
      <c r="AK764" s="4" t="n">
        <f aca="false">AJ764+MAX(K764,AK$10:AK763)</f>
        <v>8143.33544153329</v>
      </c>
      <c r="AL764" s="5" t="n">
        <f aca="false">AK764-K764</f>
        <v>16.0916555642471</v>
      </c>
      <c r="AM764" s="0" t="n">
        <f aca="false">-G764*AL764/3600</f>
        <v>-0.0551102581043463</v>
      </c>
      <c r="AN764" s="0" t="n">
        <f aca="false">-H764*AL764/3600</f>
        <v>-0.0555341044624745</v>
      </c>
      <c r="AO764" s="0" t="n">
        <f aca="false">AM764*E764+AN764*D764</f>
        <v>-0.0551102581043463</v>
      </c>
      <c r="AP764" s="0" t="n">
        <f aca="false">AL764*D764</f>
        <v>0</v>
      </c>
      <c r="AR764" s="0" t="n">
        <f aca="false">AN764*D764</f>
        <v>-0</v>
      </c>
      <c r="AS764" s="0" t="n">
        <f aca="false">AH764-AR764</f>
        <v>0</v>
      </c>
    </row>
    <row r="765" customFormat="false" ht="12" hidden="false" customHeight="false" outlineLevel="0" collapsed="false">
      <c r="A765" s="3" t="n">
        <f aca="false">A764+1</f>
        <v>756</v>
      </c>
      <c r="B765" s="3" t="n">
        <f aca="false">IF(A765&lt;$N$4/3,0.1,(IF(A765&gt;2*$N$4/3,0.05,0.12)))</f>
        <v>0.05</v>
      </c>
      <c r="C765" s="4" t="n">
        <f aca="true">RAND()</f>
        <v>0.404168739657718</v>
      </c>
      <c r="D765" s="0" t="n">
        <f aca="false">IF((C765&gt;$M$2),1,0)</f>
        <v>0</v>
      </c>
      <c r="E765" s="0" t="n">
        <f aca="false">1-D765</f>
        <v>1</v>
      </c>
      <c r="F765" s="0" t="n">
        <f aca="true">RAND()</f>
        <v>0.116400511092966</v>
      </c>
      <c r="G765" s="0" t="n">
        <f aca="false">7.75+F765*10</f>
        <v>8.91400511092966</v>
      </c>
      <c r="H765" s="0" t="n">
        <f aca="false">LOGINV(F765,2.64,1.139)</f>
        <v>3.60014526097864</v>
      </c>
      <c r="I765" s="0" t="n">
        <v>19.5</v>
      </c>
      <c r="J765" s="4" t="n">
        <f aca="true">-LN(RAND())/B765</f>
        <v>31.4278142870849</v>
      </c>
      <c r="K765" s="4" t="n">
        <f aca="false">K764+J765</f>
        <v>8158.67160025613</v>
      </c>
      <c r="L765" s="4" t="n">
        <f aca="false">(1/$J$4)*(1+AB764)</f>
        <v>10</v>
      </c>
      <c r="M765" s="4" t="n">
        <f aca="false">L765+MAX(K765,Y$10:Y764)</f>
        <v>8168.67160025613</v>
      </c>
      <c r="N765" s="4" t="n">
        <f aca="false">K765</f>
        <v>8158.67160025613</v>
      </c>
      <c r="O765" s="4" t="n">
        <f aca="false">M765-K765</f>
        <v>10</v>
      </c>
      <c r="P765" s="4" t="n">
        <f aca="false">N765-K765</f>
        <v>0</v>
      </c>
      <c r="Q765" s="4" t="n">
        <f aca="false">A765-MATCH(K765,$M$9:M764,1)</f>
        <v>0</v>
      </c>
      <c r="R765" s="0" t="n">
        <f aca="false">-G765*(O765/3600)</f>
        <v>-0.0247611253081379</v>
      </c>
      <c r="S765" s="0" t="n">
        <f aca="false">-1*I765-(H765*(P765/3600))</f>
        <v>-19.5</v>
      </c>
      <c r="T765" s="0" t="n">
        <f aca="false">-H765*(O765/3600)</f>
        <v>-0.0100004035027184</v>
      </c>
      <c r="U765" s="0" t="n">
        <f aca="false">T765-S765</f>
        <v>19.4899995964973</v>
      </c>
      <c r="V765" s="0" t="n">
        <f aca="false">1/(1+EXP(U765))</f>
        <v>3.4324223520877E-009</v>
      </c>
      <c r="W765" s="0" t="n">
        <f aca="true">RAND()</f>
        <v>0.556071992641514</v>
      </c>
      <c r="X765" s="0" t="n">
        <f aca="false">IF(W765&lt;V765,1,0)</f>
        <v>0</v>
      </c>
      <c r="Y765" s="0" t="n">
        <f aca="false">(M765*(1-X765)+N765*X765)*D765+M765*E765</f>
        <v>8168.67160025613</v>
      </c>
      <c r="Z765" s="0" t="n">
        <f aca="false">((1-X765)*O765+X765*P765)*D765+E765*O765</f>
        <v>10</v>
      </c>
      <c r="AA765" s="0" t="n">
        <f aca="false">IF(D765*X765&gt;0,AA764,Q765)</f>
        <v>0</v>
      </c>
      <c r="AB765" s="0" t="n">
        <f aca="false">(X765*D765)</f>
        <v>0</v>
      </c>
      <c r="AC765" s="0" t="n">
        <f aca="false">SUM(AB$10:AB764)/K765</f>
        <v>0.000122568973111825</v>
      </c>
      <c r="AD765" s="0" t="n">
        <f aca="false">R765*E765+D765*(X765*S765+(1-X765)*T765)</f>
        <v>-0.0247611253081379</v>
      </c>
      <c r="AE765" s="0" t="n">
        <f aca="false">Z765</f>
        <v>10</v>
      </c>
      <c r="AF765" s="0" t="n">
        <f aca="false">E765*O765</f>
        <v>10</v>
      </c>
      <c r="AG765" s="0" t="n">
        <f aca="false">((1-X765)*O765+X765*P765)*D765</f>
        <v>0</v>
      </c>
      <c r="AH765" s="0" t="n">
        <f aca="false">D765*(LN(EXP(S765)+EXP(T765)))</f>
        <v>-0</v>
      </c>
      <c r="AJ765" s="0" t="n">
        <f aca="false">$J$5</f>
        <v>10</v>
      </c>
      <c r="AK765" s="4" t="n">
        <f aca="false">AJ765+MAX(K765,AK$10:AK764)</f>
        <v>8168.67160025613</v>
      </c>
      <c r="AL765" s="5" t="n">
        <f aca="false">AK765-K765</f>
        <v>10</v>
      </c>
      <c r="AM765" s="0" t="n">
        <f aca="false">-G765*AL765/3600</f>
        <v>-0.0247611253081379</v>
      </c>
      <c r="AN765" s="0" t="n">
        <f aca="false">-H765*AL765/3600</f>
        <v>-0.0100004035027184</v>
      </c>
      <c r="AO765" s="0" t="n">
        <f aca="false">AM765*E765+AN765*D765</f>
        <v>-0.0247611253081379</v>
      </c>
      <c r="AP765" s="0" t="n">
        <f aca="false">AL765*D765</f>
        <v>0</v>
      </c>
      <c r="AR765" s="0" t="n">
        <f aca="false">AN765*D765</f>
        <v>-0</v>
      </c>
      <c r="AS765" s="0" t="n">
        <f aca="false">AH765-AR765</f>
        <v>0</v>
      </c>
    </row>
    <row r="766" customFormat="false" ht="12" hidden="false" customHeight="false" outlineLevel="0" collapsed="false">
      <c r="A766" s="3" t="n">
        <f aca="false">A765+1</f>
        <v>757</v>
      </c>
      <c r="B766" s="3" t="n">
        <f aca="false">IF(A766&lt;$N$4/3,0.1,(IF(A766&gt;2*$N$4/3,0.05,0.12)))</f>
        <v>0.05</v>
      </c>
      <c r="C766" s="4" t="n">
        <f aca="true">RAND()</f>
        <v>0.871334736375164</v>
      </c>
      <c r="D766" s="0" t="n">
        <f aca="false">IF((C766&gt;$M$2),1,0)</f>
        <v>0</v>
      </c>
      <c r="E766" s="0" t="n">
        <f aca="false">1-D766</f>
        <v>1</v>
      </c>
      <c r="F766" s="0" t="n">
        <f aca="true">RAND()</f>
        <v>0.929474851020714</v>
      </c>
      <c r="G766" s="0" t="n">
        <f aca="false">7.75+F766*10</f>
        <v>17.0447485102071</v>
      </c>
      <c r="H766" s="0" t="n">
        <f aca="false">LOGINV(F766,2.64,1.139)</f>
        <v>74.9247231472481</v>
      </c>
      <c r="I766" s="0" t="n">
        <v>19.5</v>
      </c>
      <c r="J766" s="4" t="n">
        <f aca="true">-LN(RAND())/B766</f>
        <v>32.7871560116795</v>
      </c>
      <c r="K766" s="4" t="n">
        <f aca="false">K765+J766</f>
        <v>8191.45875626781</v>
      </c>
      <c r="L766" s="4" t="n">
        <f aca="false">(1/$J$4)*(1+AB765)</f>
        <v>10</v>
      </c>
      <c r="M766" s="4" t="n">
        <f aca="false">L766+MAX(K766,Y$10:Y765)</f>
        <v>8201.45875626781</v>
      </c>
      <c r="N766" s="4" t="n">
        <f aca="false">K766</f>
        <v>8191.45875626781</v>
      </c>
      <c r="O766" s="4" t="n">
        <f aca="false">M766-K766</f>
        <v>10.0000000000009</v>
      </c>
      <c r="P766" s="4" t="n">
        <f aca="false">N766-K766</f>
        <v>0</v>
      </c>
      <c r="Q766" s="4" t="n">
        <f aca="false">A766-MATCH(K766,$M$9:M765,1)</f>
        <v>0</v>
      </c>
      <c r="R766" s="0" t="n">
        <f aca="false">-G766*(O766/3600)</f>
        <v>-0.0473465236394686</v>
      </c>
      <c r="S766" s="0" t="n">
        <f aca="false">-1*I766-(H766*(P766/3600))</f>
        <v>-19.5</v>
      </c>
      <c r="T766" s="0" t="n">
        <f aca="false">-H766*(O766/3600)</f>
        <v>-0.208124230964597</v>
      </c>
      <c r="U766" s="0" t="n">
        <f aca="false">T766-S766</f>
        <v>19.2918757690354</v>
      </c>
      <c r="V766" s="0" t="n">
        <f aca="false">1/(1+EXP(U766))</f>
        <v>4.18451188916769E-009</v>
      </c>
      <c r="W766" s="0" t="n">
        <f aca="true">RAND()</f>
        <v>0.833296394889252</v>
      </c>
      <c r="X766" s="0" t="n">
        <f aca="false">IF(W766&lt;V766,1,0)</f>
        <v>0</v>
      </c>
      <c r="Y766" s="0" t="n">
        <f aca="false">(M766*(1-X766)+N766*X766)*D766+M766*E766</f>
        <v>8201.45875626781</v>
      </c>
      <c r="Z766" s="0" t="n">
        <f aca="false">((1-X766)*O766+X766*P766)*D766+E766*O766</f>
        <v>10.0000000000009</v>
      </c>
      <c r="AA766" s="0" t="n">
        <f aca="false">IF(D766*X766&gt;0,AA765,Q766)</f>
        <v>0</v>
      </c>
      <c r="AB766" s="0" t="n">
        <f aca="false">(X766*D766)</f>
        <v>0</v>
      </c>
      <c r="AC766" s="0" t="n">
        <f aca="false">SUM(AB$10:AB765)/K766</f>
        <v>0.000122078378192997</v>
      </c>
      <c r="AD766" s="0" t="n">
        <f aca="false">R766*E766+D766*(X766*S766+(1-X766)*T766)</f>
        <v>-0.0473465236394686</v>
      </c>
      <c r="AE766" s="0" t="n">
        <f aca="false">Z766</f>
        <v>10.0000000000009</v>
      </c>
      <c r="AF766" s="0" t="n">
        <f aca="false">E766*O766</f>
        <v>10.0000000000009</v>
      </c>
      <c r="AG766" s="0" t="n">
        <f aca="false">((1-X766)*O766+X766*P766)*D766</f>
        <v>0</v>
      </c>
      <c r="AH766" s="0" t="n">
        <f aca="false">D766*(LN(EXP(S766)+EXP(T766)))</f>
        <v>-0</v>
      </c>
      <c r="AJ766" s="0" t="n">
        <f aca="false">$J$5</f>
        <v>10</v>
      </c>
      <c r="AK766" s="4" t="n">
        <f aca="false">AJ766+MAX(K766,AK$10:AK765)</f>
        <v>8201.45875626781</v>
      </c>
      <c r="AL766" s="5" t="n">
        <f aca="false">AK766-K766</f>
        <v>10.0000000000009</v>
      </c>
      <c r="AM766" s="0" t="n">
        <f aca="false">-G766*AL766/3600</f>
        <v>-0.0473465236394686</v>
      </c>
      <c r="AN766" s="0" t="n">
        <f aca="false">-H766*AL766/3600</f>
        <v>-0.208124230964597</v>
      </c>
      <c r="AO766" s="0" t="n">
        <f aca="false">AM766*E766+AN766*D766</f>
        <v>-0.0473465236394686</v>
      </c>
      <c r="AP766" s="0" t="n">
        <f aca="false">AL766*D766</f>
        <v>0</v>
      </c>
      <c r="AR766" s="0" t="n">
        <f aca="false">AN766*D766</f>
        <v>-0</v>
      </c>
      <c r="AS766" s="0" t="n">
        <f aca="false">AH766-AR766</f>
        <v>0</v>
      </c>
    </row>
    <row r="767" customFormat="false" ht="12" hidden="false" customHeight="false" outlineLevel="0" collapsed="false">
      <c r="A767" s="3" t="n">
        <f aca="false">A766+1</f>
        <v>758</v>
      </c>
      <c r="B767" s="3" t="n">
        <f aca="false">IF(A767&lt;$N$4/3,0.1,(IF(A767&gt;2*$N$4/3,0.05,0.12)))</f>
        <v>0.05</v>
      </c>
      <c r="C767" s="4" t="n">
        <f aca="true">RAND()</f>
        <v>0.663643378780412</v>
      </c>
      <c r="D767" s="0" t="n">
        <f aca="false">IF((C767&gt;$M$2),1,0)</f>
        <v>0</v>
      </c>
      <c r="E767" s="0" t="n">
        <f aca="false">1-D767</f>
        <v>1</v>
      </c>
      <c r="F767" s="0" t="n">
        <f aca="true">RAND()</f>
        <v>0.0364951597642186</v>
      </c>
      <c r="G767" s="0" t="n">
        <f aca="false">7.75+F767*10</f>
        <v>8.11495159764219</v>
      </c>
      <c r="H767" s="0" t="n">
        <f aca="false">LOGINV(F767,2.64,1.139)</f>
        <v>1.81829072989366</v>
      </c>
      <c r="I767" s="0" t="n">
        <v>19.5</v>
      </c>
      <c r="J767" s="4" t="n">
        <f aca="true">-LN(RAND())/B767</f>
        <v>13.0046791625255</v>
      </c>
      <c r="K767" s="4" t="n">
        <f aca="false">K766+J767</f>
        <v>8204.46343543033</v>
      </c>
      <c r="L767" s="4" t="n">
        <f aca="false">(1/$J$4)*(1+AB766)</f>
        <v>10</v>
      </c>
      <c r="M767" s="4" t="n">
        <f aca="false">L767+MAX(K767,Y$10:Y766)</f>
        <v>8214.46343543033</v>
      </c>
      <c r="N767" s="4" t="n">
        <f aca="false">K767</f>
        <v>8204.46343543033</v>
      </c>
      <c r="O767" s="4" t="n">
        <f aca="false">M767-K767</f>
        <v>10</v>
      </c>
      <c r="P767" s="4" t="n">
        <f aca="false">N767-K767</f>
        <v>0</v>
      </c>
      <c r="Q767" s="4" t="n">
        <f aca="false">A767-MATCH(K767,$M$9:M766,1)</f>
        <v>0</v>
      </c>
      <c r="R767" s="0" t="n">
        <f aca="false">-G767*(O767/3600)</f>
        <v>-0.0225415322156727</v>
      </c>
      <c r="S767" s="0" t="n">
        <f aca="false">-1*I767-(H767*(P767/3600))</f>
        <v>-19.5</v>
      </c>
      <c r="T767" s="0" t="n">
        <f aca="false">-H767*(O767/3600)</f>
        <v>-0.00505080758303795</v>
      </c>
      <c r="U767" s="0" t="n">
        <f aca="false">T767-S767</f>
        <v>19.494949192417</v>
      </c>
      <c r="V767" s="0" t="n">
        <f aca="false">1/(1+EXP(U767))</f>
        <v>3.415475223794E-009</v>
      </c>
      <c r="W767" s="0" t="n">
        <f aca="true">RAND()</f>
        <v>0.38170683002452</v>
      </c>
      <c r="X767" s="0" t="n">
        <f aca="false">IF(W767&lt;V767,1,0)</f>
        <v>0</v>
      </c>
      <c r="Y767" s="0" t="n">
        <f aca="false">(M767*(1-X767)+N767*X767)*D767+M767*E767</f>
        <v>8214.46343543033</v>
      </c>
      <c r="Z767" s="0" t="n">
        <f aca="false">((1-X767)*O767+X767*P767)*D767+E767*O767</f>
        <v>10</v>
      </c>
      <c r="AA767" s="0" t="n">
        <f aca="false">IF(D767*X767&gt;0,AA766,Q767)</f>
        <v>0</v>
      </c>
      <c r="AB767" s="0" t="n">
        <f aca="false">(X767*D767)</f>
        <v>0</v>
      </c>
      <c r="AC767" s="0" t="n">
        <f aca="false">SUM(AB$10:AB766)/K767</f>
        <v>0.000121884874967152</v>
      </c>
      <c r="AD767" s="0" t="n">
        <f aca="false">R767*E767+D767*(X767*S767+(1-X767)*T767)</f>
        <v>-0.0225415322156727</v>
      </c>
      <c r="AE767" s="0" t="n">
        <f aca="false">Z767</f>
        <v>10</v>
      </c>
      <c r="AF767" s="0" t="n">
        <f aca="false">E767*O767</f>
        <v>10</v>
      </c>
      <c r="AG767" s="0" t="n">
        <f aca="false">((1-X767)*O767+X767*P767)*D767</f>
        <v>0</v>
      </c>
      <c r="AH767" s="0" t="n">
        <f aca="false">D767*(LN(EXP(S767)+EXP(T767)))</f>
        <v>-0</v>
      </c>
      <c r="AJ767" s="0" t="n">
        <f aca="false">$J$5</f>
        <v>10</v>
      </c>
      <c r="AK767" s="4" t="n">
        <f aca="false">AJ767+MAX(K767,AK$10:AK766)</f>
        <v>8214.46343543033</v>
      </c>
      <c r="AL767" s="5" t="n">
        <f aca="false">AK767-K767</f>
        <v>10</v>
      </c>
      <c r="AM767" s="0" t="n">
        <f aca="false">-G767*AL767/3600</f>
        <v>-0.0225415322156727</v>
      </c>
      <c r="AN767" s="0" t="n">
        <f aca="false">-H767*AL767/3600</f>
        <v>-0.00505080758303795</v>
      </c>
      <c r="AO767" s="0" t="n">
        <f aca="false">AM767*E767+AN767*D767</f>
        <v>-0.0225415322156727</v>
      </c>
      <c r="AP767" s="0" t="n">
        <f aca="false">AL767*D767</f>
        <v>0</v>
      </c>
      <c r="AR767" s="0" t="n">
        <f aca="false">AN767*D767</f>
        <v>-0</v>
      </c>
      <c r="AS767" s="0" t="n">
        <f aca="false">AH767-AR767</f>
        <v>0</v>
      </c>
    </row>
    <row r="768" customFormat="false" ht="12" hidden="false" customHeight="false" outlineLevel="0" collapsed="false">
      <c r="A768" s="3" t="n">
        <f aca="false">A767+1</f>
        <v>759</v>
      </c>
      <c r="B768" s="3" t="n">
        <f aca="false">IF(A768&lt;$N$4/3,0.1,(IF(A768&gt;2*$N$4/3,0.05,0.12)))</f>
        <v>0.05</v>
      </c>
      <c r="C768" s="4" t="n">
        <f aca="true">RAND()</f>
        <v>0.187252908325334</v>
      </c>
      <c r="D768" s="0" t="n">
        <f aca="false">IF((C768&gt;$M$2),1,0)</f>
        <v>0</v>
      </c>
      <c r="E768" s="0" t="n">
        <f aca="false">1-D768</f>
        <v>1</v>
      </c>
      <c r="F768" s="0" t="n">
        <f aca="true">RAND()</f>
        <v>0.667404773690417</v>
      </c>
      <c r="G768" s="0" t="n">
        <f aca="false">7.75+F768*10</f>
        <v>14.4240477369042</v>
      </c>
      <c r="H768" s="0" t="n">
        <f aca="false">LOGINV(F768,2.64,1.139)</f>
        <v>22.9406759050132</v>
      </c>
      <c r="I768" s="0" t="n">
        <v>19.5</v>
      </c>
      <c r="J768" s="4" t="n">
        <f aca="true">-LN(RAND())/B768</f>
        <v>16.6662988962296</v>
      </c>
      <c r="K768" s="4" t="n">
        <f aca="false">K767+J768</f>
        <v>8221.12973432656</v>
      </c>
      <c r="L768" s="4" t="n">
        <f aca="false">(1/$J$4)*(1+AB767)</f>
        <v>10</v>
      </c>
      <c r="M768" s="4" t="n">
        <f aca="false">L768+MAX(K768,Y$10:Y767)</f>
        <v>8231.12973432656</v>
      </c>
      <c r="N768" s="4" t="n">
        <f aca="false">K768</f>
        <v>8221.12973432656</v>
      </c>
      <c r="O768" s="4" t="n">
        <f aca="false">M768-K768</f>
        <v>10</v>
      </c>
      <c r="P768" s="4" t="n">
        <f aca="false">N768-K768</f>
        <v>0</v>
      </c>
      <c r="Q768" s="4" t="n">
        <f aca="false">A768-MATCH(K768,$M$9:M767,1)</f>
        <v>0</v>
      </c>
      <c r="R768" s="0" t="n">
        <f aca="false">-G768*(O768/3600)</f>
        <v>-0.0400667992691783</v>
      </c>
      <c r="S768" s="0" t="n">
        <f aca="false">-1*I768-(H768*(P768/3600))</f>
        <v>-19.5</v>
      </c>
      <c r="T768" s="0" t="n">
        <f aca="false">-H768*(O768/3600)</f>
        <v>-0.0637240997361479</v>
      </c>
      <c r="U768" s="0" t="n">
        <f aca="false">T768-S768</f>
        <v>19.4362759002639</v>
      </c>
      <c r="V768" s="0" t="n">
        <f aca="false">1/(1+EXP(U768))</f>
        <v>3.62186806598024E-009</v>
      </c>
      <c r="W768" s="0" t="n">
        <f aca="true">RAND()</f>
        <v>0.479832767257102</v>
      </c>
      <c r="X768" s="0" t="n">
        <f aca="false">IF(W768&lt;V768,1,0)</f>
        <v>0</v>
      </c>
      <c r="Y768" s="0" t="n">
        <f aca="false">(M768*(1-X768)+N768*X768)*D768+M768*E768</f>
        <v>8231.12973432656</v>
      </c>
      <c r="Z768" s="0" t="n">
        <f aca="false">((1-X768)*O768+X768*P768)*D768+E768*O768</f>
        <v>10</v>
      </c>
      <c r="AA768" s="0" t="n">
        <f aca="false">IF(D768*X768&gt;0,AA767,Q768)</f>
        <v>0</v>
      </c>
      <c r="AB768" s="0" t="n">
        <f aca="false">(X768*D768)</f>
        <v>0</v>
      </c>
      <c r="AC768" s="0" t="n">
        <f aca="false">SUM(AB$10:AB767)/K768</f>
        <v>0.000121637783652117</v>
      </c>
      <c r="AD768" s="0" t="n">
        <f aca="false">R768*E768+D768*(X768*S768+(1-X768)*T768)</f>
        <v>-0.0400667992691783</v>
      </c>
      <c r="AE768" s="0" t="n">
        <f aca="false">Z768</f>
        <v>10</v>
      </c>
      <c r="AF768" s="0" t="n">
        <f aca="false">E768*O768</f>
        <v>10</v>
      </c>
      <c r="AG768" s="0" t="n">
        <f aca="false">((1-X768)*O768+X768*P768)*D768</f>
        <v>0</v>
      </c>
      <c r="AH768" s="0" t="n">
        <f aca="false">D768*(LN(EXP(S768)+EXP(T768)))</f>
        <v>-0</v>
      </c>
      <c r="AJ768" s="0" t="n">
        <f aca="false">$J$5</f>
        <v>10</v>
      </c>
      <c r="AK768" s="4" t="n">
        <f aca="false">AJ768+MAX(K768,AK$10:AK767)</f>
        <v>8231.12973432656</v>
      </c>
      <c r="AL768" s="5" t="n">
        <f aca="false">AK768-K768</f>
        <v>10</v>
      </c>
      <c r="AM768" s="0" t="n">
        <f aca="false">-G768*AL768/3600</f>
        <v>-0.0400667992691783</v>
      </c>
      <c r="AN768" s="0" t="n">
        <f aca="false">-H768*AL768/3600</f>
        <v>-0.0637240997361479</v>
      </c>
      <c r="AO768" s="0" t="n">
        <f aca="false">AM768*E768+AN768*D768</f>
        <v>-0.0400667992691783</v>
      </c>
      <c r="AP768" s="0" t="n">
        <f aca="false">AL768*D768</f>
        <v>0</v>
      </c>
      <c r="AR768" s="0" t="n">
        <f aca="false">AN768*D768</f>
        <v>-0</v>
      </c>
      <c r="AS768" s="0" t="n">
        <f aca="false">AH768-AR768</f>
        <v>0</v>
      </c>
    </row>
    <row r="769" customFormat="false" ht="12" hidden="false" customHeight="false" outlineLevel="0" collapsed="false">
      <c r="A769" s="3" t="n">
        <f aca="false">A768+1</f>
        <v>760</v>
      </c>
      <c r="B769" s="3" t="n">
        <f aca="false">IF(A769&lt;$N$4/3,0.1,(IF(A769&gt;2*$N$4/3,0.05,0.12)))</f>
        <v>0.05</v>
      </c>
      <c r="C769" s="4" t="n">
        <f aca="true">RAND()</f>
        <v>0.575284010367061</v>
      </c>
      <c r="D769" s="0" t="n">
        <f aca="false">IF((C769&gt;$M$2),1,0)</f>
        <v>0</v>
      </c>
      <c r="E769" s="0" t="n">
        <f aca="false">1-D769</f>
        <v>1</v>
      </c>
      <c r="F769" s="0" t="n">
        <f aca="true">RAND()</f>
        <v>0.219539917021813</v>
      </c>
      <c r="G769" s="0" t="n">
        <f aca="false">7.75+F769*10</f>
        <v>9.94539917021813</v>
      </c>
      <c r="H769" s="0" t="n">
        <f aca="false">LOGINV(F769,2.64,1.139)</f>
        <v>5.80489216286545</v>
      </c>
      <c r="I769" s="0" t="n">
        <v>19.5</v>
      </c>
      <c r="J769" s="4" t="n">
        <f aca="true">-LN(RAND())/B769</f>
        <v>4.14509751520467</v>
      </c>
      <c r="K769" s="4" t="n">
        <f aca="false">K768+J769</f>
        <v>8225.27483184177</v>
      </c>
      <c r="L769" s="4" t="n">
        <f aca="false">(1/$J$4)*(1+AB768)</f>
        <v>10</v>
      </c>
      <c r="M769" s="4" t="n">
        <f aca="false">L769+MAX(K769,Y$10:Y768)</f>
        <v>8241.12973432656</v>
      </c>
      <c r="N769" s="4" t="n">
        <f aca="false">K769</f>
        <v>8225.27483184177</v>
      </c>
      <c r="O769" s="4" t="n">
        <f aca="false">M769-K769</f>
        <v>15.8549024847962</v>
      </c>
      <c r="P769" s="4" t="n">
        <f aca="false">N769-K769</f>
        <v>0</v>
      </c>
      <c r="Q769" s="4" t="n">
        <f aca="false">A769-MATCH(K769,$M$9:M768,1)</f>
        <v>1</v>
      </c>
      <c r="R769" s="0" t="n">
        <f aca="false">-G769*(O769/3600)</f>
        <v>-0.0438009261156059</v>
      </c>
      <c r="S769" s="0" t="n">
        <f aca="false">-1*I769-(H769*(P769/3600))</f>
        <v>-19.5</v>
      </c>
      <c r="T769" s="0" t="n">
        <f aca="false">-H769*(O769/3600)</f>
        <v>-0.0255655553269415</v>
      </c>
      <c r="U769" s="0" t="n">
        <f aca="false">T769-S769</f>
        <v>19.4744344446731</v>
      </c>
      <c r="V769" s="0" t="n">
        <f aca="false">1/(1+EXP(U769))</f>
        <v>3.48626648591394E-009</v>
      </c>
      <c r="W769" s="0" t="n">
        <f aca="true">RAND()</f>
        <v>0.657851024873582</v>
      </c>
      <c r="X769" s="0" t="n">
        <f aca="false">IF(W769&lt;V769,1,0)</f>
        <v>0</v>
      </c>
      <c r="Y769" s="0" t="n">
        <f aca="false">(M769*(1-X769)+N769*X769)*D769+M769*E769</f>
        <v>8241.12973432656</v>
      </c>
      <c r="Z769" s="0" t="n">
        <f aca="false">((1-X769)*O769+X769*P769)*D769+E769*O769</f>
        <v>15.8549024847962</v>
      </c>
      <c r="AA769" s="0" t="n">
        <f aca="false">IF(D769*X769&gt;0,AA768,Q769)</f>
        <v>1</v>
      </c>
      <c r="AB769" s="0" t="n">
        <f aca="false">(X769*D769)</f>
        <v>0</v>
      </c>
      <c r="AC769" s="0" t="n">
        <f aca="false">SUM(AB$10:AB768)/K769</f>
        <v>0.000121576484730795</v>
      </c>
      <c r="AD769" s="0" t="n">
        <f aca="false">R769*E769+D769*(X769*S769+(1-X769)*T769)</f>
        <v>-0.0438009261156059</v>
      </c>
      <c r="AE769" s="0" t="n">
        <f aca="false">Z769</f>
        <v>15.8549024847962</v>
      </c>
      <c r="AF769" s="0" t="n">
        <f aca="false">E769*O769</f>
        <v>15.8549024847962</v>
      </c>
      <c r="AG769" s="0" t="n">
        <f aca="false">((1-X769)*O769+X769*P769)*D769</f>
        <v>0</v>
      </c>
      <c r="AH769" s="0" t="n">
        <f aca="false">D769*(LN(EXP(S769)+EXP(T769)))</f>
        <v>-0</v>
      </c>
      <c r="AJ769" s="0" t="n">
        <f aca="false">$J$5</f>
        <v>10</v>
      </c>
      <c r="AK769" s="4" t="n">
        <f aca="false">AJ769+MAX(K769,AK$10:AK768)</f>
        <v>8241.12973432656</v>
      </c>
      <c r="AL769" s="5" t="n">
        <f aca="false">AK769-K769</f>
        <v>15.8549024847962</v>
      </c>
      <c r="AM769" s="0" t="n">
        <f aca="false">-G769*AL769/3600</f>
        <v>-0.0438009261156059</v>
      </c>
      <c r="AN769" s="0" t="n">
        <f aca="false">-H769*AL769/3600</f>
        <v>-0.0255655553269415</v>
      </c>
      <c r="AO769" s="0" t="n">
        <f aca="false">AM769*E769+AN769*D769</f>
        <v>-0.0438009261156059</v>
      </c>
      <c r="AP769" s="0" t="n">
        <f aca="false">AL769*D769</f>
        <v>0</v>
      </c>
      <c r="AR769" s="0" t="n">
        <f aca="false">AN769*D769</f>
        <v>-0</v>
      </c>
      <c r="AS769" s="0" t="n">
        <f aca="false">AH769-AR769</f>
        <v>0</v>
      </c>
    </row>
    <row r="770" customFormat="false" ht="12" hidden="false" customHeight="false" outlineLevel="0" collapsed="false">
      <c r="A770" s="3" t="n">
        <f aca="false">A769+1</f>
        <v>761</v>
      </c>
      <c r="B770" s="3" t="n">
        <f aca="false">IF(A770&lt;$N$4/3,0.1,(IF(A770&gt;2*$N$4/3,0.05,0.12)))</f>
        <v>0.05</v>
      </c>
      <c r="C770" s="4" t="n">
        <f aca="true">RAND()</f>
        <v>0.362749045964324</v>
      </c>
      <c r="D770" s="0" t="n">
        <f aca="false">IF((C770&gt;$M$2),1,0)</f>
        <v>0</v>
      </c>
      <c r="E770" s="0" t="n">
        <f aca="false">1-D770</f>
        <v>1</v>
      </c>
      <c r="F770" s="0" t="n">
        <f aca="true">RAND()</f>
        <v>0.101279126218648</v>
      </c>
      <c r="G770" s="0" t="n">
        <f aca="false">7.75+F770*10</f>
        <v>8.76279126218648</v>
      </c>
      <c r="H770" s="0" t="n">
        <f aca="false">LOGINV(F770,2.64,1.139)</f>
        <v>3.28240357765389</v>
      </c>
      <c r="I770" s="0" t="n">
        <v>19.5</v>
      </c>
      <c r="J770" s="4" t="n">
        <f aca="true">-LN(RAND())/B770</f>
        <v>3.29943853530095</v>
      </c>
      <c r="K770" s="4" t="n">
        <f aca="false">K769+J770</f>
        <v>8228.57427037707</v>
      </c>
      <c r="L770" s="4" t="n">
        <f aca="false">(1/$J$4)*(1+AB769)</f>
        <v>10</v>
      </c>
      <c r="M770" s="4" t="n">
        <f aca="false">L770+MAX(K770,Y$10:Y769)</f>
        <v>8251.12973432656</v>
      </c>
      <c r="N770" s="4" t="n">
        <f aca="false">K770</f>
        <v>8228.57427037707</v>
      </c>
      <c r="O770" s="4" t="n">
        <f aca="false">M770-K770</f>
        <v>22.5554639494949</v>
      </c>
      <c r="P770" s="4" t="n">
        <f aca="false">N770-K770</f>
        <v>0</v>
      </c>
      <c r="Q770" s="4" t="n">
        <f aca="false">A770-MATCH(K770,$M$9:M769,1)</f>
        <v>2</v>
      </c>
      <c r="R770" s="0" t="n">
        <f aca="false">-G770*(O770/3600)</f>
        <v>-0.0549024506697766</v>
      </c>
      <c r="S770" s="0" t="n">
        <f aca="false">-1*I770-(H770*(P770/3600))</f>
        <v>-19.5</v>
      </c>
      <c r="T770" s="0" t="n">
        <f aca="false">-H770*(O770/3600)</f>
        <v>-0.0205655932120737</v>
      </c>
      <c r="U770" s="0" t="n">
        <f aca="false">T770-S770</f>
        <v>19.4794344067879</v>
      </c>
      <c r="V770" s="0" t="n">
        <f aca="false">1/(1+EXP(U770))</f>
        <v>3.46887879075483E-009</v>
      </c>
      <c r="W770" s="0" t="n">
        <f aca="true">RAND()</f>
        <v>0.971933264017287</v>
      </c>
      <c r="X770" s="0" t="n">
        <f aca="false">IF(W770&lt;V770,1,0)</f>
        <v>0</v>
      </c>
      <c r="Y770" s="0" t="n">
        <f aca="false">(M770*(1-X770)+N770*X770)*D770+M770*E770</f>
        <v>8251.12973432656</v>
      </c>
      <c r="Z770" s="0" t="n">
        <f aca="false">((1-X770)*O770+X770*P770)*D770+E770*O770</f>
        <v>22.5554639494949</v>
      </c>
      <c r="AA770" s="0" t="n">
        <f aca="false">IF(D770*X770&gt;0,AA769,Q770)</f>
        <v>2</v>
      </c>
      <c r="AB770" s="0" t="n">
        <f aca="false">(X770*D770)</f>
        <v>0</v>
      </c>
      <c r="AC770" s="0" t="n">
        <f aca="false">SUM(AB$10:AB769)/K770</f>
        <v>0.000121527735807163</v>
      </c>
      <c r="AD770" s="0" t="n">
        <f aca="false">R770*E770+D770*(X770*S770+(1-X770)*T770)</f>
        <v>-0.0549024506697766</v>
      </c>
      <c r="AE770" s="0" t="n">
        <f aca="false">Z770</f>
        <v>22.5554639494949</v>
      </c>
      <c r="AF770" s="0" t="n">
        <f aca="false">E770*O770</f>
        <v>22.5554639494949</v>
      </c>
      <c r="AG770" s="0" t="n">
        <f aca="false">((1-X770)*O770+X770*P770)*D770</f>
        <v>0</v>
      </c>
      <c r="AH770" s="0" t="n">
        <f aca="false">D770*(LN(EXP(S770)+EXP(T770)))</f>
        <v>-0</v>
      </c>
      <c r="AJ770" s="0" t="n">
        <f aca="false">$J$5</f>
        <v>10</v>
      </c>
      <c r="AK770" s="4" t="n">
        <f aca="false">AJ770+MAX(K770,AK$10:AK769)</f>
        <v>8251.12973432656</v>
      </c>
      <c r="AL770" s="5" t="n">
        <f aca="false">AK770-K770</f>
        <v>22.5554639494949</v>
      </c>
      <c r="AM770" s="0" t="n">
        <f aca="false">-G770*AL770/3600</f>
        <v>-0.0549024506697767</v>
      </c>
      <c r="AN770" s="0" t="n">
        <f aca="false">-H770*AL770/3600</f>
        <v>-0.0205655932120737</v>
      </c>
      <c r="AO770" s="0" t="n">
        <f aca="false">AM770*E770+AN770*D770</f>
        <v>-0.0549024506697767</v>
      </c>
      <c r="AP770" s="0" t="n">
        <f aca="false">AL770*D770</f>
        <v>0</v>
      </c>
      <c r="AR770" s="0" t="n">
        <f aca="false">AN770*D770</f>
        <v>-0</v>
      </c>
      <c r="AS770" s="0" t="n">
        <f aca="false">AH770-AR770</f>
        <v>0</v>
      </c>
    </row>
    <row r="771" customFormat="false" ht="12" hidden="false" customHeight="false" outlineLevel="0" collapsed="false">
      <c r="A771" s="3" t="n">
        <f aca="false">A770+1</f>
        <v>762</v>
      </c>
      <c r="B771" s="3" t="n">
        <f aca="false">IF(A771&lt;$N$4/3,0.1,(IF(A771&gt;2*$N$4/3,0.05,0.12)))</f>
        <v>0.05</v>
      </c>
      <c r="C771" s="4" t="n">
        <f aca="true">RAND()</f>
        <v>0.405890775485413</v>
      </c>
      <c r="D771" s="0" t="n">
        <f aca="false">IF((C771&gt;$M$2),1,0)</f>
        <v>0</v>
      </c>
      <c r="E771" s="0" t="n">
        <f aca="false">1-D771</f>
        <v>1</v>
      </c>
      <c r="F771" s="0" t="n">
        <f aca="true">RAND()</f>
        <v>0.513804009559053</v>
      </c>
      <c r="G771" s="0" t="n">
        <f aca="false">7.75+F771*10</f>
        <v>12.8880400955905</v>
      </c>
      <c r="H771" s="0" t="n">
        <f aca="false">LOGINV(F771,2.64,1.139)</f>
        <v>14.5766218119967</v>
      </c>
      <c r="I771" s="0" t="n">
        <v>19.5</v>
      </c>
      <c r="J771" s="4" t="n">
        <f aca="true">-LN(RAND())/B771</f>
        <v>41.7369267559086</v>
      </c>
      <c r="K771" s="4" t="n">
        <f aca="false">K770+J771</f>
        <v>8270.31119713298</v>
      </c>
      <c r="L771" s="4" t="n">
        <f aca="false">(1/$J$4)*(1+AB770)</f>
        <v>10</v>
      </c>
      <c r="M771" s="4" t="n">
        <f aca="false">L771+MAX(K771,Y$10:Y770)</f>
        <v>8280.31119713298</v>
      </c>
      <c r="N771" s="4" t="n">
        <f aca="false">K771</f>
        <v>8270.31119713298</v>
      </c>
      <c r="O771" s="4" t="n">
        <f aca="false">M771-K771</f>
        <v>10</v>
      </c>
      <c r="P771" s="4" t="n">
        <f aca="false">N771-K771</f>
        <v>0</v>
      </c>
      <c r="Q771" s="4" t="n">
        <f aca="false">A771-MATCH(K771,$M$9:M770,1)</f>
        <v>0</v>
      </c>
      <c r="R771" s="0" t="n">
        <f aca="false">-G771*(O771/3600)</f>
        <v>-0.0358001113766404</v>
      </c>
      <c r="S771" s="0" t="n">
        <f aca="false">-1*I771-(H771*(P771/3600))</f>
        <v>-19.5</v>
      </c>
      <c r="T771" s="0" t="n">
        <f aca="false">-H771*(O771/3600)</f>
        <v>-0.0404906161444353</v>
      </c>
      <c r="U771" s="0" t="n">
        <f aca="false">T771-S771</f>
        <v>19.4595093838556</v>
      </c>
      <c r="V771" s="0" t="n">
        <f aca="false">1/(1+EXP(U771))</f>
        <v>3.5386894599657E-009</v>
      </c>
      <c r="W771" s="0" t="n">
        <f aca="true">RAND()</f>
        <v>0.977869949364298</v>
      </c>
      <c r="X771" s="0" t="n">
        <f aca="false">IF(W771&lt;V771,1,0)</f>
        <v>0</v>
      </c>
      <c r="Y771" s="0" t="n">
        <f aca="false">(M771*(1-X771)+N771*X771)*D771+M771*E771</f>
        <v>8280.31119713298</v>
      </c>
      <c r="Z771" s="0" t="n">
        <f aca="false">((1-X771)*O771+X771*P771)*D771+E771*O771</f>
        <v>10</v>
      </c>
      <c r="AA771" s="0" t="n">
        <f aca="false">IF(D771*X771&gt;0,AA770,Q771)</f>
        <v>0</v>
      </c>
      <c r="AB771" s="0" t="n">
        <f aca="false">(X771*D771)</f>
        <v>0</v>
      </c>
      <c r="AC771" s="0" t="n">
        <f aca="false">SUM(AB$10:AB770)/K771</f>
        <v>0.000120914434313749</v>
      </c>
      <c r="AD771" s="0" t="n">
        <f aca="false">R771*E771+D771*(X771*S771+(1-X771)*T771)</f>
        <v>-0.0358001113766404</v>
      </c>
      <c r="AE771" s="0" t="n">
        <f aca="false">Z771</f>
        <v>10</v>
      </c>
      <c r="AF771" s="0" t="n">
        <f aca="false">E771*O771</f>
        <v>10</v>
      </c>
      <c r="AG771" s="0" t="n">
        <f aca="false">((1-X771)*O771+X771*P771)*D771</f>
        <v>0</v>
      </c>
      <c r="AH771" s="0" t="n">
        <f aca="false">D771*(LN(EXP(S771)+EXP(T771)))</f>
        <v>-0</v>
      </c>
      <c r="AJ771" s="0" t="n">
        <f aca="false">$J$5</f>
        <v>10</v>
      </c>
      <c r="AK771" s="4" t="n">
        <f aca="false">AJ771+MAX(K771,AK$10:AK770)</f>
        <v>8280.31119713298</v>
      </c>
      <c r="AL771" s="5" t="n">
        <f aca="false">AK771-K771</f>
        <v>10</v>
      </c>
      <c r="AM771" s="0" t="n">
        <f aca="false">-G771*AL771/3600</f>
        <v>-0.0358001113766403</v>
      </c>
      <c r="AN771" s="0" t="n">
        <f aca="false">-H771*AL771/3600</f>
        <v>-0.0404906161444353</v>
      </c>
      <c r="AO771" s="0" t="n">
        <f aca="false">AM771*E771+AN771*D771</f>
        <v>-0.0358001113766403</v>
      </c>
      <c r="AP771" s="0" t="n">
        <f aca="false">AL771*D771</f>
        <v>0</v>
      </c>
      <c r="AR771" s="0" t="n">
        <f aca="false">AN771*D771</f>
        <v>-0</v>
      </c>
      <c r="AS771" s="0" t="n">
        <f aca="false">AH771-AR771</f>
        <v>0</v>
      </c>
    </row>
    <row r="772" customFormat="false" ht="12" hidden="false" customHeight="false" outlineLevel="0" collapsed="false">
      <c r="A772" s="3" t="n">
        <f aca="false">A771+1</f>
        <v>763</v>
      </c>
      <c r="B772" s="3" t="n">
        <f aca="false">IF(A772&lt;$N$4/3,0.1,(IF(A772&gt;2*$N$4/3,0.05,0.12)))</f>
        <v>0.05</v>
      </c>
      <c r="C772" s="4" t="n">
        <f aca="true">RAND()</f>
        <v>0.929586853384767</v>
      </c>
      <c r="D772" s="0" t="n">
        <f aca="false">IF((C772&gt;$M$2),1,0)</f>
        <v>1</v>
      </c>
      <c r="E772" s="0" t="n">
        <f aca="false">1-D772</f>
        <v>0</v>
      </c>
      <c r="F772" s="0" t="n">
        <f aca="true">RAND()</f>
        <v>0.665752866670375</v>
      </c>
      <c r="G772" s="0" t="n">
        <f aca="false">7.75+F772*10</f>
        <v>14.4075286667038</v>
      </c>
      <c r="H772" s="0" t="n">
        <f aca="false">LOGINV(F772,2.64,1.139)</f>
        <v>22.8222834065011</v>
      </c>
      <c r="I772" s="0" t="n">
        <v>19.5</v>
      </c>
      <c r="J772" s="4" t="n">
        <f aca="true">-LN(RAND())/B772</f>
        <v>21.7968099108869</v>
      </c>
      <c r="K772" s="4" t="n">
        <f aca="false">K771+J772</f>
        <v>8292.10800704386</v>
      </c>
      <c r="L772" s="4" t="n">
        <f aca="false">(1/$J$4)*(1+AB771)</f>
        <v>10</v>
      </c>
      <c r="M772" s="4" t="n">
        <f aca="false">L772+MAX(K772,Y$10:Y771)</f>
        <v>8302.10800704386</v>
      </c>
      <c r="N772" s="4" t="n">
        <f aca="false">K772</f>
        <v>8292.10800704386</v>
      </c>
      <c r="O772" s="4" t="n">
        <f aca="false">M772-K772</f>
        <v>10</v>
      </c>
      <c r="P772" s="4" t="n">
        <f aca="false">N772-K772</f>
        <v>0</v>
      </c>
      <c r="Q772" s="4" t="n">
        <f aca="false">A772-MATCH(K772,$M$9:M771,1)</f>
        <v>0</v>
      </c>
      <c r="R772" s="0" t="n">
        <f aca="false">-G772*(O772/3600)</f>
        <v>-0.040020912963066</v>
      </c>
      <c r="S772" s="0" t="n">
        <f aca="false">-1*I772-(H772*(P772/3600))</f>
        <v>-19.5</v>
      </c>
      <c r="T772" s="0" t="n">
        <f aca="false">-H772*(O772/3600)</f>
        <v>-0.0633952316847252</v>
      </c>
      <c r="U772" s="0" t="n">
        <f aca="false">T772-S772</f>
        <v>19.4366047683153</v>
      </c>
      <c r="V772" s="0" t="n">
        <f aca="false">1/(1+EXP(U772))</f>
        <v>3.62067714512982E-009</v>
      </c>
      <c r="W772" s="0" t="n">
        <f aca="true">RAND()</f>
        <v>0.532052816776649</v>
      </c>
      <c r="X772" s="0" t="n">
        <f aca="false">IF(W772&lt;V772,1,0)</f>
        <v>0</v>
      </c>
      <c r="Y772" s="0" t="n">
        <f aca="false">(M772*(1-X772)+N772*X772)*D772+M772*E772</f>
        <v>8302.10800704386</v>
      </c>
      <c r="Z772" s="0" t="n">
        <f aca="false">((1-X772)*O772+X772*P772)*D772+E772*O772</f>
        <v>10</v>
      </c>
      <c r="AA772" s="0" t="n">
        <f aca="false">IF(D772*X772&gt;0,AA771,Q772)</f>
        <v>0</v>
      </c>
      <c r="AB772" s="0" t="n">
        <f aca="false">(X772*D772)</f>
        <v>0</v>
      </c>
      <c r="AC772" s="0" t="n">
        <f aca="false">SUM(AB$10:AB771)/K772</f>
        <v>0.000120596596082749</v>
      </c>
      <c r="AD772" s="0" t="n">
        <f aca="false">R772*E772+D772*(X772*S772+(1-X772)*T772)</f>
        <v>-0.0633952316847252</v>
      </c>
      <c r="AE772" s="0" t="n">
        <f aca="false">Z772</f>
        <v>10</v>
      </c>
      <c r="AF772" s="0" t="n">
        <f aca="false">E772*O772</f>
        <v>0</v>
      </c>
      <c r="AG772" s="0" t="n">
        <f aca="false">((1-X772)*O772+X772*P772)*D772</f>
        <v>10</v>
      </c>
      <c r="AH772" s="0" t="n">
        <f aca="false">D772*(LN(EXP(S772)+EXP(T772)))</f>
        <v>-0.0633952280640481</v>
      </c>
      <c r="AJ772" s="0" t="n">
        <f aca="false">$J$5</f>
        <v>10</v>
      </c>
      <c r="AK772" s="4" t="n">
        <f aca="false">AJ772+MAX(K772,AK$10:AK771)</f>
        <v>8302.10800704386</v>
      </c>
      <c r="AL772" s="5" t="n">
        <f aca="false">AK772-K772</f>
        <v>10</v>
      </c>
      <c r="AM772" s="0" t="n">
        <f aca="false">-G772*AL772/3600</f>
        <v>-0.040020912963066</v>
      </c>
      <c r="AN772" s="0" t="n">
        <f aca="false">-H772*AL772/3600</f>
        <v>-0.0633952316847252</v>
      </c>
      <c r="AO772" s="0" t="n">
        <f aca="false">AM772*E772+AN772*D772</f>
        <v>-0.0633952316847252</v>
      </c>
      <c r="AP772" s="0" t="n">
        <f aca="false">AL772*D772</f>
        <v>10</v>
      </c>
      <c r="AR772" s="0" t="n">
        <f aca="false">AN772*D772</f>
        <v>-0.0633952316847252</v>
      </c>
      <c r="AS772" s="0" t="n">
        <f aca="false">AH772-AR772</f>
        <v>3.62067711923153E-009</v>
      </c>
    </row>
    <row r="773" customFormat="false" ht="12" hidden="false" customHeight="false" outlineLevel="0" collapsed="false">
      <c r="A773" s="3" t="n">
        <f aca="false">A772+1</f>
        <v>764</v>
      </c>
      <c r="B773" s="3" t="n">
        <f aca="false">IF(A773&lt;$N$4/3,0.1,(IF(A773&gt;2*$N$4/3,0.05,0.12)))</f>
        <v>0.05</v>
      </c>
      <c r="C773" s="4" t="n">
        <f aca="true">RAND()</f>
        <v>0.615133227387876</v>
      </c>
      <c r="D773" s="0" t="n">
        <f aca="false">IF((C773&gt;$M$2),1,0)</f>
        <v>0</v>
      </c>
      <c r="E773" s="0" t="n">
        <f aca="false">1-D773</f>
        <v>1</v>
      </c>
      <c r="F773" s="0" t="n">
        <f aca="true">RAND()</f>
        <v>0.0692821113156494</v>
      </c>
      <c r="G773" s="0" t="n">
        <f aca="false">7.75+F773*10</f>
        <v>8.44282111315649</v>
      </c>
      <c r="H773" s="0" t="n">
        <f aca="false">LOGINV(F773,2.64,1.139)</f>
        <v>2.59337458969894</v>
      </c>
      <c r="I773" s="0" t="n">
        <v>19.5</v>
      </c>
      <c r="J773" s="4" t="n">
        <f aca="true">-LN(RAND())/B773</f>
        <v>10.7520471553124</v>
      </c>
      <c r="K773" s="4" t="n">
        <f aca="false">K772+J773</f>
        <v>8302.86005419918</v>
      </c>
      <c r="L773" s="4" t="n">
        <f aca="false">(1/$J$4)*(1+AB772)</f>
        <v>10</v>
      </c>
      <c r="M773" s="4" t="n">
        <f aca="false">L773+MAX(K773,Y$10:Y772)</f>
        <v>8312.86005419918</v>
      </c>
      <c r="N773" s="4" t="n">
        <f aca="false">K773</f>
        <v>8302.86005419918</v>
      </c>
      <c r="O773" s="4" t="n">
        <f aca="false">M773-K773</f>
        <v>10</v>
      </c>
      <c r="P773" s="4" t="n">
        <f aca="false">N773-K773</f>
        <v>0</v>
      </c>
      <c r="Q773" s="4" t="n">
        <f aca="false">A773-MATCH(K773,$M$9:M772,1)</f>
        <v>0</v>
      </c>
      <c r="R773" s="0" t="n">
        <f aca="false">-G773*(O773/3600)</f>
        <v>-0.0234522808698792</v>
      </c>
      <c r="S773" s="0" t="n">
        <f aca="false">-1*I773-(H773*(P773/3600))</f>
        <v>-19.5</v>
      </c>
      <c r="T773" s="0" t="n">
        <f aca="false">-H773*(O773/3600)</f>
        <v>-0.00720381830471927</v>
      </c>
      <c r="U773" s="0" t="n">
        <f aca="false">T773-S773</f>
        <v>19.4927961816953</v>
      </c>
      <c r="V773" s="0" t="n">
        <f aca="false">1/(1+EXP(U773))</f>
        <v>3.42283670037064E-009</v>
      </c>
      <c r="W773" s="0" t="n">
        <f aca="true">RAND()</f>
        <v>0.155109283874875</v>
      </c>
      <c r="X773" s="0" t="n">
        <f aca="false">IF(W773&lt;V773,1,0)</f>
        <v>0</v>
      </c>
      <c r="Y773" s="0" t="n">
        <f aca="false">(M773*(1-X773)+N773*X773)*D773+M773*E773</f>
        <v>8312.86005419918</v>
      </c>
      <c r="Z773" s="0" t="n">
        <f aca="false">((1-X773)*O773+X773*P773)*D773+E773*O773</f>
        <v>10</v>
      </c>
      <c r="AA773" s="0" t="n">
        <f aca="false">IF(D773*X773&gt;0,AA772,Q773)</f>
        <v>0</v>
      </c>
      <c r="AB773" s="0" t="n">
        <f aca="false">(X773*D773)</f>
        <v>0</v>
      </c>
      <c r="AC773" s="0" t="n">
        <f aca="false">SUM(AB$10:AB772)/K773</f>
        <v>0.000120440425765607</v>
      </c>
      <c r="AD773" s="0" t="n">
        <f aca="false">R773*E773+D773*(X773*S773+(1-X773)*T773)</f>
        <v>-0.0234522808698792</v>
      </c>
      <c r="AE773" s="0" t="n">
        <f aca="false">Z773</f>
        <v>10</v>
      </c>
      <c r="AF773" s="0" t="n">
        <f aca="false">E773*O773</f>
        <v>10</v>
      </c>
      <c r="AG773" s="0" t="n">
        <f aca="false">((1-X773)*O773+X773*P773)*D773</f>
        <v>0</v>
      </c>
      <c r="AH773" s="0" t="n">
        <f aca="false">D773*(LN(EXP(S773)+EXP(T773)))</f>
        <v>-0</v>
      </c>
      <c r="AJ773" s="0" t="n">
        <f aca="false">$J$5</f>
        <v>10</v>
      </c>
      <c r="AK773" s="4" t="n">
        <f aca="false">AJ773+MAX(K773,AK$10:AK772)</f>
        <v>8312.86005419918</v>
      </c>
      <c r="AL773" s="5" t="n">
        <f aca="false">AK773-K773</f>
        <v>10</v>
      </c>
      <c r="AM773" s="0" t="n">
        <f aca="false">-G773*AL773/3600</f>
        <v>-0.0234522808698792</v>
      </c>
      <c r="AN773" s="0" t="n">
        <f aca="false">-H773*AL773/3600</f>
        <v>-0.00720381830471927</v>
      </c>
      <c r="AO773" s="0" t="n">
        <f aca="false">AM773*E773+AN773*D773</f>
        <v>-0.0234522808698792</v>
      </c>
      <c r="AP773" s="0" t="n">
        <f aca="false">AL773*D773</f>
        <v>0</v>
      </c>
      <c r="AR773" s="0" t="n">
        <f aca="false">AN773*D773</f>
        <v>-0</v>
      </c>
      <c r="AS773" s="0" t="n">
        <f aca="false">AH773-AR773</f>
        <v>0</v>
      </c>
    </row>
    <row r="774" customFormat="false" ht="12" hidden="false" customHeight="false" outlineLevel="0" collapsed="false">
      <c r="A774" s="3" t="n">
        <f aca="false">A773+1</f>
        <v>765</v>
      </c>
      <c r="B774" s="3" t="n">
        <f aca="false">IF(A774&lt;$N$4/3,0.1,(IF(A774&gt;2*$N$4/3,0.05,0.12)))</f>
        <v>0.05</v>
      </c>
      <c r="C774" s="4" t="n">
        <f aca="true">RAND()</f>
        <v>0.0498831992104745</v>
      </c>
      <c r="D774" s="0" t="n">
        <f aca="false">IF((C774&gt;$M$2),1,0)</f>
        <v>0</v>
      </c>
      <c r="E774" s="0" t="n">
        <f aca="false">1-D774</f>
        <v>1</v>
      </c>
      <c r="F774" s="0" t="n">
        <f aca="true">RAND()</f>
        <v>0.18758070319751</v>
      </c>
      <c r="G774" s="0" t="n">
        <f aca="false">7.75+F774*10</f>
        <v>9.6258070319751</v>
      </c>
      <c r="H774" s="0" t="n">
        <f aca="false">LOGINV(F774,2.64,1.139)</f>
        <v>5.10327012671172</v>
      </c>
      <c r="I774" s="0" t="n">
        <v>19.5</v>
      </c>
      <c r="J774" s="4" t="n">
        <f aca="true">-LN(RAND())/B774</f>
        <v>31.4132444937406</v>
      </c>
      <c r="K774" s="4" t="n">
        <f aca="false">K773+J774</f>
        <v>8334.27329869292</v>
      </c>
      <c r="L774" s="4" t="n">
        <f aca="false">(1/$J$4)*(1+AB773)</f>
        <v>10</v>
      </c>
      <c r="M774" s="4" t="n">
        <f aca="false">L774+MAX(K774,Y$10:Y773)</f>
        <v>8344.27329869292</v>
      </c>
      <c r="N774" s="4" t="n">
        <f aca="false">K774</f>
        <v>8334.27329869292</v>
      </c>
      <c r="O774" s="4" t="n">
        <f aca="false">M774-K774</f>
        <v>10</v>
      </c>
      <c r="P774" s="4" t="n">
        <f aca="false">N774-K774</f>
        <v>0</v>
      </c>
      <c r="Q774" s="4" t="n">
        <f aca="false">A774-MATCH(K774,$M$9:M773,1)</f>
        <v>0</v>
      </c>
      <c r="R774" s="0" t="n">
        <f aca="false">-G774*(O774/3600)</f>
        <v>-0.0267383528665975</v>
      </c>
      <c r="S774" s="0" t="n">
        <f aca="false">-1*I774-(H774*(P774/3600))</f>
        <v>-19.5</v>
      </c>
      <c r="T774" s="0" t="n">
        <f aca="false">-H774*(O774/3600)</f>
        <v>-0.014175750351977</v>
      </c>
      <c r="U774" s="0" t="n">
        <f aca="false">T774-S774</f>
        <v>19.485824249648</v>
      </c>
      <c r="V774" s="0" t="n">
        <f aca="false">1/(1+EXP(U774))</f>
        <v>3.44678386718051E-009</v>
      </c>
      <c r="W774" s="0" t="n">
        <f aca="true">RAND()</f>
        <v>0.0785316792148096</v>
      </c>
      <c r="X774" s="0" t="n">
        <f aca="false">IF(W774&lt;V774,1,0)</f>
        <v>0</v>
      </c>
      <c r="Y774" s="0" t="n">
        <f aca="false">(M774*(1-X774)+N774*X774)*D774+M774*E774</f>
        <v>8344.27329869292</v>
      </c>
      <c r="Z774" s="0" t="n">
        <f aca="false">((1-X774)*O774+X774*P774)*D774+E774*O774</f>
        <v>10</v>
      </c>
      <c r="AA774" s="0" t="n">
        <f aca="false">IF(D774*X774&gt;0,AA773,Q774)</f>
        <v>0</v>
      </c>
      <c r="AB774" s="0" t="n">
        <f aca="false">(X774*D774)</f>
        <v>0</v>
      </c>
      <c r="AC774" s="0" t="n">
        <f aca="false">SUM(AB$10:AB773)/K774</f>
        <v>0.000119986466025398</v>
      </c>
      <c r="AD774" s="0" t="n">
        <f aca="false">R774*E774+D774*(X774*S774+(1-X774)*T774)</f>
        <v>-0.0267383528665975</v>
      </c>
      <c r="AE774" s="0" t="n">
        <f aca="false">Z774</f>
        <v>10</v>
      </c>
      <c r="AF774" s="0" t="n">
        <f aca="false">E774*O774</f>
        <v>10</v>
      </c>
      <c r="AG774" s="0" t="n">
        <f aca="false">((1-X774)*O774+X774*P774)*D774</f>
        <v>0</v>
      </c>
      <c r="AH774" s="0" t="n">
        <f aca="false">D774*(LN(EXP(S774)+EXP(T774)))</f>
        <v>-0</v>
      </c>
      <c r="AJ774" s="0" t="n">
        <f aca="false">$J$5</f>
        <v>10</v>
      </c>
      <c r="AK774" s="4" t="n">
        <f aca="false">AJ774+MAX(K774,AK$10:AK773)</f>
        <v>8344.27329869292</v>
      </c>
      <c r="AL774" s="5" t="n">
        <f aca="false">AK774-K774</f>
        <v>10</v>
      </c>
      <c r="AM774" s="0" t="n">
        <f aca="false">-G774*AL774/3600</f>
        <v>-0.0267383528665975</v>
      </c>
      <c r="AN774" s="0" t="n">
        <f aca="false">-H774*AL774/3600</f>
        <v>-0.014175750351977</v>
      </c>
      <c r="AO774" s="0" t="n">
        <f aca="false">AM774*E774+AN774*D774</f>
        <v>-0.0267383528665975</v>
      </c>
      <c r="AP774" s="0" t="n">
        <f aca="false">AL774*D774</f>
        <v>0</v>
      </c>
      <c r="AR774" s="0" t="n">
        <f aca="false">AN774*D774</f>
        <v>-0</v>
      </c>
      <c r="AS774" s="0" t="n">
        <f aca="false">AH774-AR774</f>
        <v>0</v>
      </c>
    </row>
    <row r="775" customFormat="false" ht="12" hidden="false" customHeight="false" outlineLevel="0" collapsed="false">
      <c r="A775" s="3" t="n">
        <f aca="false">A774+1</f>
        <v>766</v>
      </c>
      <c r="B775" s="3" t="n">
        <f aca="false">IF(A775&lt;$N$4/3,0.1,(IF(A775&gt;2*$N$4/3,0.05,0.12)))</f>
        <v>0.05</v>
      </c>
      <c r="C775" s="4" t="n">
        <f aca="true">RAND()</f>
        <v>0.473753444071799</v>
      </c>
      <c r="D775" s="0" t="n">
        <f aca="false">IF((C775&gt;$M$2),1,0)</f>
        <v>0</v>
      </c>
      <c r="E775" s="0" t="n">
        <f aca="false">1-D775</f>
        <v>1</v>
      </c>
      <c r="F775" s="0" t="n">
        <f aca="true">RAND()</f>
        <v>0.373036505232735</v>
      </c>
      <c r="G775" s="0" t="n">
        <f aca="false">7.75+F775*10</f>
        <v>11.4803650523273</v>
      </c>
      <c r="H775" s="0" t="n">
        <f aca="false">LOGINV(F775,2.64,1.139)</f>
        <v>9.69070384678051</v>
      </c>
      <c r="I775" s="0" t="n">
        <v>19.5</v>
      </c>
      <c r="J775" s="4" t="n">
        <f aca="true">-LN(RAND())/B775</f>
        <v>54.8206590234663</v>
      </c>
      <c r="K775" s="4" t="n">
        <f aca="false">K774+J775</f>
        <v>8389.09395771638</v>
      </c>
      <c r="L775" s="4" t="n">
        <f aca="false">(1/$J$4)*(1+AB774)</f>
        <v>10</v>
      </c>
      <c r="M775" s="4" t="n">
        <f aca="false">L775+MAX(K775,Y$10:Y774)</f>
        <v>8399.09395771638</v>
      </c>
      <c r="N775" s="4" t="n">
        <f aca="false">K775</f>
        <v>8389.09395771638</v>
      </c>
      <c r="O775" s="4" t="n">
        <f aca="false">M775-K775</f>
        <v>10</v>
      </c>
      <c r="P775" s="4" t="n">
        <f aca="false">N775-K775</f>
        <v>0</v>
      </c>
      <c r="Q775" s="4" t="n">
        <f aca="false">A775-MATCH(K775,$M$9:M774,1)</f>
        <v>0</v>
      </c>
      <c r="R775" s="0" t="n">
        <f aca="false">-G775*(O775/3600)</f>
        <v>-0.0318899029231315</v>
      </c>
      <c r="S775" s="0" t="n">
        <f aca="false">-1*I775-(H775*(P775/3600))</f>
        <v>-19.5</v>
      </c>
      <c r="T775" s="0" t="n">
        <f aca="false">-H775*(O775/3600)</f>
        <v>-0.0269186217966125</v>
      </c>
      <c r="U775" s="0" t="n">
        <f aca="false">T775-S775</f>
        <v>19.4730813782034</v>
      </c>
      <c r="V775" s="0" t="n">
        <f aca="false">1/(1+EXP(U775))</f>
        <v>3.49098682893266E-009</v>
      </c>
      <c r="W775" s="0" t="n">
        <f aca="true">RAND()</f>
        <v>0.833820505162243</v>
      </c>
      <c r="X775" s="0" t="n">
        <f aca="false">IF(W775&lt;V775,1,0)</f>
        <v>0</v>
      </c>
      <c r="Y775" s="0" t="n">
        <f aca="false">(M775*(1-X775)+N775*X775)*D775+M775*E775</f>
        <v>8399.09395771638</v>
      </c>
      <c r="Z775" s="0" t="n">
        <f aca="false">((1-X775)*O775+X775*P775)*D775+E775*O775</f>
        <v>10</v>
      </c>
      <c r="AA775" s="0" t="n">
        <f aca="false">IF(D775*X775&gt;0,AA774,Q775)</f>
        <v>0</v>
      </c>
      <c r="AB775" s="0" t="n">
        <f aca="false">(X775*D775)</f>
        <v>0</v>
      </c>
      <c r="AC775" s="0" t="n">
        <f aca="false">SUM(AB$10:AB774)/K775</f>
        <v>0.000119202384076315</v>
      </c>
      <c r="AD775" s="0" t="n">
        <f aca="false">R775*E775+D775*(X775*S775+(1-X775)*T775)</f>
        <v>-0.0318899029231315</v>
      </c>
      <c r="AE775" s="0" t="n">
        <f aca="false">Z775</f>
        <v>10</v>
      </c>
      <c r="AF775" s="0" t="n">
        <f aca="false">E775*O775</f>
        <v>10</v>
      </c>
      <c r="AG775" s="0" t="n">
        <f aca="false">((1-X775)*O775+X775*P775)*D775</f>
        <v>0</v>
      </c>
      <c r="AH775" s="0" t="n">
        <f aca="false">D775*(LN(EXP(S775)+EXP(T775)))</f>
        <v>-0</v>
      </c>
      <c r="AJ775" s="0" t="n">
        <f aca="false">$J$5</f>
        <v>10</v>
      </c>
      <c r="AK775" s="4" t="n">
        <f aca="false">AJ775+MAX(K775,AK$10:AK774)</f>
        <v>8399.09395771638</v>
      </c>
      <c r="AL775" s="5" t="n">
        <f aca="false">AK775-K775</f>
        <v>10</v>
      </c>
      <c r="AM775" s="0" t="n">
        <f aca="false">-G775*AL775/3600</f>
        <v>-0.0318899029231315</v>
      </c>
      <c r="AN775" s="0" t="n">
        <f aca="false">-H775*AL775/3600</f>
        <v>-0.0269186217966125</v>
      </c>
      <c r="AO775" s="0" t="n">
        <f aca="false">AM775*E775+AN775*D775</f>
        <v>-0.0318899029231315</v>
      </c>
      <c r="AP775" s="0" t="n">
        <f aca="false">AL775*D775</f>
        <v>0</v>
      </c>
      <c r="AR775" s="0" t="n">
        <f aca="false">AN775*D775</f>
        <v>-0</v>
      </c>
      <c r="AS775" s="0" t="n">
        <f aca="false">AH775-AR775</f>
        <v>0</v>
      </c>
    </row>
    <row r="776" customFormat="false" ht="12" hidden="false" customHeight="false" outlineLevel="0" collapsed="false">
      <c r="A776" s="3" t="n">
        <f aca="false">A775+1</f>
        <v>767</v>
      </c>
      <c r="B776" s="3" t="n">
        <f aca="false">IF(A776&lt;$N$4/3,0.1,(IF(A776&gt;2*$N$4/3,0.05,0.12)))</f>
        <v>0.05</v>
      </c>
      <c r="C776" s="4" t="n">
        <f aca="true">RAND()</f>
        <v>0.664323929608819</v>
      </c>
      <c r="D776" s="0" t="n">
        <f aca="false">IF((C776&gt;$M$2),1,0)</f>
        <v>0</v>
      </c>
      <c r="E776" s="0" t="n">
        <f aca="false">1-D776</f>
        <v>1</v>
      </c>
      <c r="F776" s="0" t="n">
        <f aca="true">RAND()</f>
        <v>0.175810984387866</v>
      </c>
      <c r="G776" s="0" t="n">
        <f aca="false">7.75+F776*10</f>
        <v>9.50810984387866</v>
      </c>
      <c r="H776" s="0" t="n">
        <f aca="false">LOGINV(F776,2.64,1.139)</f>
        <v>4.85049587894443</v>
      </c>
      <c r="I776" s="0" t="n">
        <v>19.5</v>
      </c>
      <c r="J776" s="4" t="n">
        <f aca="true">-LN(RAND())/B776</f>
        <v>0.872106327780341</v>
      </c>
      <c r="K776" s="4" t="n">
        <f aca="false">K775+J776</f>
        <v>8389.96606404416</v>
      </c>
      <c r="L776" s="4" t="n">
        <f aca="false">(1/$J$4)*(1+AB775)</f>
        <v>10</v>
      </c>
      <c r="M776" s="4" t="n">
        <f aca="false">L776+MAX(K776,Y$10:Y775)</f>
        <v>8409.09395771638</v>
      </c>
      <c r="N776" s="4" t="n">
        <f aca="false">K776</f>
        <v>8389.96606404416</v>
      </c>
      <c r="O776" s="4" t="n">
        <f aca="false">M776-K776</f>
        <v>19.1278936722192</v>
      </c>
      <c r="P776" s="4" t="n">
        <f aca="false">N776-K776</f>
        <v>0</v>
      </c>
      <c r="Q776" s="4" t="n">
        <f aca="false">A776-MATCH(K776,$M$9:M775,1)</f>
        <v>1</v>
      </c>
      <c r="R776" s="0" t="n">
        <f aca="false">-G776*(O776/3600)</f>
        <v>-0.0505194761437477</v>
      </c>
      <c r="S776" s="0" t="n">
        <f aca="false">-1*I776-(H776*(P776/3600))</f>
        <v>-19.5</v>
      </c>
      <c r="T776" s="0" t="n">
        <f aca="false">-H776*(O776/3600)</f>
        <v>-0.0257721581749963</v>
      </c>
      <c r="U776" s="0" t="n">
        <f aca="false">T776-S776</f>
        <v>19.474227841825</v>
      </c>
      <c r="V776" s="0" t="n">
        <f aca="false">1/(1+EXP(U776))</f>
        <v>3.4869868329068E-009</v>
      </c>
      <c r="W776" s="0" t="n">
        <f aca="true">RAND()</f>
        <v>0.635245981003578</v>
      </c>
      <c r="X776" s="0" t="n">
        <f aca="false">IF(W776&lt;V776,1,0)</f>
        <v>0</v>
      </c>
      <c r="Y776" s="0" t="n">
        <f aca="false">(M776*(1-X776)+N776*X776)*D776+M776*E776</f>
        <v>8409.09395771638</v>
      </c>
      <c r="Z776" s="0" t="n">
        <f aca="false">((1-X776)*O776+X776*P776)*D776+E776*O776</f>
        <v>19.1278936722192</v>
      </c>
      <c r="AA776" s="0" t="n">
        <f aca="false">IF(D776*X776&gt;0,AA775,Q776)</f>
        <v>1</v>
      </c>
      <c r="AB776" s="0" t="n">
        <f aca="false">(X776*D776)</f>
        <v>0</v>
      </c>
      <c r="AC776" s="0" t="n">
        <f aca="false">SUM(AB$10:AB775)/K776</f>
        <v>0.00011918999342388</v>
      </c>
      <c r="AD776" s="0" t="n">
        <f aca="false">R776*E776+D776*(X776*S776+(1-X776)*T776)</f>
        <v>-0.0505194761437477</v>
      </c>
      <c r="AE776" s="0" t="n">
        <f aca="false">Z776</f>
        <v>19.1278936722192</v>
      </c>
      <c r="AF776" s="0" t="n">
        <f aca="false">E776*O776</f>
        <v>19.1278936722192</v>
      </c>
      <c r="AG776" s="0" t="n">
        <f aca="false">((1-X776)*O776+X776*P776)*D776</f>
        <v>0</v>
      </c>
      <c r="AH776" s="0" t="n">
        <f aca="false">D776*(LN(EXP(S776)+EXP(T776)))</f>
        <v>-0</v>
      </c>
      <c r="AJ776" s="0" t="n">
        <f aca="false">$J$5</f>
        <v>10</v>
      </c>
      <c r="AK776" s="4" t="n">
        <f aca="false">AJ776+MAX(K776,AK$10:AK775)</f>
        <v>8409.09395771638</v>
      </c>
      <c r="AL776" s="5" t="n">
        <f aca="false">AK776-K776</f>
        <v>19.1278936722192</v>
      </c>
      <c r="AM776" s="0" t="n">
        <f aca="false">-G776*AL776/3600</f>
        <v>-0.0505194761437477</v>
      </c>
      <c r="AN776" s="0" t="n">
        <f aca="false">-H776*AL776/3600</f>
        <v>-0.0257721581749963</v>
      </c>
      <c r="AO776" s="0" t="n">
        <f aca="false">AM776*E776+AN776*D776</f>
        <v>-0.0505194761437477</v>
      </c>
      <c r="AP776" s="0" t="n">
        <f aca="false">AL776*D776</f>
        <v>0</v>
      </c>
      <c r="AR776" s="0" t="n">
        <f aca="false">AN776*D776</f>
        <v>-0</v>
      </c>
      <c r="AS776" s="0" t="n">
        <f aca="false">AH776-AR776</f>
        <v>0</v>
      </c>
    </row>
    <row r="777" customFormat="false" ht="12" hidden="false" customHeight="false" outlineLevel="0" collapsed="false">
      <c r="A777" s="3" t="n">
        <f aca="false">A776+1</f>
        <v>768</v>
      </c>
      <c r="B777" s="3" t="n">
        <f aca="false">IF(A777&lt;$N$4/3,0.1,(IF(A777&gt;2*$N$4/3,0.05,0.12)))</f>
        <v>0.05</v>
      </c>
      <c r="C777" s="4" t="n">
        <f aca="true">RAND()</f>
        <v>0.702933558869072</v>
      </c>
      <c r="D777" s="0" t="n">
        <f aca="false">IF((C777&gt;$M$2),1,0)</f>
        <v>0</v>
      </c>
      <c r="E777" s="0" t="n">
        <f aca="false">1-D777</f>
        <v>1</v>
      </c>
      <c r="F777" s="0" t="n">
        <f aca="true">RAND()</f>
        <v>0.273268824430089</v>
      </c>
      <c r="G777" s="0" t="n">
        <f aca="false">7.75+F777*10</f>
        <v>10.4826882443009</v>
      </c>
      <c r="H777" s="0" t="n">
        <f aca="false">LOGINV(F777,2.64,1.139)</f>
        <v>7.05144515572903</v>
      </c>
      <c r="I777" s="0" t="n">
        <v>19.5</v>
      </c>
      <c r="J777" s="4" t="n">
        <f aca="true">-LN(RAND())/B777</f>
        <v>8.72294445575055</v>
      </c>
      <c r="K777" s="4" t="n">
        <f aca="false">K776+J777</f>
        <v>8398.68900849991</v>
      </c>
      <c r="L777" s="4" t="n">
        <f aca="false">(1/$J$4)*(1+AB776)</f>
        <v>10</v>
      </c>
      <c r="M777" s="4" t="n">
        <f aca="false">L777+MAX(K777,Y$10:Y776)</f>
        <v>8419.09395771638</v>
      </c>
      <c r="N777" s="4" t="n">
        <f aca="false">K777</f>
        <v>8398.68900849991</v>
      </c>
      <c r="O777" s="4" t="n">
        <f aca="false">M777-K777</f>
        <v>20.4049492164686</v>
      </c>
      <c r="P777" s="4" t="n">
        <f aca="false">N777-K777</f>
        <v>0</v>
      </c>
      <c r="Q777" s="4" t="n">
        <f aca="false">A777-MATCH(K777,$M$9:M776,1)</f>
        <v>2</v>
      </c>
      <c r="R777" s="0" t="n">
        <f aca="false">-G777*(O777/3600)</f>
        <v>-0.0594163114658422</v>
      </c>
      <c r="S777" s="0" t="n">
        <f aca="false">-1*I777-(H777*(P777/3600))</f>
        <v>-19.5</v>
      </c>
      <c r="T777" s="0" t="n">
        <f aca="false">-H777*(O777/3600)</f>
        <v>-0.0399678834181568</v>
      </c>
      <c r="U777" s="0" t="n">
        <f aca="false">T777-S777</f>
        <v>19.4600321165818</v>
      </c>
      <c r="V777" s="0" t="n">
        <f aca="false">1/(1+EXP(U777))</f>
        <v>3.53684015457171E-009</v>
      </c>
      <c r="W777" s="0" t="n">
        <f aca="true">RAND()</f>
        <v>0.51629842210206</v>
      </c>
      <c r="X777" s="0" t="n">
        <f aca="false">IF(W777&lt;V777,1,0)</f>
        <v>0</v>
      </c>
      <c r="Y777" s="0" t="n">
        <f aca="false">(M777*(1-X777)+N777*X777)*D777+M777*E777</f>
        <v>8419.09395771638</v>
      </c>
      <c r="Z777" s="0" t="n">
        <f aca="false">((1-X777)*O777+X777*P777)*D777+E777*O777</f>
        <v>20.4049492164686</v>
      </c>
      <c r="AA777" s="0" t="n">
        <f aca="false">IF(D777*X777&gt;0,AA776,Q777)</f>
        <v>2</v>
      </c>
      <c r="AB777" s="0" t="n">
        <f aca="false">(X777*D777)</f>
        <v>0</v>
      </c>
      <c r="AC777" s="0" t="n">
        <f aca="false">SUM(AB$10:AB776)/K777</f>
        <v>0.00011906620175934</v>
      </c>
      <c r="AD777" s="0" t="n">
        <f aca="false">R777*E777+D777*(X777*S777+(1-X777)*T777)</f>
        <v>-0.0594163114658422</v>
      </c>
      <c r="AE777" s="0" t="n">
        <f aca="false">Z777</f>
        <v>20.4049492164686</v>
      </c>
      <c r="AF777" s="0" t="n">
        <f aca="false">E777*O777</f>
        <v>20.4049492164686</v>
      </c>
      <c r="AG777" s="0" t="n">
        <f aca="false">((1-X777)*O777+X777*P777)*D777</f>
        <v>0</v>
      </c>
      <c r="AH777" s="0" t="n">
        <f aca="false">D777*(LN(EXP(S777)+EXP(T777)))</f>
        <v>-0</v>
      </c>
      <c r="AJ777" s="0" t="n">
        <f aca="false">$J$5</f>
        <v>10</v>
      </c>
      <c r="AK777" s="4" t="n">
        <f aca="false">AJ777+MAX(K777,AK$10:AK776)</f>
        <v>8419.09395771638</v>
      </c>
      <c r="AL777" s="5" t="n">
        <f aca="false">AK777-K777</f>
        <v>20.4049492164686</v>
      </c>
      <c r="AM777" s="0" t="n">
        <f aca="false">-G777*AL777/3600</f>
        <v>-0.0594163114658422</v>
      </c>
      <c r="AN777" s="0" t="n">
        <f aca="false">-H777*AL777/3600</f>
        <v>-0.0399678834181568</v>
      </c>
      <c r="AO777" s="0" t="n">
        <f aca="false">AM777*E777+AN777*D777</f>
        <v>-0.0594163114658422</v>
      </c>
      <c r="AP777" s="0" t="n">
        <f aca="false">AL777*D777</f>
        <v>0</v>
      </c>
      <c r="AR777" s="0" t="n">
        <f aca="false">AN777*D777</f>
        <v>-0</v>
      </c>
      <c r="AS777" s="0" t="n">
        <f aca="false">AH777-AR777</f>
        <v>0</v>
      </c>
    </row>
    <row r="778" customFormat="false" ht="12" hidden="false" customHeight="false" outlineLevel="0" collapsed="false">
      <c r="A778" s="3" t="n">
        <f aca="false">A777+1</f>
        <v>769</v>
      </c>
      <c r="B778" s="3" t="n">
        <f aca="false">IF(A778&lt;$N$4/3,0.1,(IF(A778&gt;2*$N$4/3,0.05,0.12)))</f>
        <v>0.05</v>
      </c>
      <c r="C778" s="4" t="n">
        <f aca="true">RAND()</f>
        <v>0.741469151636045</v>
      </c>
      <c r="D778" s="0" t="n">
        <f aca="false">IF((C778&gt;$M$2),1,0)</f>
        <v>0</v>
      </c>
      <c r="E778" s="0" t="n">
        <f aca="false">1-D778</f>
        <v>1</v>
      </c>
      <c r="F778" s="0" t="n">
        <f aca="true">RAND()</f>
        <v>0.911545797243609</v>
      </c>
      <c r="G778" s="0" t="n">
        <f aca="false">7.75+F778*10</f>
        <v>16.8654579724361</v>
      </c>
      <c r="H778" s="0" t="n">
        <f aca="false">LOGINV(F778,2.64,1.139)</f>
        <v>65.2373449002786</v>
      </c>
      <c r="I778" s="0" t="n">
        <v>19.5</v>
      </c>
      <c r="J778" s="4" t="n">
        <f aca="true">-LN(RAND())/B778</f>
        <v>7.93518157057813</v>
      </c>
      <c r="K778" s="4" t="n">
        <f aca="false">K777+J778</f>
        <v>8406.62419007049</v>
      </c>
      <c r="L778" s="4" t="n">
        <f aca="false">(1/$J$4)*(1+AB777)</f>
        <v>10</v>
      </c>
      <c r="M778" s="4" t="n">
        <f aca="false">L778+MAX(K778,Y$10:Y777)</f>
        <v>8429.09395771638</v>
      </c>
      <c r="N778" s="4" t="n">
        <f aca="false">K778</f>
        <v>8406.62419007049</v>
      </c>
      <c r="O778" s="4" t="n">
        <f aca="false">M778-K778</f>
        <v>22.4697676458909</v>
      </c>
      <c r="P778" s="4" t="n">
        <f aca="false">N778-K778</f>
        <v>0</v>
      </c>
      <c r="Q778" s="4" t="n">
        <f aca="false">A778-MATCH(K778,$M$9:M777,1)</f>
        <v>2</v>
      </c>
      <c r="R778" s="0" t="n">
        <f aca="false">-G778*(O778/3600)</f>
        <v>-0.105267478300605</v>
      </c>
      <c r="S778" s="0" t="n">
        <f aca="false">-1*I778-(H778*(P778/3600))</f>
        <v>-19.5</v>
      </c>
      <c r="T778" s="0" t="n">
        <f aca="false">-H778*(O778/3600)</f>
        <v>-0.407185550484474</v>
      </c>
      <c r="U778" s="0" t="n">
        <f aca="false">T778-S778</f>
        <v>19.0928144495155</v>
      </c>
      <c r="V778" s="0" t="n">
        <f aca="false">1/(1+EXP(U778))</f>
        <v>5.10617903739747E-009</v>
      </c>
      <c r="W778" s="0" t="n">
        <f aca="true">RAND()</f>
        <v>0.558445512936498</v>
      </c>
      <c r="X778" s="0" t="n">
        <f aca="false">IF(W778&lt;V778,1,0)</f>
        <v>0</v>
      </c>
      <c r="Y778" s="0" t="n">
        <f aca="false">(M778*(1-X778)+N778*X778)*D778+M778*E778</f>
        <v>8429.09395771638</v>
      </c>
      <c r="Z778" s="0" t="n">
        <f aca="false">((1-X778)*O778+X778*P778)*D778+E778*O778</f>
        <v>22.4697676458909</v>
      </c>
      <c r="AA778" s="0" t="n">
        <f aca="false">IF(D778*X778&gt;0,AA777,Q778)</f>
        <v>2</v>
      </c>
      <c r="AB778" s="0" t="n">
        <f aca="false">(X778*D778)</f>
        <v>0</v>
      </c>
      <c r="AC778" s="0" t="n">
        <f aca="false">SUM(AB$10:AB777)/K778</f>
        <v>0.000118953812777923</v>
      </c>
      <c r="AD778" s="0" t="n">
        <f aca="false">R778*E778+D778*(X778*S778+(1-X778)*T778)</f>
        <v>-0.105267478300605</v>
      </c>
      <c r="AE778" s="0" t="n">
        <f aca="false">Z778</f>
        <v>22.4697676458909</v>
      </c>
      <c r="AF778" s="0" t="n">
        <f aca="false">E778*O778</f>
        <v>22.4697676458909</v>
      </c>
      <c r="AG778" s="0" t="n">
        <f aca="false">((1-X778)*O778+X778*P778)*D778</f>
        <v>0</v>
      </c>
      <c r="AH778" s="0" t="n">
        <f aca="false">D778*(LN(EXP(S778)+EXP(T778)))</f>
        <v>-0</v>
      </c>
      <c r="AJ778" s="0" t="n">
        <f aca="false">$J$5</f>
        <v>10</v>
      </c>
      <c r="AK778" s="4" t="n">
        <f aca="false">AJ778+MAX(K778,AK$10:AK777)</f>
        <v>8429.09395771638</v>
      </c>
      <c r="AL778" s="5" t="n">
        <f aca="false">AK778-K778</f>
        <v>22.4697676458909</v>
      </c>
      <c r="AM778" s="0" t="n">
        <f aca="false">-G778*AL778/3600</f>
        <v>-0.105267478300605</v>
      </c>
      <c r="AN778" s="0" t="n">
        <f aca="false">-H778*AL778/3600</f>
        <v>-0.407185550484474</v>
      </c>
      <c r="AO778" s="0" t="n">
        <f aca="false">AM778*E778+AN778*D778</f>
        <v>-0.105267478300605</v>
      </c>
      <c r="AP778" s="0" t="n">
        <f aca="false">AL778*D778</f>
        <v>0</v>
      </c>
      <c r="AR778" s="0" t="n">
        <f aca="false">AN778*D778</f>
        <v>-0</v>
      </c>
      <c r="AS778" s="0" t="n">
        <f aca="false">AH778-AR778</f>
        <v>0</v>
      </c>
    </row>
    <row r="779" customFormat="false" ht="12" hidden="false" customHeight="false" outlineLevel="0" collapsed="false">
      <c r="A779" s="3" t="n">
        <f aca="false">A778+1</f>
        <v>770</v>
      </c>
      <c r="B779" s="3" t="n">
        <f aca="false">IF(A779&lt;$N$4/3,0.1,(IF(A779&gt;2*$N$4/3,0.05,0.12)))</f>
        <v>0.05</v>
      </c>
      <c r="C779" s="4" t="n">
        <f aca="true">RAND()</f>
        <v>0.694508441177097</v>
      </c>
      <c r="D779" s="0" t="n">
        <f aca="false">IF((C779&gt;$M$2),1,0)</f>
        <v>0</v>
      </c>
      <c r="E779" s="0" t="n">
        <f aca="false">1-D779</f>
        <v>1</v>
      </c>
      <c r="F779" s="0" t="n">
        <f aca="true">RAND()</f>
        <v>0.793454439333086</v>
      </c>
      <c r="G779" s="0" t="n">
        <f aca="false">7.75+F779*10</f>
        <v>15.6845443933309</v>
      </c>
      <c r="H779" s="0" t="n">
        <f aca="false">LOGINV(F779,2.64,1.139)</f>
        <v>35.5959842108151</v>
      </c>
      <c r="I779" s="0" t="n">
        <v>19.5</v>
      </c>
      <c r="J779" s="4" t="n">
        <f aca="true">-LN(RAND())/B779</f>
        <v>33.8534606564151</v>
      </c>
      <c r="K779" s="4" t="n">
        <f aca="false">K778+J779</f>
        <v>8440.47765072691</v>
      </c>
      <c r="L779" s="4" t="n">
        <f aca="false">(1/$J$4)*(1+AB778)</f>
        <v>10</v>
      </c>
      <c r="M779" s="4" t="n">
        <f aca="false">L779+MAX(K779,Y$10:Y778)</f>
        <v>8450.47765072691</v>
      </c>
      <c r="N779" s="4" t="n">
        <f aca="false">K779</f>
        <v>8440.47765072691</v>
      </c>
      <c r="O779" s="4" t="n">
        <f aca="false">M779-K779</f>
        <v>10</v>
      </c>
      <c r="P779" s="4" t="n">
        <f aca="false">N779-K779</f>
        <v>0</v>
      </c>
      <c r="Q779" s="4" t="n">
        <f aca="false">A779-MATCH(K779,$M$9:M778,1)</f>
        <v>0</v>
      </c>
      <c r="R779" s="0" t="n">
        <f aca="false">-G779*(O779/3600)</f>
        <v>-0.0435681788703635</v>
      </c>
      <c r="S779" s="0" t="n">
        <f aca="false">-1*I779-(H779*(P779/3600))</f>
        <v>-19.5</v>
      </c>
      <c r="T779" s="0" t="n">
        <f aca="false">-H779*(O779/3600)</f>
        <v>-0.0988777339189308</v>
      </c>
      <c r="U779" s="0" t="n">
        <f aca="false">T779-S779</f>
        <v>19.4011222660811</v>
      </c>
      <c r="V779" s="0" t="n">
        <f aca="false">1/(1+EXP(U779))</f>
        <v>3.75145425865292E-009</v>
      </c>
      <c r="W779" s="0" t="n">
        <f aca="true">RAND()</f>
        <v>0.793086330563422</v>
      </c>
      <c r="X779" s="0" t="n">
        <f aca="false">IF(W779&lt;V779,1,0)</f>
        <v>0</v>
      </c>
      <c r="Y779" s="0" t="n">
        <f aca="false">(M779*(1-X779)+N779*X779)*D779+M779*E779</f>
        <v>8450.47765072691</v>
      </c>
      <c r="Z779" s="0" t="n">
        <f aca="false">((1-X779)*O779+X779*P779)*D779+E779*O779</f>
        <v>10</v>
      </c>
      <c r="AA779" s="0" t="n">
        <f aca="false">IF(D779*X779&gt;0,AA778,Q779)</f>
        <v>0</v>
      </c>
      <c r="AB779" s="0" t="n">
        <f aca="false">(X779*D779)</f>
        <v>0</v>
      </c>
      <c r="AC779" s="0" t="n">
        <f aca="false">SUM(AB$10:AB778)/K779</f>
        <v>0.000118476707288465</v>
      </c>
      <c r="AD779" s="0" t="n">
        <f aca="false">R779*E779+D779*(X779*S779+(1-X779)*T779)</f>
        <v>-0.0435681788703635</v>
      </c>
      <c r="AE779" s="0" t="n">
        <f aca="false">Z779</f>
        <v>10</v>
      </c>
      <c r="AF779" s="0" t="n">
        <f aca="false">E779*O779</f>
        <v>10</v>
      </c>
      <c r="AG779" s="0" t="n">
        <f aca="false">((1-X779)*O779+X779*P779)*D779</f>
        <v>0</v>
      </c>
      <c r="AH779" s="0" t="n">
        <f aca="false">D779*(LN(EXP(S779)+EXP(T779)))</f>
        <v>-0</v>
      </c>
      <c r="AJ779" s="0" t="n">
        <f aca="false">$J$5</f>
        <v>10</v>
      </c>
      <c r="AK779" s="4" t="n">
        <f aca="false">AJ779+MAX(K779,AK$10:AK778)</f>
        <v>8450.47765072691</v>
      </c>
      <c r="AL779" s="5" t="n">
        <f aca="false">AK779-K779</f>
        <v>10</v>
      </c>
      <c r="AM779" s="0" t="n">
        <f aca="false">-G779*AL779/3600</f>
        <v>-0.0435681788703635</v>
      </c>
      <c r="AN779" s="0" t="n">
        <f aca="false">-H779*AL779/3600</f>
        <v>-0.0988777339189308</v>
      </c>
      <c r="AO779" s="0" t="n">
        <f aca="false">AM779*E779+AN779*D779</f>
        <v>-0.0435681788703635</v>
      </c>
      <c r="AP779" s="0" t="n">
        <f aca="false">AL779*D779</f>
        <v>0</v>
      </c>
      <c r="AR779" s="0" t="n">
        <f aca="false">AN779*D779</f>
        <v>-0</v>
      </c>
      <c r="AS779" s="0" t="n">
        <f aca="false">AH779-AR779</f>
        <v>0</v>
      </c>
    </row>
    <row r="780" customFormat="false" ht="12" hidden="false" customHeight="false" outlineLevel="0" collapsed="false">
      <c r="A780" s="3" t="n">
        <f aca="false">A779+1</f>
        <v>771</v>
      </c>
      <c r="B780" s="3" t="n">
        <f aca="false">IF(A780&lt;$N$4/3,0.1,(IF(A780&gt;2*$N$4/3,0.05,0.12)))</f>
        <v>0.05</v>
      </c>
      <c r="C780" s="4" t="n">
        <f aca="true">RAND()</f>
        <v>0.825915977922089</v>
      </c>
      <c r="D780" s="0" t="n">
        <f aca="false">IF((C780&gt;$M$2),1,0)</f>
        <v>0</v>
      </c>
      <c r="E780" s="0" t="n">
        <f aca="false">1-D780</f>
        <v>1</v>
      </c>
      <c r="F780" s="0" t="n">
        <f aca="true">RAND()</f>
        <v>0.789171778701851</v>
      </c>
      <c r="G780" s="0" t="n">
        <f aca="false">7.75+F780*10</f>
        <v>15.6417177870185</v>
      </c>
      <c r="H780" s="0" t="n">
        <f aca="false">LOGINV(F780,2.64,1.139)</f>
        <v>34.9963709937211</v>
      </c>
      <c r="I780" s="0" t="n">
        <v>19.5</v>
      </c>
      <c r="J780" s="4" t="n">
        <f aca="true">-LN(RAND())/B780</f>
        <v>18.9439109346792</v>
      </c>
      <c r="K780" s="4" t="n">
        <f aca="false">K779+J780</f>
        <v>8459.42156166159</v>
      </c>
      <c r="L780" s="4" t="n">
        <f aca="false">(1/$J$4)*(1+AB779)</f>
        <v>10</v>
      </c>
      <c r="M780" s="4" t="n">
        <f aca="false">L780+MAX(K780,Y$10:Y779)</f>
        <v>8469.42156166159</v>
      </c>
      <c r="N780" s="4" t="n">
        <f aca="false">K780</f>
        <v>8459.42156166159</v>
      </c>
      <c r="O780" s="4" t="n">
        <f aca="false">M780-K780</f>
        <v>10</v>
      </c>
      <c r="P780" s="4" t="n">
        <f aca="false">N780-K780</f>
        <v>0</v>
      </c>
      <c r="Q780" s="4" t="n">
        <f aca="false">A780-MATCH(K780,$M$9:M779,1)</f>
        <v>0</v>
      </c>
      <c r="R780" s="0" t="n">
        <f aca="false">-G780*(O780/3600)</f>
        <v>-0.0434492160750514</v>
      </c>
      <c r="S780" s="0" t="n">
        <f aca="false">-1*I780-(H780*(P780/3600))</f>
        <v>-19.5</v>
      </c>
      <c r="T780" s="0" t="n">
        <f aca="false">-H780*(O780/3600)</f>
        <v>-0.0972121416492254</v>
      </c>
      <c r="U780" s="0" t="n">
        <f aca="false">T780-S780</f>
        <v>19.4027878583508</v>
      </c>
      <c r="V780" s="0" t="n">
        <f aca="false">1/(1+EXP(U780))</f>
        <v>3.74521106621282E-009</v>
      </c>
      <c r="W780" s="0" t="n">
        <f aca="true">RAND()</f>
        <v>0.707252807137963</v>
      </c>
      <c r="X780" s="0" t="n">
        <f aca="false">IF(W780&lt;V780,1,0)</f>
        <v>0</v>
      </c>
      <c r="Y780" s="0" t="n">
        <f aca="false">(M780*(1-X780)+N780*X780)*D780+M780*E780</f>
        <v>8469.42156166159</v>
      </c>
      <c r="Z780" s="0" t="n">
        <f aca="false">((1-X780)*O780+X780*P780)*D780+E780*O780</f>
        <v>10</v>
      </c>
      <c r="AA780" s="0" t="n">
        <f aca="false">IF(D780*X780&gt;0,AA779,Q780)</f>
        <v>0</v>
      </c>
      <c r="AB780" s="0" t="n">
        <f aca="false">(X780*D780)</f>
        <v>0</v>
      </c>
      <c r="AC780" s="0" t="n">
        <f aca="false">SUM(AB$10:AB779)/K780</f>
        <v>0.000118211392198733</v>
      </c>
      <c r="AD780" s="0" t="n">
        <f aca="false">R780*E780+D780*(X780*S780+(1-X780)*T780)</f>
        <v>-0.0434492160750514</v>
      </c>
      <c r="AE780" s="0" t="n">
        <f aca="false">Z780</f>
        <v>10</v>
      </c>
      <c r="AF780" s="0" t="n">
        <f aca="false">E780*O780</f>
        <v>10</v>
      </c>
      <c r="AG780" s="0" t="n">
        <f aca="false">((1-X780)*O780+X780*P780)*D780</f>
        <v>0</v>
      </c>
      <c r="AH780" s="0" t="n">
        <f aca="false">D780*(LN(EXP(S780)+EXP(T780)))</f>
        <v>-0</v>
      </c>
      <c r="AJ780" s="0" t="n">
        <f aca="false">$J$5</f>
        <v>10</v>
      </c>
      <c r="AK780" s="4" t="n">
        <f aca="false">AJ780+MAX(K780,AK$10:AK779)</f>
        <v>8469.42156166159</v>
      </c>
      <c r="AL780" s="5" t="n">
        <f aca="false">AK780-K780</f>
        <v>10</v>
      </c>
      <c r="AM780" s="0" t="n">
        <f aca="false">-G780*AL780/3600</f>
        <v>-0.0434492160750514</v>
      </c>
      <c r="AN780" s="0" t="n">
        <f aca="false">-H780*AL780/3600</f>
        <v>-0.0972121416492254</v>
      </c>
      <c r="AO780" s="0" t="n">
        <f aca="false">AM780*E780+AN780*D780</f>
        <v>-0.0434492160750514</v>
      </c>
      <c r="AP780" s="0" t="n">
        <f aca="false">AL780*D780</f>
        <v>0</v>
      </c>
      <c r="AR780" s="0" t="n">
        <f aca="false">AN780*D780</f>
        <v>-0</v>
      </c>
      <c r="AS780" s="0" t="n">
        <f aca="false">AH780-AR780</f>
        <v>0</v>
      </c>
    </row>
    <row r="781" customFormat="false" ht="12" hidden="false" customHeight="false" outlineLevel="0" collapsed="false">
      <c r="A781" s="3" t="n">
        <f aca="false">A780+1</f>
        <v>772</v>
      </c>
      <c r="B781" s="3" t="n">
        <f aca="false">IF(A781&lt;$N$4/3,0.1,(IF(A781&gt;2*$N$4/3,0.05,0.12)))</f>
        <v>0.05</v>
      </c>
      <c r="C781" s="4" t="n">
        <f aca="true">RAND()</f>
        <v>0.891894365835982</v>
      </c>
      <c r="D781" s="0" t="n">
        <f aca="false">IF((C781&gt;$M$2),1,0)</f>
        <v>0</v>
      </c>
      <c r="E781" s="0" t="n">
        <f aca="false">1-D781</f>
        <v>1</v>
      </c>
      <c r="F781" s="0" t="n">
        <f aca="true">RAND()</f>
        <v>0.38099402589896</v>
      </c>
      <c r="G781" s="0" t="n">
        <f aca="false">7.75+F781*10</f>
        <v>11.5599402589896</v>
      </c>
      <c r="H781" s="0" t="n">
        <f aca="false">LOGINV(F781,2.64,1.139)</f>
        <v>9.92473127298512</v>
      </c>
      <c r="I781" s="0" t="n">
        <v>19.5</v>
      </c>
      <c r="J781" s="4" t="n">
        <f aca="true">-LN(RAND())/B781</f>
        <v>0.787439505192307</v>
      </c>
      <c r="K781" s="4" t="n">
        <f aca="false">K780+J781</f>
        <v>8460.20900116678</v>
      </c>
      <c r="L781" s="4" t="n">
        <f aca="false">(1/$J$4)*(1+AB780)</f>
        <v>10</v>
      </c>
      <c r="M781" s="4" t="n">
        <f aca="false">L781+MAX(K781,Y$10:Y780)</f>
        <v>8479.42156166159</v>
      </c>
      <c r="N781" s="4" t="n">
        <f aca="false">K781</f>
        <v>8460.20900116678</v>
      </c>
      <c r="O781" s="4" t="n">
        <f aca="false">M781-K781</f>
        <v>19.2125604948069</v>
      </c>
      <c r="P781" s="4" t="n">
        <f aca="false">N781-K781</f>
        <v>0</v>
      </c>
      <c r="Q781" s="4" t="n">
        <f aca="false">A781-MATCH(K781,$M$9:M780,1)</f>
        <v>1</v>
      </c>
      <c r="R781" s="0" t="n">
        <f aca="false">-G781*(O781/3600)</f>
        <v>-0.0616933476506087</v>
      </c>
      <c r="S781" s="0" t="n">
        <f aca="false">-1*I781-(H781*(P781/3600))</f>
        <v>-19.5</v>
      </c>
      <c r="T781" s="0" t="n">
        <f aca="false">-H781*(O781/3600)</f>
        <v>-0.052966527771369</v>
      </c>
      <c r="U781" s="0" t="n">
        <f aca="false">T781-S781</f>
        <v>19.4470334722286</v>
      </c>
      <c r="V781" s="0" t="n">
        <f aca="false">1/(1+EXP(U781))</f>
        <v>3.58311438126053E-009</v>
      </c>
      <c r="W781" s="0" t="n">
        <f aca="true">RAND()</f>
        <v>0.47587408060005</v>
      </c>
      <c r="X781" s="0" t="n">
        <f aca="false">IF(W781&lt;V781,1,0)</f>
        <v>0</v>
      </c>
      <c r="Y781" s="0" t="n">
        <f aca="false">(M781*(1-X781)+N781*X781)*D781+M781*E781</f>
        <v>8479.42156166159</v>
      </c>
      <c r="Z781" s="0" t="n">
        <f aca="false">((1-X781)*O781+X781*P781)*D781+E781*O781</f>
        <v>19.2125604948069</v>
      </c>
      <c r="AA781" s="0" t="n">
        <f aca="false">IF(D781*X781&gt;0,AA780,Q781)</f>
        <v>1</v>
      </c>
      <c r="AB781" s="0" t="n">
        <f aca="false">(X781*D781)</f>
        <v>0</v>
      </c>
      <c r="AC781" s="0" t="n">
        <f aca="false">SUM(AB$10:AB780)/K781</f>
        <v>0.000118200389595823</v>
      </c>
      <c r="AD781" s="0" t="n">
        <f aca="false">R781*E781+D781*(X781*S781+(1-X781)*T781)</f>
        <v>-0.0616933476506087</v>
      </c>
      <c r="AE781" s="0" t="n">
        <f aca="false">Z781</f>
        <v>19.2125604948069</v>
      </c>
      <c r="AF781" s="0" t="n">
        <f aca="false">E781*O781</f>
        <v>19.2125604948069</v>
      </c>
      <c r="AG781" s="0" t="n">
        <f aca="false">((1-X781)*O781+X781*P781)*D781</f>
        <v>0</v>
      </c>
      <c r="AH781" s="0" t="n">
        <f aca="false">D781*(LN(EXP(S781)+EXP(T781)))</f>
        <v>-0</v>
      </c>
      <c r="AJ781" s="0" t="n">
        <f aca="false">$J$5</f>
        <v>10</v>
      </c>
      <c r="AK781" s="4" t="n">
        <f aca="false">AJ781+MAX(K781,AK$10:AK780)</f>
        <v>8479.42156166159</v>
      </c>
      <c r="AL781" s="5" t="n">
        <f aca="false">AK781-K781</f>
        <v>19.2125604948069</v>
      </c>
      <c r="AM781" s="0" t="n">
        <f aca="false">-G781*AL781/3600</f>
        <v>-0.0616933476506087</v>
      </c>
      <c r="AN781" s="0" t="n">
        <f aca="false">-H781*AL781/3600</f>
        <v>-0.052966527771369</v>
      </c>
      <c r="AO781" s="0" t="n">
        <f aca="false">AM781*E781+AN781*D781</f>
        <v>-0.0616933476506087</v>
      </c>
      <c r="AP781" s="0" t="n">
        <f aca="false">AL781*D781</f>
        <v>0</v>
      </c>
      <c r="AR781" s="0" t="n">
        <f aca="false">AN781*D781</f>
        <v>-0</v>
      </c>
      <c r="AS781" s="0" t="n">
        <f aca="false">AH781-AR781</f>
        <v>0</v>
      </c>
    </row>
    <row r="782" customFormat="false" ht="12" hidden="false" customHeight="false" outlineLevel="0" collapsed="false">
      <c r="A782" s="3" t="n">
        <f aca="false">A781+1</f>
        <v>773</v>
      </c>
      <c r="B782" s="3" t="n">
        <f aca="false">IF(A782&lt;$N$4/3,0.1,(IF(A782&gt;2*$N$4/3,0.05,0.12)))</f>
        <v>0.05</v>
      </c>
      <c r="C782" s="4" t="n">
        <f aca="true">RAND()</f>
        <v>0.416521335205657</v>
      </c>
      <c r="D782" s="0" t="n">
        <f aca="false">IF((C782&gt;$M$2),1,0)</f>
        <v>0</v>
      </c>
      <c r="E782" s="0" t="n">
        <f aca="false">1-D782</f>
        <v>1</v>
      </c>
      <c r="F782" s="0" t="n">
        <f aca="true">RAND()</f>
        <v>0.246317043718331</v>
      </c>
      <c r="G782" s="0" t="n">
        <f aca="false">7.75+F782*10</f>
        <v>10.2131704371833</v>
      </c>
      <c r="H782" s="0" t="n">
        <f aca="false">LOGINV(F782,2.64,1.139)</f>
        <v>6.4141293255197</v>
      </c>
      <c r="I782" s="0" t="n">
        <v>19.5</v>
      </c>
      <c r="J782" s="4" t="n">
        <f aca="true">-LN(RAND())/B782</f>
        <v>20.4959487366527</v>
      </c>
      <c r="K782" s="4" t="n">
        <f aca="false">K781+J782</f>
        <v>8480.70494990343</v>
      </c>
      <c r="L782" s="4" t="n">
        <f aca="false">(1/$J$4)*(1+AB781)</f>
        <v>10</v>
      </c>
      <c r="M782" s="4" t="n">
        <f aca="false">L782+MAX(K782,Y$10:Y781)</f>
        <v>8490.70494990343</v>
      </c>
      <c r="N782" s="4" t="n">
        <f aca="false">K782</f>
        <v>8480.70494990343</v>
      </c>
      <c r="O782" s="4" t="n">
        <f aca="false">M782-K782</f>
        <v>10</v>
      </c>
      <c r="P782" s="4" t="n">
        <f aca="false">N782-K782</f>
        <v>0</v>
      </c>
      <c r="Q782" s="4" t="n">
        <f aca="false">A782-MATCH(K782,$M$9:M781,1)</f>
        <v>0</v>
      </c>
      <c r="R782" s="0" t="n">
        <f aca="false">-G782*(O782/3600)</f>
        <v>-0.0283699178810647</v>
      </c>
      <c r="S782" s="0" t="n">
        <f aca="false">-1*I782-(H782*(P782/3600))</f>
        <v>-19.5</v>
      </c>
      <c r="T782" s="0" t="n">
        <f aca="false">-H782*(O782/3600)</f>
        <v>-0.0178170259042214</v>
      </c>
      <c r="U782" s="0" t="n">
        <f aca="false">T782-S782</f>
        <v>19.4821829740958</v>
      </c>
      <c r="V782" s="0" t="n">
        <f aca="false">1/(1+EXP(U782))</f>
        <v>3.45935743498643E-009</v>
      </c>
      <c r="W782" s="0" t="n">
        <f aca="true">RAND()</f>
        <v>0.322451846932589</v>
      </c>
      <c r="X782" s="0" t="n">
        <f aca="false">IF(W782&lt;V782,1,0)</f>
        <v>0</v>
      </c>
      <c r="Y782" s="0" t="n">
        <f aca="false">(M782*(1-X782)+N782*X782)*D782+M782*E782</f>
        <v>8490.70494990343</v>
      </c>
      <c r="Z782" s="0" t="n">
        <f aca="false">((1-X782)*O782+X782*P782)*D782+E782*O782</f>
        <v>10</v>
      </c>
      <c r="AA782" s="0" t="n">
        <f aca="false">IF(D782*X782&gt;0,AA781,Q782)</f>
        <v>0</v>
      </c>
      <c r="AB782" s="0" t="n">
        <f aca="false">(X782*D782)</f>
        <v>0</v>
      </c>
      <c r="AC782" s="0" t="n">
        <f aca="false">SUM(AB$10:AB781)/K782</f>
        <v>0.000117914725946383</v>
      </c>
      <c r="AD782" s="0" t="n">
        <f aca="false">R782*E782+D782*(X782*S782+(1-X782)*T782)</f>
        <v>-0.0283699178810647</v>
      </c>
      <c r="AE782" s="0" t="n">
        <f aca="false">Z782</f>
        <v>10</v>
      </c>
      <c r="AF782" s="0" t="n">
        <f aca="false">E782*O782</f>
        <v>10</v>
      </c>
      <c r="AG782" s="0" t="n">
        <f aca="false">((1-X782)*O782+X782*P782)*D782</f>
        <v>0</v>
      </c>
      <c r="AH782" s="0" t="n">
        <f aca="false">D782*(LN(EXP(S782)+EXP(T782)))</f>
        <v>-0</v>
      </c>
      <c r="AJ782" s="0" t="n">
        <f aca="false">$J$5</f>
        <v>10</v>
      </c>
      <c r="AK782" s="4" t="n">
        <f aca="false">AJ782+MAX(K782,AK$10:AK781)</f>
        <v>8490.70494990343</v>
      </c>
      <c r="AL782" s="5" t="n">
        <f aca="false">AK782-K782</f>
        <v>10</v>
      </c>
      <c r="AM782" s="0" t="n">
        <f aca="false">-G782*AL782/3600</f>
        <v>-0.0283699178810647</v>
      </c>
      <c r="AN782" s="0" t="n">
        <f aca="false">-H782*AL782/3600</f>
        <v>-0.0178170259042214</v>
      </c>
      <c r="AO782" s="0" t="n">
        <f aca="false">AM782*E782+AN782*D782</f>
        <v>-0.0283699178810647</v>
      </c>
      <c r="AP782" s="0" t="n">
        <f aca="false">AL782*D782</f>
        <v>0</v>
      </c>
      <c r="AR782" s="0" t="n">
        <f aca="false">AN782*D782</f>
        <v>-0</v>
      </c>
      <c r="AS782" s="0" t="n">
        <f aca="false">AH782-AR782</f>
        <v>0</v>
      </c>
    </row>
    <row r="783" customFormat="false" ht="12" hidden="false" customHeight="false" outlineLevel="0" collapsed="false">
      <c r="A783" s="3" t="n">
        <f aca="false">A782+1</f>
        <v>774</v>
      </c>
      <c r="B783" s="3" t="n">
        <f aca="false">IF(A783&lt;$N$4/3,0.1,(IF(A783&gt;2*$N$4/3,0.05,0.12)))</f>
        <v>0.05</v>
      </c>
      <c r="C783" s="4" t="n">
        <f aca="true">RAND()</f>
        <v>0.31301962502831</v>
      </c>
      <c r="D783" s="0" t="n">
        <f aca="false">IF((C783&gt;$M$2),1,0)</f>
        <v>0</v>
      </c>
      <c r="E783" s="0" t="n">
        <f aca="false">1-D783</f>
        <v>1</v>
      </c>
      <c r="F783" s="0" t="n">
        <f aca="true">RAND()</f>
        <v>0.59891827940223</v>
      </c>
      <c r="G783" s="0" t="n">
        <f aca="false">7.75+F783*10</f>
        <v>13.7391827940223</v>
      </c>
      <c r="H783" s="0" t="n">
        <f aca="false">LOGINV(F783,2.64,1.139)</f>
        <v>18.6412038304712</v>
      </c>
      <c r="I783" s="0" t="n">
        <v>19.5</v>
      </c>
      <c r="J783" s="4" t="n">
        <f aca="true">-LN(RAND())/B783</f>
        <v>9.00771555696488</v>
      </c>
      <c r="K783" s="4" t="n">
        <f aca="false">K782+J783</f>
        <v>8489.7126654604</v>
      </c>
      <c r="L783" s="4" t="n">
        <f aca="false">(1/$J$4)*(1+AB782)</f>
        <v>10</v>
      </c>
      <c r="M783" s="4" t="n">
        <f aca="false">L783+MAX(K783,Y$10:Y782)</f>
        <v>8500.70494990343</v>
      </c>
      <c r="N783" s="4" t="n">
        <f aca="false">K783</f>
        <v>8489.7126654604</v>
      </c>
      <c r="O783" s="4" t="n">
        <f aca="false">M783-K783</f>
        <v>10.9922844430348</v>
      </c>
      <c r="P783" s="4" t="n">
        <f aca="false">N783-K783</f>
        <v>0</v>
      </c>
      <c r="Q783" s="4" t="n">
        <f aca="false">A783-MATCH(K783,$M$9:M782,1)</f>
        <v>1</v>
      </c>
      <c r="R783" s="0" t="n">
        <f aca="false">-G783*(O783/3600)</f>
        <v>-0.0419513903574285</v>
      </c>
      <c r="S783" s="0" t="n">
        <f aca="false">-1*I783-(H783*(P783/3600))</f>
        <v>-19.5</v>
      </c>
      <c r="T783" s="0" t="n">
        <f aca="false">-H783*(O783/3600)</f>
        <v>-0.0569192819069805</v>
      </c>
      <c r="U783" s="0" t="n">
        <f aca="false">T783-S783</f>
        <v>19.443080718093</v>
      </c>
      <c r="V783" s="0" t="n">
        <f aca="false">1/(1+EXP(U783))</f>
        <v>3.59730558008115E-009</v>
      </c>
      <c r="W783" s="0" t="n">
        <f aca="true">RAND()</f>
        <v>0.626973230589795</v>
      </c>
      <c r="X783" s="0" t="n">
        <f aca="false">IF(W783&lt;V783,1,0)</f>
        <v>0</v>
      </c>
      <c r="Y783" s="0" t="n">
        <f aca="false">(M783*(1-X783)+N783*X783)*D783+M783*E783</f>
        <v>8500.70494990343</v>
      </c>
      <c r="Z783" s="0" t="n">
        <f aca="false">((1-X783)*O783+X783*P783)*D783+E783*O783</f>
        <v>10.9922844430348</v>
      </c>
      <c r="AA783" s="0" t="n">
        <f aca="false">IF(D783*X783&gt;0,AA782,Q783)</f>
        <v>1</v>
      </c>
      <c r="AB783" s="0" t="n">
        <f aca="false">(X783*D783)</f>
        <v>0</v>
      </c>
      <c r="AC783" s="0" t="n">
        <f aca="false">SUM(AB$10:AB782)/K783</f>
        <v>0.000117789616610749</v>
      </c>
      <c r="AD783" s="0" t="n">
        <f aca="false">R783*E783+D783*(X783*S783+(1-X783)*T783)</f>
        <v>-0.0419513903574285</v>
      </c>
      <c r="AE783" s="0" t="n">
        <f aca="false">Z783</f>
        <v>10.9922844430348</v>
      </c>
      <c r="AF783" s="0" t="n">
        <f aca="false">E783*O783</f>
        <v>10.9922844430348</v>
      </c>
      <c r="AG783" s="0" t="n">
        <f aca="false">((1-X783)*O783+X783*P783)*D783</f>
        <v>0</v>
      </c>
      <c r="AH783" s="0" t="n">
        <f aca="false">D783*(LN(EXP(S783)+EXP(T783)))</f>
        <v>-0</v>
      </c>
      <c r="AJ783" s="0" t="n">
        <f aca="false">$J$5</f>
        <v>10</v>
      </c>
      <c r="AK783" s="4" t="n">
        <f aca="false">AJ783+MAX(K783,AK$10:AK782)</f>
        <v>8500.70494990343</v>
      </c>
      <c r="AL783" s="5" t="n">
        <f aca="false">AK783-K783</f>
        <v>10.9922844430348</v>
      </c>
      <c r="AM783" s="0" t="n">
        <f aca="false">-G783*AL783/3600</f>
        <v>-0.0419513903574285</v>
      </c>
      <c r="AN783" s="0" t="n">
        <f aca="false">-H783*AL783/3600</f>
        <v>-0.0569192819069805</v>
      </c>
      <c r="AO783" s="0" t="n">
        <f aca="false">AM783*E783+AN783*D783</f>
        <v>-0.0419513903574285</v>
      </c>
      <c r="AP783" s="0" t="n">
        <f aca="false">AL783*D783</f>
        <v>0</v>
      </c>
      <c r="AR783" s="0" t="n">
        <f aca="false">AN783*D783</f>
        <v>-0</v>
      </c>
      <c r="AS783" s="0" t="n">
        <f aca="false">AH783-AR783</f>
        <v>0</v>
      </c>
    </row>
    <row r="784" customFormat="false" ht="12" hidden="false" customHeight="false" outlineLevel="0" collapsed="false">
      <c r="A784" s="3" t="n">
        <f aca="false">A783+1</f>
        <v>775</v>
      </c>
      <c r="B784" s="3" t="n">
        <f aca="false">IF(A784&lt;$N$4/3,0.1,(IF(A784&gt;2*$N$4/3,0.05,0.12)))</f>
        <v>0.05</v>
      </c>
      <c r="C784" s="4" t="n">
        <f aca="true">RAND()</f>
        <v>0.71046963603267</v>
      </c>
      <c r="D784" s="0" t="n">
        <f aca="false">IF((C784&gt;$M$2),1,0)</f>
        <v>0</v>
      </c>
      <c r="E784" s="0" t="n">
        <f aca="false">1-D784</f>
        <v>1</v>
      </c>
      <c r="F784" s="0" t="n">
        <f aca="true">RAND()</f>
        <v>0.345805125957744</v>
      </c>
      <c r="G784" s="0" t="n">
        <f aca="false">7.75+F784*10</f>
        <v>11.2080512595774</v>
      </c>
      <c r="H784" s="0" t="n">
        <f aca="false">LOGINV(F784,2.64,1.139)</f>
        <v>8.91907270224467</v>
      </c>
      <c r="I784" s="0" t="n">
        <v>19.5</v>
      </c>
      <c r="J784" s="4" t="n">
        <f aca="true">-LN(RAND())/B784</f>
        <v>4.72335231061595</v>
      </c>
      <c r="K784" s="4" t="n">
        <f aca="false">K783+J784</f>
        <v>8494.43601777101</v>
      </c>
      <c r="L784" s="4" t="n">
        <f aca="false">(1/$J$4)*(1+AB783)</f>
        <v>10</v>
      </c>
      <c r="M784" s="4" t="n">
        <f aca="false">L784+MAX(K784,Y$10:Y783)</f>
        <v>8510.70494990343</v>
      </c>
      <c r="N784" s="4" t="n">
        <f aca="false">K784</f>
        <v>8494.43601777101</v>
      </c>
      <c r="O784" s="4" t="n">
        <f aca="false">M784-K784</f>
        <v>16.2689321324197</v>
      </c>
      <c r="P784" s="4" t="n">
        <f aca="false">N784-K784</f>
        <v>0</v>
      </c>
      <c r="Q784" s="4" t="n">
        <f aca="false">A784-MATCH(K784,$M$9:M783,1)</f>
        <v>1</v>
      </c>
      <c r="R784" s="0" t="n">
        <f aca="false">-G784*(O784/3600)</f>
        <v>-0.0506508403552072</v>
      </c>
      <c r="S784" s="0" t="n">
        <f aca="false">-1*I784-(H784*(P784/3600))</f>
        <v>-19.5</v>
      </c>
      <c r="T784" s="0" t="n">
        <f aca="false">-H784*(O784/3600)</f>
        <v>-0.0403066079102598</v>
      </c>
      <c r="U784" s="0" t="n">
        <f aca="false">T784-S784</f>
        <v>19.4596933920897</v>
      </c>
      <c r="V784" s="0" t="n">
        <f aca="false">1/(1+EXP(U784))</f>
        <v>3.5380383718738E-009</v>
      </c>
      <c r="W784" s="0" t="n">
        <f aca="true">RAND()</f>
        <v>0.368213512510407</v>
      </c>
      <c r="X784" s="0" t="n">
        <f aca="false">IF(W784&lt;V784,1,0)</f>
        <v>0</v>
      </c>
      <c r="Y784" s="0" t="n">
        <f aca="false">(M784*(1-X784)+N784*X784)*D784+M784*E784</f>
        <v>8510.70494990343</v>
      </c>
      <c r="Z784" s="0" t="n">
        <f aca="false">((1-X784)*O784+X784*P784)*D784+E784*O784</f>
        <v>16.2689321324197</v>
      </c>
      <c r="AA784" s="0" t="n">
        <f aca="false">IF(D784*X784&gt;0,AA783,Q784)</f>
        <v>1</v>
      </c>
      <c r="AB784" s="0" t="n">
        <f aca="false">(X784*D784)</f>
        <v>0</v>
      </c>
      <c r="AC784" s="0" t="n">
        <f aca="false">SUM(AB$10:AB783)/K784</f>
        <v>0.000117724119400973</v>
      </c>
      <c r="AD784" s="0" t="n">
        <f aca="false">R784*E784+D784*(X784*S784+(1-X784)*T784)</f>
        <v>-0.0506508403552072</v>
      </c>
      <c r="AE784" s="0" t="n">
        <f aca="false">Z784</f>
        <v>16.2689321324197</v>
      </c>
      <c r="AF784" s="0" t="n">
        <f aca="false">E784*O784</f>
        <v>16.2689321324197</v>
      </c>
      <c r="AG784" s="0" t="n">
        <f aca="false">((1-X784)*O784+X784*P784)*D784</f>
        <v>0</v>
      </c>
      <c r="AH784" s="0" t="n">
        <f aca="false">D784*(LN(EXP(S784)+EXP(T784)))</f>
        <v>-0</v>
      </c>
      <c r="AJ784" s="0" t="n">
        <f aca="false">$J$5</f>
        <v>10</v>
      </c>
      <c r="AK784" s="4" t="n">
        <f aca="false">AJ784+MAX(K784,AK$10:AK783)</f>
        <v>8510.70494990343</v>
      </c>
      <c r="AL784" s="5" t="n">
        <f aca="false">AK784-K784</f>
        <v>16.2689321324197</v>
      </c>
      <c r="AM784" s="0" t="n">
        <f aca="false">-G784*AL784/3600</f>
        <v>-0.0506508403552072</v>
      </c>
      <c r="AN784" s="0" t="n">
        <f aca="false">-H784*AL784/3600</f>
        <v>-0.0403066079102598</v>
      </c>
      <c r="AO784" s="0" t="n">
        <f aca="false">AM784*E784+AN784*D784</f>
        <v>-0.0506508403552072</v>
      </c>
      <c r="AP784" s="0" t="n">
        <f aca="false">AL784*D784</f>
        <v>0</v>
      </c>
      <c r="AR784" s="0" t="n">
        <f aca="false">AN784*D784</f>
        <v>-0</v>
      </c>
      <c r="AS784" s="0" t="n">
        <f aca="false">AH784-AR784</f>
        <v>0</v>
      </c>
    </row>
    <row r="785" customFormat="false" ht="12" hidden="false" customHeight="false" outlineLevel="0" collapsed="false">
      <c r="A785" s="3" t="n">
        <f aca="false">A784+1</f>
        <v>776</v>
      </c>
      <c r="B785" s="3" t="n">
        <f aca="false">IF(A785&lt;$N$4/3,0.1,(IF(A785&gt;2*$N$4/3,0.05,0.12)))</f>
        <v>0.05</v>
      </c>
      <c r="C785" s="4" t="n">
        <f aca="true">RAND()</f>
        <v>0.500088439643369</v>
      </c>
      <c r="D785" s="0" t="n">
        <f aca="false">IF((C785&gt;$M$2),1,0)</f>
        <v>0</v>
      </c>
      <c r="E785" s="0" t="n">
        <f aca="false">1-D785</f>
        <v>1</v>
      </c>
      <c r="F785" s="0" t="n">
        <f aca="true">RAND()</f>
        <v>0.264506998097535</v>
      </c>
      <c r="G785" s="0" t="n">
        <f aca="false">7.75+F785*10</f>
        <v>10.3950699809754</v>
      </c>
      <c r="H785" s="0" t="n">
        <f aca="false">LOGINV(F785,2.64,1.139)</f>
        <v>6.84135610639556</v>
      </c>
      <c r="I785" s="0" t="n">
        <v>19.5</v>
      </c>
      <c r="J785" s="4" t="n">
        <f aca="true">-LN(RAND())/B785</f>
        <v>4.83504374951105</v>
      </c>
      <c r="K785" s="4" t="n">
        <f aca="false">K784+J785</f>
        <v>8499.27106152052</v>
      </c>
      <c r="L785" s="4" t="n">
        <f aca="false">(1/$J$4)*(1+AB784)</f>
        <v>10</v>
      </c>
      <c r="M785" s="4" t="n">
        <f aca="false">L785+MAX(K785,Y$10:Y784)</f>
        <v>8520.70494990343</v>
      </c>
      <c r="N785" s="4" t="n">
        <f aca="false">K785</f>
        <v>8499.27106152052</v>
      </c>
      <c r="O785" s="4" t="n">
        <f aca="false">M785-K785</f>
        <v>21.4338883829078</v>
      </c>
      <c r="P785" s="4" t="n">
        <f aca="false">N785-K785</f>
        <v>0</v>
      </c>
      <c r="Q785" s="4" t="n">
        <f aca="false">A785-MATCH(K785,$M$9:M784,1)</f>
        <v>2</v>
      </c>
      <c r="R785" s="0" t="n">
        <f aca="false">-G785*(O785/3600)</f>
        <v>-0.061890769362428</v>
      </c>
      <c r="S785" s="0" t="n">
        <f aca="false">-1*I785-(H785*(P785/3600))</f>
        <v>-19.5</v>
      </c>
      <c r="T785" s="0" t="n">
        <f aca="false">-H785*(O785/3600)</f>
        <v>-0.0407324619922797</v>
      </c>
      <c r="U785" s="0" t="n">
        <f aca="false">T785-S785</f>
        <v>19.4592675380077</v>
      </c>
      <c r="V785" s="0" t="n">
        <f aca="false">1/(1+EXP(U785))</f>
        <v>3.53954538081166E-009</v>
      </c>
      <c r="W785" s="0" t="n">
        <f aca="true">RAND()</f>
        <v>0.690637944018337</v>
      </c>
      <c r="X785" s="0" t="n">
        <f aca="false">IF(W785&lt;V785,1,0)</f>
        <v>0</v>
      </c>
      <c r="Y785" s="0" t="n">
        <f aca="false">(M785*(1-X785)+N785*X785)*D785+M785*E785</f>
        <v>8520.70494990343</v>
      </c>
      <c r="Z785" s="0" t="n">
        <f aca="false">((1-X785)*O785+X785*P785)*D785+E785*O785</f>
        <v>21.4338883829078</v>
      </c>
      <c r="AA785" s="0" t="n">
        <f aca="false">IF(D785*X785&gt;0,AA784,Q785)</f>
        <v>2</v>
      </c>
      <c r="AB785" s="0" t="n">
        <f aca="false">(X785*D785)</f>
        <v>0</v>
      </c>
      <c r="AC785" s="0" t="n">
        <f aca="false">SUM(AB$10:AB784)/K785</f>
        <v>0.000117657148802723</v>
      </c>
      <c r="AD785" s="0" t="n">
        <f aca="false">R785*E785+D785*(X785*S785+(1-X785)*T785)</f>
        <v>-0.061890769362428</v>
      </c>
      <c r="AE785" s="0" t="n">
        <f aca="false">Z785</f>
        <v>21.4338883829078</v>
      </c>
      <c r="AF785" s="0" t="n">
        <f aca="false">E785*O785</f>
        <v>21.4338883829078</v>
      </c>
      <c r="AG785" s="0" t="n">
        <f aca="false">((1-X785)*O785+X785*P785)*D785</f>
        <v>0</v>
      </c>
      <c r="AH785" s="0" t="n">
        <f aca="false">D785*(LN(EXP(S785)+EXP(T785)))</f>
        <v>-0</v>
      </c>
      <c r="AJ785" s="0" t="n">
        <f aca="false">$J$5</f>
        <v>10</v>
      </c>
      <c r="AK785" s="4" t="n">
        <f aca="false">AJ785+MAX(K785,AK$10:AK784)</f>
        <v>8520.70494990343</v>
      </c>
      <c r="AL785" s="5" t="n">
        <f aca="false">AK785-K785</f>
        <v>21.4338883829078</v>
      </c>
      <c r="AM785" s="0" t="n">
        <f aca="false">-G785*AL785/3600</f>
        <v>-0.061890769362428</v>
      </c>
      <c r="AN785" s="0" t="n">
        <f aca="false">-H785*AL785/3600</f>
        <v>-0.0407324619922797</v>
      </c>
      <c r="AO785" s="0" t="n">
        <f aca="false">AM785*E785+AN785*D785</f>
        <v>-0.061890769362428</v>
      </c>
      <c r="AP785" s="0" t="n">
        <f aca="false">AL785*D785</f>
        <v>0</v>
      </c>
      <c r="AR785" s="0" t="n">
        <f aca="false">AN785*D785</f>
        <v>-0</v>
      </c>
      <c r="AS785" s="0" t="n">
        <f aca="false">AH785-AR785</f>
        <v>0</v>
      </c>
    </row>
    <row r="786" customFormat="false" ht="12" hidden="false" customHeight="false" outlineLevel="0" collapsed="false">
      <c r="A786" s="3" t="n">
        <f aca="false">A785+1</f>
        <v>777</v>
      </c>
      <c r="B786" s="3" t="n">
        <f aca="false">IF(A786&lt;$N$4/3,0.1,(IF(A786&gt;2*$N$4/3,0.05,0.12)))</f>
        <v>0.05</v>
      </c>
      <c r="C786" s="4" t="n">
        <f aca="true">RAND()</f>
        <v>0.0747863937282374</v>
      </c>
      <c r="D786" s="0" t="n">
        <f aca="false">IF((C786&gt;$M$2),1,0)</f>
        <v>0</v>
      </c>
      <c r="E786" s="0" t="n">
        <f aca="false">1-D786</f>
        <v>1</v>
      </c>
      <c r="F786" s="0" t="n">
        <f aca="true">RAND()</f>
        <v>0.811746793331914</v>
      </c>
      <c r="G786" s="0" t="n">
        <f aca="false">7.75+F786*10</f>
        <v>15.8674679333191</v>
      </c>
      <c r="H786" s="0" t="n">
        <f aca="false">LOGINV(F786,2.64,1.139)</f>
        <v>38.3700240875389</v>
      </c>
      <c r="I786" s="0" t="n">
        <v>19.5</v>
      </c>
      <c r="J786" s="4" t="n">
        <f aca="true">-LN(RAND())/B786</f>
        <v>18.1048686054887</v>
      </c>
      <c r="K786" s="4" t="n">
        <f aca="false">K785+J786</f>
        <v>8517.37593012601</v>
      </c>
      <c r="L786" s="4" t="n">
        <f aca="false">(1/$J$4)*(1+AB785)</f>
        <v>10</v>
      </c>
      <c r="M786" s="4" t="n">
        <f aca="false">L786+MAX(K786,Y$10:Y785)</f>
        <v>8530.70494990343</v>
      </c>
      <c r="N786" s="4" t="n">
        <f aca="false">K786</f>
        <v>8517.37593012601</v>
      </c>
      <c r="O786" s="4" t="n">
        <f aca="false">M786-K786</f>
        <v>13.3290197774186</v>
      </c>
      <c r="P786" s="4" t="n">
        <f aca="false">N786-K786</f>
        <v>0</v>
      </c>
      <c r="Q786" s="4" t="n">
        <f aca="false">A786-MATCH(K786,$M$9:M785,1)</f>
        <v>1</v>
      </c>
      <c r="R786" s="0" t="n">
        <f aca="false">-G786*(O786/3600)</f>
        <v>-0.0587493871946572</v>
      </c>
      <c r="S786" s="0" t="n">
        <f aca="false">-1*I786-(H786*(P786/3600))</f>
        <v>-19.5</v>
      </c>
      <c r="T786" s="0" t="n">
        <f aca="false">-H786*(O786/3600)</f>
        <v>-0.142065224978565</v>
      </c>
      <c r="U786" s="0" t="n">
        <f aca="false">T786-S786</f>
        <v>19.3579347750214</v>
      </c>
      <c r="V786" s="0" t="n">
        <f aca="false">1/(1+EXP(U786))</f>
        <v>3.91701959807017E-009</v>
      </c>
      <c r="W786" s="0" t="n">
        <f aca="true">RAND()</f>
        <v>0.613972108424969</v>
      </c>
      <c r="X786" s="0" t="n">
        <f aca="false">IF(W786&lt;V786,1,0)</f>
        <v>0</v>
      </c>
      <c r="Y786" s="0" t="n">
        <f aca="false">(M786*(1-X786)+N786*X786)*D786+M786*E786</f>
        <v>8530.70494990343</v>
      </c>
      <c r="Z786" s="0" t="n">
        <f aca="false">((1-X786)*O786+X786*P786)*D786+E786*O786</f>
        <v>13.3290197774186</v>
      </c>
      <c r="AA786" s="0" t="n">
        <f aca="false">IF(D786*X786&gt;0,AA785,Q786)</f>
        <v>1</v>
      </c>
      <c r="AB786" s="0" t="n">
        <f aca="false">(X786*D786)</f>
        <v>0</v>
      </c>
      <c r="AC786" s="0" t="n">
        <f aca="false">SUM(AB$10:AB785)/K786</f>
        <v>0.000117407052148889</v>
      </c>
      <c r="AD786" s="0" t="n">
        <f aca="false">R786*E786+D786*(X786*S786+(1-X786)*T786)</f>
        <v>-0.0587493871946572</v>
      </c>
      <c r="AE786" s="0" t="n">
        <f aca="false">Z786</f>
        <v>13.3290197774186</v>
      </c>
      <c r="AF786" s="0" t="n">
        <f aca="false">E786*O786</f>
        <v>13.3290197774186</v>
      </c>
      <c r="AG786" s="0" t="n">
        <f aca="false">((1-X786)*O786+X786*P786)*D786</f>
        <v>0</v>
      </c>
      <c r="AH786" s="0" t="n">
        <f aca="false">D786*(LN(EXP(S786)+EXP(T786)))</f>
        <v>-0</v>
      </c>
      <c r="AJ786" s="0" t="n">
        <f aca="false">$J$5</f>
        <v>10</v>
      </c>
      <c r="AK786" s="4" t="n">
        <f aca="false">AJ786+MAX(K786,AK$10:AK785)</f>
        <v>8530.70494990343</v>
      </c>
      <c r="AL786" s="5" t="n">
        <f aca="false">AK786-K786</f>
        <v>13.3290197774186</v>
      </c>
      <c r="AM786" s="0" t="n">
        <f aca="false">-G786*AL786/3600</f>
        <v>-0.0587493871946572</v>
      </c>
      <c r="AN786" s="0" t="n">
        <f aca="false">-H786*AL786/3600</f>
        <v>-0.142065224978565</v>
      </c>
      <c r="AO786" s="0" t="n">
        <f aca="false">AM786*E786+AN786*D786</f>
        <v>-0.0587493871946572</v>
      </c>
      <c r="AP786" s="0" t="n">
        <f aca="false">AL786*D786</f>
        <v>0</v>
      </c>
      <c r="AR786" s="0" t="n">
        <f aca="false">AN786*D786</f>
        <v>-0</v>
      </c>
      <c r="AS786" s="0" t="n">
        <f aca="false">AH786-AR786</f>
        <v>0</v>
      </c>
    </row>
    <row r="787" customFormat="false" ht="12" hidden="false" customHeight="false" outlineLevel="0" collapsed="false">
      <c r="A787" s="3" t="n">
        <f aca="false">A786+1</f>
        <v>778</v>
      </c>
      <c r="B787" s="3" t="n">
        <f aca="false">IF(A787&lt;$N$4/3,0.1,(IF(A787&gt;2*$N$4/3,0.05,0.12)))</f>
        <v>0.05</v>
      </c>
      <c r="C787" s="4" t="n">
        <f aca="true">RAND()</f>
        <v>0.367453880654653</v>
      </c>
      <c r="D787" s="0" t="n">
        <f aca="false">IF((C787&gt;$M$2),1,0)</f>
        <v>0</v>
      </c>
      <c r="E787" s="0" t="n">
        <f aca="false">1-D787</f>
        <v>1</v>
      </c>
      <c r="F787" s="0" t="n">
        <f aca="true">RAND()</f>
        <v>0.0772961208059566</v>
      </c>
      <c r="G787" s="0" t="n">
        <f aca="false">7.75+F787*10</f>
        <v>8.52296120805957</v>
      </c>
      <c r="H787" s="0" t="n">
        <f aca="false">LOGINV(F787,2.64,1.139)</f>
        <v>2.76941844709821</v>
      </c>
      <c r="I787" s="0" t="n">
        <v>19.5</v>
      </c>
      <c r="J787" s="4" t="n">
        <f aca="true">-LN(RAND())/B787</f>
        <v>27.6946594797536</v>
      </c>
      <c r="K787" s="4" t="n">
        <f aca="false">K786+J787</f>
        <v>8545.07058960577</v>
      </c>
      <c r="L787" s="4" t="n">
        <f aca="false">(1/$J$4)*(1+AB786)</f>
        <v>10</v>
      </c>
      <c r="M787" s="4" t="n">
        <f aca="false">L787+MAX(K787,Y$10:Y786)</f>
        <v>8555.07058960577</v>
      </c>
      <c r="N787" s="4" t="n">
        <f aca="false">K787</f>
        <v>8545.07058960577</v>
      </c>
      <c r="O787" s="4" t="n">
        <f aca="false">M787-K787</f>
        <v>10</v>
      </c>
      <c r="P787" s="4" t="n">
        <f aca="false">N787-K787</f>
        <v>0</v>
      </c>
      <c r="Q787" s="4" t="n">
        <f aca="false">A787-MATCH(K787,$M$9:M786,1)</f>
        <v>0</v>
      </c>
      <c r="R787" s="0" t="n">
        <f aca="false">-G787*(O787/3600)</f>
        <v>-0.0236748922446099</v>
      </c>
      <c r="S787" s="0" t="n">
        <f aca="false">-1*I787-(H787*(P787/3600))</f>
        <v>-19.5</v>
      </c>
      <c r="T787" s="0" t="n">
        <f aca="false">-H787*(O787/3600)</f>
        <v>-0.00769282901971726</v>
      </c>
      <c r="U787" s="0" t="n">
        <f aca="false">T787-S787</f>
        <v>19.4923071709803</v>
      </c>
      <c r="V787" s="0" t="n">
        <f aca="false">1/(1+EXP(U787))</f>
        <v>3.42451091350779E-009</v>
      </c>
      <c r="W787" s="0" t="n">
        <f aca="true">RAND()</f>
        <v>0.432148450992037</v>
      </c>
      <c r="X787" s="0" t="n">
        <f aca="false">IF(W787&lt;V787,1,0)</f>
        <v>0</v>
      </c>
      <c r="Y787" s="0" t="n">
        <f aca="false">(M787*(1-X787)+N787*X787)*D787+M787*E787</f>
        <v>8555.07058960577</v>
      </c>
      <c r="Z787" s="0" t="n">
        <f aca="false">((1-X787)*O787+X787*P787)*D787+E787*O787</f>
        <v>10</v>
      </c>
      <c r="AA787" s="0" t="n">
        <f aca="false">IF(D787*X787&gt;0,AA786,Q787)</f>
        <v>0</v>
      </c>
      <c r="AB787" s="0" t="n">
        <f aca="false">(X787*D787)</f>
        <v>0</v>
      </c>
      <c r="AC787" s="0" t="n">
        <f aca="false">SUM(AB$10:AB786)/K787</f>
        <v>0.000117026534715395</v>
      </c>
      <c r="AD787" s="0" t="n">
        <f aca="false">R787*E787+D787*(X787*S787+(1-X787)*T787)</f>
        <v>-0.0236748922446099</v>
      </c>
      <c r="AE787" s="0" t="n">
        <f aca="false">Z787</f>
        <v>10</v>
      </c>
      <c r="AF787" s="0" t="n">
        <f aca="false">E787*O787</f>
        <v>10</v>
      </c>
      <c r="AG787" s="0" t="n">
        <f aca="false">((1-X787)*O787+X787*P787)*D787</f>
        <v>0</v>
      </c>
      <c r="AH787" s="0" t="n">
        <f aca="false">D787*(LN(EXP(S787)+EXP(T787)))</f>
        <v>-0</v>
      </c>
      <c r="AJ787" s="0" t="n">
        <f aca="false">$J$5</f>
        <v>10</v>
      </c>
      <c r="AK787" s="4" t="n">
        <f aca="false">AJ787+MAX(K787,AK$10:AK786)</f>
        <v>8555.07058960577</v>
      </c>
      <c r="AL787" s="5" t="n">
        <f aca="false">AK787-K787</f>
        <v>10</v>
      </c>
      <c r="AM787" s="0" t="n">
        <f aca="false">-G787*AL787/3600</f>
        <v>-0.0236748922446099</v>
      </c>
      <c r="AN787" s="0" t="n">
        <f aca="false">-H787*AL787/3600</f>
        <v>-0.00769282901971726</v>
      </c>
      <c r="AO787" s="0" t="n">
        <f aca="false">AM787*E787+AN787*D787</f>
        <v>-0.0236748922446099</v>
      </c>
      <c r="AP787" s="0" t="n">
        <f aca="false">AL787*D787</f>
        <v>0</v>
      </c>
      <c r="AR787" s="0" t="n">
        <f aca="false">AN787*D787</f>
        <v>-0</v>
      </c>
      <c r="AS787" s="0" t="n">
        <f aca="false">AH787-AR787</f>
        <v>0</v>
      </c>
    </row>
    <row r="788" customFormat="false" ht="12" hidden="false" customHeight="false" outlineLevel="0" collapsed="false">
      <c r="A788" s="3" t="n">
        <f aca="false">A787+1</f>
        <v>779</v>
      </c>
      <c r="B788" s="3" t="n">
        <f aca="false">IF(A788&lt;$N$4/3,0.1,(IF(A788&gt;2*$N$4/3,0.05,0.12)))</f>
        <v>0.05</v>
      </c>
      <c r="C788" s="4" t="n">
        <f aca="true">RAND()</f>
        <v>0.624512565609809</v>
      </c>
      <c r="D788" s="0" t="n">
        <f aca="false">IF((C788&gt;$M$2),1,0)</f>
        <v>0</v>
      </c>
      <c r="E788" s="0" t="n">
        <f aca="false">1-D788</f>
        <v>1</v>
      </c>
      <c r="F788" s="0" t="n">
        <f aca="true">RAND()</f>
        <v>0.322905573330456</v>
      </c>
      <c r="G788" s="0" t="n">
        <f aca="false">7.75+F788*10</f>
        <v>10.9790557333046</v>
      </c>
      <c r="H788" s="0" t="n">
        <f aca="false">LOGINV(F788,2.64,1.139)</f>
        <v>8.30226156345128</v>
      </c>
      <c r="I788" s="0" t="n">
        <v>19.5</v>
      </c>
      <c r="J788" s="4" t="n">
        <f aca="true">-LN(RAND())/B788</f>
        <v>3.51179769723218</v>
      </c>
      <c r="K788" s="4" t="n">
        <f aca="false">K787+J788</f>
        <v>8548.582387303</v>
      </c>
      <c r="L788" s="4" t="n">
        <f aca="false">(1/$J$4)*(1+AB787)</f>
        <v>10</v>
      </c>
      <c r="M788" s="4" t="n">
        <f aca="false">L788+MAX(K788,Y$10:Y787)</f>
        <v>8565.07058960577</v>
      </c>
      <c r="N788" s="4" t="n">
        <f aca="false">K788</f>
        <v>8548.582387303</v>
      </c>
      <c r="O788" s="4" t="n">
        <f aca="false">M788-K788</f>
        <v>16.4882023027676</v>
      </c>
      <c r="P788" s="4" t="n">
        <f aca="false">N788-K788</f>
        <v>0</v>
      </c>
      <c r="Q788" s="4" t="n">
        <f aca="false">A788-MATCH(K788,$M$9:M787,1)</f>
        <v>1</v>
      </c>
      <c r="R788" s="0" t="n">
        <f aca="false">-G788*(O788/3600)</f>
        <v>-0.0502846922289128</v>
      </c>
      <c r="S788" s="0" t="n">
        <f aca="false">-1*I788-(H788*(P788/3600))</f>
        <v>-19.5</v>
      </c>
      <c r="T788" s="0" t="n">
        <f aca="false">-H788*(O788/3600)</f>
        <v>-0.0380248245079657</v>
      </c>
      <c r="U788" s="0" t="n">
        <f aca="false">T788-S788</f>
        <v>19.461975175492</v>
      </c>
      <c r="V788" s="0" t="n">
        <f aca="false">1/(1+EXP(U788))</f>
        <v>3.52997453812839E-009</v>
      </c>
      <c r="W788" s="0" t="n">
        <f aca="true">RAND()</f>
        <v>0.662386856909213</v>
      </c>
      <c r="X788" s="0" t="n">
        <f aca="false">IF(W788&lt;V788,1,0)</f>
        <v>0</v>
      </c>
      <c r="Y788" s="0" t="n">
        <f aca="false">(M788*(1-X788)+N788*X788)*D788+M788*E788</f>
        <v>8565.07058960577</v>
      </c>
      <c r="Z788" s="0" t="n">
        <f aca="false">((1-X788)*O788+X788*P788)*D788+E788*O788</f>
        <v>16.4882023027676</v>
      </c>
      <c r="AA788" s="0" t="n">
        <f aca="false">IF(D788*X788&gt;0,AA787,Q788)</f>
        <v>1</v>
      </c>
      <c r="AB788" s="0" t="n">
        <f aca="false">(X788*D788)</f>
        <v>0</v>
      </c>
      <c r="AC788" s="0" t="n">
        <f aca="false">SUM(AB$10:AB787)/K788</f>
        <v>0.000116978459666631</v>
      </c>
      <c r="AD788" s="0" t="n">
        <f aca="false">R788*E788+D788*(X788*S788+(1-X788)*T788)</f>
        <v>-0.0502846922289128</v>
      </c>
      <c r="AE788" s="0" t="n">
        <f aca="false">Z788</f>
        <v>16.4882023027676</v>
      </c>
      <c r="AF788" s="0" t="n">
        <f aca="false">E788*O788</f>
        <v>16.4882023027676</v>
      </c>
      <c r="AG788" s="0" t="n">
        <f aca="false">((1-X788)*O788+X788*P788)*D788</f>
        <v>0</v>
      </c>
      <c r="AH788" s="0" t="n">
        <f aca="false">D788*(LN(EXP(S788)+EXP(T788)))</f>
        <v>-0</v>
      </c>
      <c r="AJ788" s="0" t="n">
        <f aca="false">$J$5</f>
        <v>10</v>
      </c>
      <c r="AK788" s="4" t="n">
        <f aca="false">AJ788+MAX(K788,AK$10:AK787)</f>
        <v>8565.07058960577</v>
      </c>
      <c r="AL788" s="5" t="n">
        <f aca="false">AK788-K788</f>
        <v>16.4882023027676</v>
      </c>
      <c r="AM788" s="0" t="n">
        <f aca="false">-G788*AL788/3600</f>
        <v>-0.0502846922289128</v>
      </c>
      <c r="AN788" s="0" t="n">
        <f aca="false">-H788*AL788/3600</f>
        <v>-0.0380248245079657</v>
      </c>
      <c r="AO788" s="0" t="n">
        <f aca="false">AM788*E788+AN788*D788</f>
        <v>-0.0502846922289128</v>
      </c>
      <c r="AP788" s="0" t="n">
        <f aca="false">AL788*D788</f>
        <v>0</v>
      </c>
      <c r="AR788" s="0" t="n">
        <f aca="false">AN788*D788</f>
        <v>-0</v>
      </c>
      <c r="AS788" s="0" t="n">
        <f aca="false">AH788-AR788</f>
        <v>0</v>
      </c>
    </row>
    <row r="789" customFormat="false" ht="12" hidden="false" customHeight="false" outlineLevel="0" collapsed="false">
      <c r="A789" s="3" t="n">
        <f aca="false">A788+1</f>
        <v>780</v>
      </c>
      <c r="B789" s="3" t="n">
        <f aca="false">IF(A789&lt;$N$4/3,0.1,(IF(A789&gt;2*$N$4/3,0.05,0.12)))</f>
        <v>0.05</v>
      </c>
      <c r="C789" s="4" t="n">
        <f aca="true">RAND()</f>
        <v>0.46979928838828</v>
      </c>
      <c r="D789" s="0" t="n">
        <f aca="false">IF((C789&gt;$M$2),1,0)</f>
        <v>0</v>
      </c>
      <c r="E789" s="0" t="n">
        <f aca="false">1-D789</f>
        <v>1</v>
      </c>
      <c r="F789" s="0" t="n">
        <f aca="true">RAND()</f>
        <v>0.770623689366216</v>
      </c>
      <c r="G789" s="0" t="n">
        <f aca="false">7.75+F789*10</f>
        <v>15.4562368936622</v>
      </c>
      <c r="H789" s="0" t="n">
        <f aca="false">LOGINV(F789,2.64,1.139)</f>
        <v>32.58616564569</v>
      </c>
      <c r="I789" s="0" t="n">
        <v>19.5</v>
      </c>
      <c r="J789" s="4" t="n">
        <f aca="true">-LN(RAND())/B789</f>
        <v>12.4385112191141</v>
      </c>
      <c r="K789" s="4" t="n">
        <f aca="false">K788+J789</f>
        <v>8561.02089852211</v>
      </c>
      <c r="L789" s="4" t="n">
        <f aca="false">(1/$J$4)*(1+AB788)</f>
        <v>10</v>
      </c>
      <c r="M789" s="4" t="n">
        <f aca="false">L789+MAX(K789,Y$10:Y788)</f>
        <v>8575.07058960577</v>
      </c>
      <c r="N789" s="4" t="n">
        <f aca="false">K789</f>
        <v>8561.02089852211</v>
      </c>
      <c r="O789" s="4" t="n">
        <f aca="false">M789-K789</f>
        <v>14.0496910836537</v>
      </c>
      <c r="P789" s="4" t="n">
        <f aca="false">N789-K789</f>
        <v>0</v>
      </c>
      <c r="Q789" s="4" t="n">
        <f aca="false">A789-MATCH(K789,$M$9:M788,1)</f>
        <v>1</v>
      </c>
      <c r="R789" s="0" t="n">
        <f aca="false">-G789*(O789/3600)</f>
        <v>-0.0603209315754789</v>
      </c>
      <c r="S789" s="0" t="n">
        <f aca="false">-1*I789-(H789*(P789/3600))</f>
        <v>-19.5</v>
      </c>
      <c r="T789" s="0" t="n">
        <f aca="false">-H789*(O789/3600)</f>
        <v>-0.127173766922976</v>
      </c>
      <c r="U789" s="0" t="n">
        <f aca="false">T789-S789</f>
        <v>19.372826233077</v>
      </c>
      <c r="V789" s="0" t="n">
        <f aca="false">1/(1+EXP(U789))</f>
        <v>3.8591216277747E-009</v>
      </c>
      <c r="W789" s="0" t="n">
        <f aca="true">RAND()</f>
        <v>0.898539935363654</v>
      </c>
      <c r="X789" s="0" t="n">
        <f aca="false">IF(W789&lt;V789,1,0)</f>
        <v>0</v>
      </c>
      <c r="Y789" s="0" t="n">
        <f aca="false">(M789*(1-X789)+N789*X789)*D789+M789*E789</f>
        <v>8575.07058960577</v>
      </c>
      <c r="Z789" s="0" t="n">
        <f aca="false">((1-X789)*O789+X789*P789)*D789+E789*O789</f>
        <v>14.0496910836537</v>
      </c>
      <c r="AA789" s="0" t="n">
        <f aca="false">IF(D789*X789&gt;0,AA788,Q789)</f>
        <v>1</v>
      </c>
      <c r="AB789" s="0" t="n">
        <f aca="false">(X789*D789)</f>
        <v>0</v>
      </c>
      <c r="AC789" s="0" t="n">
        <f aca="false">SUM(AB$10:AB788)/K789</f>
        <v>0.000116808498875716</v>
      </c>
      <c r="AD789" s="0" t="n">
        <f aca="false">R789*E789+D789*(X789*S789+(1-X789)*T789)</f>
        <v>-0.0603209315754789</v>
      </c>
      <c r="AE789" s="0" t="n">
        <f aca="false">Z789</f>
        <v>14.0496910836537</v>
      </c>
      <c r="AF789" s="0" t="n">
        <f aca="false">E789*O789</f>
        <v>14.0496910836537</v>
      </c>
      <c r="AG789" s="0" t="n">
        <f aca="false">((1-X789)*O789+X789*P789)*D789</f>
        <v>0</v>
      </c>
      <c r="AH789" s="0" t="n">
        <f aca="false">D789*(LN(EXP(S789)+EXP(T789)))</f>
        <v>-0</v>
      </c>
      <c r="AJ789" s="0" t="n">
        <f aca="false">$J$5</f>
        <v>10</v>
      </c>
      <c r="AK789" s="4" t="n">
        <f aca="false">AJ789+MAX(K789,AK$10:AK788)</f>
        <v>8575.07058960577</v>
      </c>
      <c r="AL789" s="5" t="n">
        <f aca="false">AK789-K789</f>
        <v>14.0496910836537</v>
      </c>
      <c r="AM789" s="0" t="n">
        <f aca="false">-G789*AL789/3600</f>
        <v>-0.0603209315754789</v>
      </c>
      <c r="AN789" s="0" t="n">
        <f aca="false">-H789*AL789/3600</f>
        <v>-0.127173766922976</v>
      </c>
      <c r="AO789" s="0" t="n">
        <f aca="false">AM789*E789+AN789*D789</f>
        <v>-0.0603209315754789</v>
      </c>
      <c r="AP789" s="0" t="n">
        <f aca="false">AL789*D789</f>
        <v>0</v>
      </c>
      <c r="AR789" s="0" t="n">
        <f aca="false">AN789*D789</f>
        <v>-0</v>
      </c>
      <c r="AS789" s="0" t="n">
        <f aca="false">AH789-AR789</f>
        <v>0</v>
      </c>
    </row>
    <row r="790" customFormat="false" ht="12" hidden="false" customHeight="false" outlineLevel="0" collapsed="false">
      <c r="A790" s="3" t="n">
        <f aca="false">A789+1</f>
        <v>781</v>
      </c>
      <c r="B790" s="3" t="n">
        <f aca="false">IF(A790&lt;$N$4/3,0.1,(IF(A790&gt;2*$N$4/3,0.05,0.12)))</f>
        <v>0.05</v>
      </c>
      <c r="C790" s="4" t="n">
        <f aca="true">RAND()</f>
        <v>0.860802647376955</v>
      </c>
      <c r="D790" s="0" t="n">
        <f aca="false">IF((C790&gt;$M$2),1,0)</f>
        <v>0</v>
      </c>
      <c r="E790" s="0" t="n">
        <f aca="false">1-D790</f>
        <v>1</v>
      </c>
      <c r="F790" s="0" t="n">
        <f aca="true">RAND()</f>
        <v>0.604588852787713</v>
      </c>
      <c r="G790" s="0" t="n">
        <f aca="false">7.75+F790*10</f>
        <v>13.7958885278771</v>
      </c>
      <c r="H790" s="0" t="n">
        <f aca="false">LOGINV(F790,2.64,1.139)</f>
        <v>18.9558339294875</v>
      </c>
      <c r="I790" s="0" t="n">
        <v>19.5</v>
      </c>
      <c r="J790" s="4" t="n">
        <f aca="true">-LN(RAND())/B790</f>
        <v>13.9472140350622</v>
      </c>
      <c r="K790" s="4" t="n">
        <f aca="false">K789+J790</f>
        <v>8574.96811255718</v>
      </c>
      <c r="L790" s="4" t="n">
        <f aca="false">(1/$J$4)*(1+AB789)</f>
        <v>10</v>
      </c>
      <c r="M790" s="4" t="n">
        <f aca="false">L790+MAX(K790,Y$10:Y789)</f>
        <v>8585.07058960577</v>
      </c>
      <c r="N790" s="4" t="n">
        <f aca="false">K790</f>
        <v>8574.96811255718</v>
      </c>
      <c r="O790" s="4" t="n">
        <f aca="false">M790-K790</f>
        <v>10.102477048591</v>
      </c>
      <c r="P790" s="4" t="n">
        <f aca="false">N790-K790</f>
        <v>0</v>
      </c>
      <c r="Q790" s="4" t="n">
        <f aca="false">A790-MATCH(K790,$M$9:M789,1)</f>
        <v>1</v>
      </c>
      <c r="R790" s="0" t="n">
        <f aca="false">-G790*(O790/3600)</f>
        <v>-0.0387146242271664</v>
      </c>
      <c r="S790" s="0" t="n">
        <f aca="false">-1*I790-(H790*(P790/3600))</f>
        <v>-19.5</v>
      </c>
      <c r="T790" s="0" t="n">
        <f aca="false">-H790*(O790/3600)</f>
        <v>-0.053194688113764</v>
      </c>
      <c r="U790" s="0" t="n">
        <f aca="false">T790-S790</f>
        <v>19.4468053118862</v>
      </c>
      <c r="V790" s="0" t="n">
        <f aca="false">1/(1+EXP(U790))</f>
        <v>3.58393199913211E-009</v>
      </c>
      <c r="W790" s="0" t="n">
        <f aca="true">RAND()</f>
        <v>0.672326569260431</v>
      </c>
      <c r="X790" s="0" t="n">
        <f aca="false">IF(W790&lt;V790,1,0)</f>
        <v>0</v>
      </c>
      <c r="Y790" s="0" t="n">
        <f aca="false">(M790*(1-X790)+N790*X790)*D790+M790*E790</f>
        <v>8585.07058960577</v>
      </c>
      <c r="Z790" s="0" t="n">
        <f aca="false">((1-X790)*O790+X790*P790)*D790+E790*O790</f>
        <v>10.102477048591</v>
      </c>
      <c r="AA790" s="0" t="n">
        <f aca="false">IF(D790*X790&gt;0,AA789,Q790)</f>
        <v>1</v>
      </c>
      <c r="AB790" s="0" t="n">
        <f aca="false">(X790*D790)</f>
        <v>0</v>
      </c>
      <c r="AC790" s="0" t="n">
        <f aca="false">SUM(AB$10:AB789)/K790</f>
        <v>0.000116618509465429</v>
      </c>
      <c r="AD790" s="0" t="n">
        <f aca="false">R790*E790+D790*(X790*S790+(1-X790)*T790)</f>
        <v>-0.0387146242271664</v>
      </c>
      <c r="AE790" s="0" t="n">
        <f aca="false">Z790</f>
        <v>10.102477048591</v>
      </c>
      <c r="AF790" s="0" t="n">
        <f aca="false">E790*O790</f>
        <v>10.102477048591</v>
      </c>
      <c r="AG790" s="0" t="n">
        <f aca="false">((1-X790)*O790+X790*P790)*D790</f>
        <v>0</v>
      </c>
      <c r="AH790" s="0" t="n">
        <f aca="false">D790*(LN(EXP(S790)+EXP(T790)))</f>
        <v>-0</v>
      </c>
      <c r="AJ790" s="0" t="n">
        <f aca="false">$J$5</f>
        <v>10</v>
      </c>
      <c r="AK790" s="4" t="n">
        <f aca="false">AJ790+MAX(K790,AK$10:AK789)</f>
        <v>8585.07058960577</v>
      </c>
      <c r="AL790" s="5" t="n">
        <f aca="false">AK790-K790</f>
        <v>10.102477048591</v>
      </c>
      <c r="AM790" s="0" t="n">
        <f aca="false">-G790*AL790/3600</f>
        <v>-0.0387146242271664</v>
      </c>
      <c r="AN790" s="0" t="n">
        <f aca="false">-H790*AL790/3600</f>
        <v>-0.053194688113764</v>
      </c>
      <c r="AO790" s="0" t="n">
        <f aca="false">AM790*E790+AN790*D790</f>
        <v>-0.0387146242271664</v>
      </c>
      <c r="AP790" s="0" t="n">
        <f aca="false">AL790*D790</f>
        <v>0</v>
      </c>
      <c r="AR790" s="0" t="n">
        <f aca="false">AN790*D790</f>
        <v>-0</v>
      </c>
      <c r="AS790" s="0" t="n">
        <f aca="false">AH790-AR790</f>
        <v>0</v>
      </c>
    </row>
    <row r="791" customFormat="false" ht="12" hidden="false" customHeight="false" outlineLevel="0" collapsed="false">
      <c r="A791" s="3" t="n">
        <f aca="false">A790+1</f>
        <v>782</v>
      </c>
      <c r="B791" s="3" t="n">
        <f aca="false">IF(A791&lt;$N$4/3,0.1,(IF(A791&gt;2*$N$4/3,0.05,0.12)))</f>
        <v>0.05</v>
      </c>
      <c r="C791" s="4" t="n">
        <f aca="true">RAND()</f>
        <v>0.365481637527028</v>
      </c>
      <c r="D791" s="0" t="n">
        <f aca="false">IF((C791&gt;$M$2),1,0)</f>
        <v>0</v>
      </c>
      <c r="E791" s="0" t="n">
        <f aca="false">1-D791</f>
        <v>1</v>
      </c>
      <c r="F791" s="0" t="n">
        <f aca="true">RAND()</f>
        <v>0.866596573819645</v>
      </c>
      <c r="G791" s="0" t="n">
        <f aca="false">7.75+F791*10</f>
        <v>16.4159657381964</v>
      </c>
      <c r="H791" s="0" t="n">
        <f aca="false">LOGINV(F791,2.64,1.139)</f>
        <v>49.6400556451535</v>
      </c>
      <c r="I791" s="0" t="n">
        <v>19.5</v>
      </c>
      <c r="J791" s="4" t="n">
        <f aca="true">-LN(RAND())/B791</f>
        <v>12.2368711910735</v>
      </c>
      <c r="K791" s="4" t="n">
        <f aca="false">K790+J791</f>
        <v>8587.20498374825</v>
      </c>
      <c r="L791" s="4" t="n">
        <f aca="false">(1/$J$4)*(1+AB790)</f>
        <v>10</v>
      </c>
      <c r="M791" s="4" t="n">
        <f aca="false">L791+MAX(K791,Y$10:Y790)</f>
        <v>8597.20498374825</v>
      </c>
      <c r="N791" s="4" t="n">
        <f aca="false">K791</f>
        <v>8587.20498374825</v>
      </c>
      <c r="O791" s="4" t="n">
        <f aca="false">M791-K791</f>
        <v>10</v>
      </c>
      <c r="P791" s="4" t="n">
        <f aca="false">N791-K791</f>
        <v>0</v>
      </c>
      <c r="Q791" s="4" t="n">
        <f aca="false">A791-MATCH(K791,$M$9:M790,1)</f>
        <v>0</v>
      </c>
      <c r="R791" s="0" t="n">
        <f aca="false">-G791*(O791/3600)</f>
        <v>-0.0455999048283235</v>
      </c>
      <c r="S791" s="0" t="n">
        <f aca="false">-1*I791-(H791*(P791/3600))</f>
        <v>-19.5</v>
      </c>
      <c r="T791" s="0" t="n">
        <f aca="false">-H791*(O791/3600)</f>
        <v>-0.13788904345876</v>
      </c>
      <c r="U791" s="0" t="n">
        <f aca="false">T791-S791</f>
        <v>19.3621109565412</v>
      </c>
      <c r="V791" s="0" t="n">
        <f aca="false">1/(1+EXP(U791))</f>
        <v>3.90069552315078E-009</v>
      </c>
      <c r="W791" s="0" t="n">
        <f aca="true">RAND()</f>
        <v>0.85790558260363</v>
      </c>
      <c r="X791" s="0" t="n">
        <f aca="false">IF(W791&lt;V791,1,0)</f>
        <v>0</v>
      </c>
      <c r="Y791" s="0" t="n">
        <f aca="false">(M791*(1-X791)+N791*X791)*D791+M791*E791</f>
        <v>8597.20498374825</v>
      </c>
      <c r="Z791" s="0" t="n">
        <f aca="false">((1-X791)*O791+X791*P791)*D791+E791*O791</f>
        <v>10</v>
      </c>
      <c r="AA791" s="0" t="n">
        <f aca="false">IF(D791*X791&gt;0,AA790,Q791)</f>
        <v>0</v>
      </c>
      <c r="AB791" s="0" t="n">
        <f aca="false">(X791*D791)</f>
        <v>0</v>
      </c>
      <c r="AC791" s="0" t="n">
        <f aca="false">SUM(AB$10:AB790)/K791</f>
        <v>0.000116452326675857</v>
      </c>
      <c r="AD791" s="0" t="n">
        <f aca="false">R791*E791+D791*(X791*S791+(1-X791)*T791)</f>
        <v>-0.0455999048283235</v>
      </c>
      <c r="AE791" s="0" t="n">
        <f aca="false">Z791</f>
        <v>10</v>
      </c>
      <c r="AF791" s="0" t="n">
        <f aca="false">E791*O791</f>
        <v>10</v>
      </c>
      <c r="AG791" s="0" t="n">
        <f aca="false">((1-X791)*O791+X791*P791)*D791</f>
        <v>0</v>
      </c>
      <c r="AH791" s="0" t="n">
        <f aca="false">D791*(LN(EXP(S791)+EXP(T791)))</f>
        <v>-0</v>
      </c>
      <c r="AJ791" s="0" t="n">
        <f aca="false">$J$5</f>
        <v>10</v>
      </c>
      <c r="AK791" s="4" t="n">
        <f aca="false">AJ791+MAX(K791,AK$10:AK790)</f>
        <v>8597.20498374825</v>
      </c>
      <c r="AL791" s="5" t="n">
        <f aca="false">AK791-K791</f>
        <v>10</v>
      </c>
      <c r="AM791" s="0" t="n">
        <f aca="false">-G791*AL791/3600</f>
        <v>-0.0455999048283235</v>
      </c>
      <c r="AN791" s="0" t="n">
        <f aca="false">-H791*AL791/3600</f>
        <v>-0.13788904345876</v>
      </c>
      <c r="AO791" s="0" t="n">
        <f aca="false">AM791*E791+AN791*D791</f>
        <v>-0.0455999048283235</v>
      </c>
      <c r="AP791" s="0" t="n">
        <f aca="false">AL791*D791</f>
        <v>0</v>
      </c>
      <c r="AR791" s="0" t="n">
        <f aca="false">AN791*D791</f>
        <v>-0</v>
      </c>
      <c r="AS791" s="0" t="n">
        <f aca="false">AH791-AR791</f>
        <v>0</v>
      </c>
    </row>
    <row r="792" customFormat="false" ht="12" hidden="false" customHeight="false" outlineLevel="0" collapsed="false">
      <c r="A792" s="3" t="n">
        <f aca="false">A791+1</f>
        <v>783</v>
      </c>
      <c r="B792" s="3" t="n">
        <f aca="false">IF(A792&lt;$N$4/3,0.1,(IF(A792&gt;2*$N$4/3,0.05,0.12)))</f>
        <v>0.05</v>
      </c>
      <c r="C792" s="4" t="n">
        <f aca="true">RAND()</f>
        <v>0.173494124974382</v>
      </c>
      <c r="D792" s="0" t="n">
        <f aca="false">IF((C792&gt;$M$2),1,0)</f>
        <v>0</v>
      </c>
      <c r="E792" s="0" t="n">
        <f aca="false">1-D792</f>
        <v>1</v>
      </c>
      <c r="F792" s="0" t="n">
        <f aca="true">RAND()</f>
        <v>0.984556926372947</v>
      </c>
      <c r="G792" s="0" t="n">
        <f aca="false">7.75+F792*10</f>
        <v>17.5955692637295</v>
      </c>
      <c r="H792" s="0" t="n">
        <f aca="false">LOGINV(F792,2.64,1.139)</f>
        <v>163.788018594861</v>
      </c>
      <c r="I792" s="0" t="n">
        <v>19.5</v>
      </c>
      <c r="J792" s="4" t="n">
        <f aca="true">-LN(RAND())/B792</f>
        <v>68.8265446497733</v>
      </c>
      <c r="K792" s="4" t="n">
        <f aca="false">K791+J792</f>
        <v>8656.03152839802</v>
      </c>
      <c r="L792" s="4" t="n">
        <f aca="false">(1/$J$4)*(1+AB791)</f>
        <v>10</v>
      </c>
      <c r="M792" s="4" t="n">
        <f aca="false">L792+MAX(K792,Y$10:Y791)</f>
        <v>8666.03152839802</v>
      </c>
      <c r="N792" s="4" t="n">
        <f aca="false">K792</f>
        <v>8656.03152839802</v>
      </c>
      <c r="O792" s="4" t="n">
        <f aca="false">M792-K792</f>
        <v>10</v>
      </c>
      <c r="P792" s="4" t="n">
        <f aca="false">N792-K792</f>
        <v>0</v>
      </c>
      <c r="Q792" s="4" t="n">
        <f aca="false">A792-MATCH(K792,$M$9:M791,1)</f>
        <v>0</v>
      </c>
      <c r="R792" s="0" t="n">
        <f aca="false">-G792*(O792/3600)</f>
        <v>-0.0488765812881374</v>
      </c>
      <c r="S792" s="0" t="n">
        <f aca="false">-1*I792-(H792*(P792/3600))</f>
        <v>-19.5</v>
      </c>
      <c r="T792" s="0" t="n">
        <f aca="false">-H792*(O792/3600)</f>
        <v>-0.454966718319059</v>
      </c>
      <c r="U792" s="0" t="n">
        <f aca="false">T792-S792</f>
        <v>19.0450332816809</v>
      </c>
      <c r="V792" s="0" t="n">
        <f aca="false">1/(1+EXP(U792))</f>
        <v>5.35608099447537E-009</v>
      </c>
      <c r="W792" s="0" t="n">
        <f aca="true">RAND()</f>
        <v>0.462170172945761</v>
      </c>
      <c r="X792" s="0" t="n">
        <f aca="false">IF(W792&lt;V792,1,0)</f>
        <v>0</v>
      </c>
      <c r="Y792" s="0" t="n">
        <f aca="false">(M792*(1-X792)+N792*X792)*D792+M792*E792</f>
        <v>8666.03152839802</v>
      </c>
      <c r="Z792" s="0" t="n">
        <f aca="false">((1-X792)*O792+X792*P792)*D792+E792*O792</f>
        <v>10</v>
      </c>
      <c r="AA792" s="0" t="n">
        <f aca="false">IF(D792*X792&gt;0,AA791,Q792)</f>
        <v>0</v>
      </c>
      <c r="AB792" s="0" t="n">
        <f aca="false">(X792*D792)</f>
        <v>0</v>
      </c>
      <c r="AC792" s="0" t="n">
        <f aca="false">SUM(AB$10:AB791)/K792</f>
        <v>0.000115526381427711</v>
      </c>
      <c r="AD792" s="0" t="n">
        <f aca="false">R792*E792+D792*(X792*S792+(1-X792)*T792)</f>
        <v>-0.0488765812881374</v>
      </c>
      <c r="AE792" s="0" t="n">
        <f aca="false">Z792</f>
        <v>10</v>
      </c>
      <c r="AF792" s="0" t="n">
        <f aca="false">E792*O792</f>
        <v>10</v>
      </c>
      <c r="AG792" s="0" t="n">
        <f aca="false">((1-X792)*O792+X792*P792)*D792</f>
        <v>0</v>
      </c>
      <c r="AH792" s="0" t="n">
        <f aca="false">D792*(LN(EXP(S792)+EXP(T792)))</f>
        <v>-0</v>
      </c>
      <c r="AJ792" s="0" t="n">
        <f aca="false">$J$5</f>
        <v>10</v>
      </c>
      <c r="AK792" s="4" t="n">
        <f aca="false">AJ792+MAX(K792,AK$10:AK791)</f>
        <v>8666.03152839802</v>
      </c>
      <c r="AL792" s="5" t="n">
        <f aca="false">AK792-K792</f>
        <v>10</v>
      </c>
      <c r="AM792" s="0" t="n">
        <f aca="false">-G792*AL792/3600</f>
        <v>-0.0488765812881374</v>
      </c>
      <c r="AN792" s="0" t="n">
        <f aca="false">-H792*AL792/3600</f>
        <v>-0.454966718319059</v>
      </c>
      <c r="AO792" s="0" t="n">
        <f aca="false">AM792*E792+AN792*D792</f>
        <v>-0.0488765812881374</v>
      </c>
      <c r="AP792" s="0" t="n">
        <f aca="false">AL792*D792</f>
        <v>0</v>
      </c>
      <c r="AR792" s="0" t="n">
        <f aca="false">AN792*D792</f>
        <v>-0</v>
      </c>
      <c r="AS792" s="0" t="n">
        <f aca="false">AH792-AR792</f>
        <v>0</v>
      </c>
    </row>
    <row r="793" customFormat="false" ht="12" hidden="false" customHeight="false" outlineLevel="0" collapsed="false">
      <c r="A793" s="3" t="n">
        <f aca="false">A792+1</f>
        <v>784</v>
      </c>
      <c r="B793" s="3" t="n">
        <f aca="false">IF(A793&lt;$N$4/3,0.1,(IF(A793&gt;2*$N$4/3,0.05,0.12)))</f>
        <v>0.05</v>
      </c>
      <c r="C793" s="4" t="n">
        <f aca="true">RAND()</f>
        <v>0.270703777183129</v>
      </c>
      <c r="D793" s="0" t="n">
        <f aca="false">IF((C793&gt;$M$2),1,0)</f>
        <v>0</v>
      </c>
      <c r="E793" s="0" t="n">
        <f aca="false">1-D793</f>
        <v>1</v>
      </c>
      <c r="F793" s="0" t="n">
        <f aca="true">RAND()</f>
        <v>0.0670771076459883</v>
      </c>
      <c r="G793" s="0" t="n">
        <f aca="false">7.75+F793*10</f>
        <v>8.42077107645988</v>
      </c>
      <c r="H793" s="0" t="n">
        <f aca="false">LOGINV(F793,2.64,1.139)</f>
        <v>2.5443364845491</v>
      </c>
      <c r="I793" s="0" t="n">
        <v>19.5</v>
      </c>
      <c r="J793" s="4" t="n">
        <f aca="true">-LN(RAND())/B793</f>
        <v>11.4400835756926</v>
      </c>
      <c r="K793" s="4" t="n">
        <f aca="false">K792+J793</f>
        <v>8667.47161197372</v>
      </c>
      <c r="L793" s="4" t="n">
        <f aca="false">(1/$J$4)*(1+AB792)</f>
        <v>10</v>
      </c>
      <c r="M793" s="4" t="n">
        <f aca="false">L793+MAX(K793,Y$10:Y792)</f>
        <v>8677.47161197372</v>
      </c>
      <c r="N793" s="4" t="n">
        <f aca="false">K793</f>
        <v>8667.47161197372</v>
      </c>
      <c r="O793" s="4" t="n">
        <f aca="false">M793-K793</f>
        <v>10</v>
      </c>
      <c r="P793" s="4" t="n">
        <f aca="false">N793-K793</f>
        <v>0</v>
      </c>
      <c r="Q793" s="4" t="n">
        <f aca="false">A793-MATCH(K793,$M$9:M792,1)</f>
        <v>0</v>
      </c>
      <c r="R793" s="0" t="n">
        <f aca="false">-G793*(O793/3600)</f>
        <v>-0.0233910307679441</v>
      </c>
      <c r="S793" s="0" t="n">
        <f aca="false">-1*I793-(H793*(P793/3600))</f>
        <v>-19.5</v>
      </c>
      <c r="T793" s="0" t="n">
        <f aca="false">-H793*(O793/3600)</f>
        <v>-0.00706760134596974</v>
      </c>
      <c r="U793" s="0" t="n">
        <f aca="false">T793-S793</f>
        <v>19.492932398654</v>
      </c>
      <c r="V793" s="0" t="n">
        <f aca="false">1/(1+EXP(U793))</f>
        <v>3.42237048372064E-009</v>
      </c>
      <c r="W793" s="0" t="n">
        <f aca="true">RAND()</f>
        <v>0.258807649031229</v>
      </c>
      <c r="X793" s="0" t="n">
        <f aca="false">IF(W793&lt;V793,1,0)</f>
        <v>0</v>
      </c>
      <c r="Y793" s="0" t="n">
        <f aca="false">(M793*(1-X793)+N793*X793)*D793+M793*E793</f>
        <v>8677.47161197372</v>
      </c>
      <c r="Z793" s="0" t="n">
        <f aca="false">((1-X793)*O793+X793*P793)*D793+E793*O793</f>
        <v>10</v>
      </c>
      <c r="AA793" s="0" t="n">
        <f aca="false">IF(D793*X793&gt;0,AA792,Q793)</f>
        <v>0</v>
      </c>
      <c r="AB793" s="0" t="n">
        <f aca="false">(X793*D793)</f>
        <v>0</v>
      </c>
      <c r="AC793" s="0" t="n">
        <f aca="false">SUM(AB$10:AB792)/K793</f>
        <v>0.000115373899652414</v>
      </c>
      <c r="AD793" s="0" t="n">
        <f aca="false">R793*E793+D793*(X793*S793+(1-X793)*T793)</f>
        <v>-0.0233910307679441</v>
      </c>
      <c r="AE793" s="0" t="n">
        <f aca="false">Z793</f>
        <v>10</v>
      </c>
      <c r="AF793" s="0" t="n">
        <f aca="false">E793*O793</f>
        <v>10</v>
      </c>
      <c r="AG793" s="0" t="n">
        <f aca="false">((1-X793)*O793+X793*P793)*D793</f>
        <v>0</v>
      </c>
      <c r="AH793" s="0" t="n">
        <f aca="false">D793*(LN(EXP(S793)+EXP(T793)))</f>
        <v>-0</v>
      </c>
      <c r="AJ793" s="0" t="n">
        <f aca="false">$J$5</f>
        <v>10</v>
      </c>
      <c r="AK793" s="4" t="n">
        <f aca="false">AJ793+MAX(K793,AK$10:AK792)</f>
        <v>8677.47161197372</v>
      </c>
      <c r="AL793" s="5" t="n">
        <f aca="false">AK793-K793</f>
        <v>10</v>
      </c>
      <c r="AM793" s="0" t="n">
        <f aca="false">-G793*AL793/3600</f>
        <v>-0.0233910307679441</v>
      </c>
      <c r="AN793" s="0" t="n">
        <f aca="false">-H793*AL793/3600</f>
        <v>-0.00706760134596974</v>
      </c>
      <c r="AO793" s="0" t="n">
        <f aca="false">AM793*E793+AN793*D793</f>
        <v>-0.0233910307679441</v>
      </c>
      <c r="AP793" s="0" t="n">
        <f aca="false">AL793*D793</f>
        <v>0</v>
      </c>
      <c r="AR793" s="0" t="n">
        <f aca="false">AN793*D793</f>
        <v>-0</v>
      </c>
      <c r="AS793" s="0" t="n">
        <f aca="false">AH793-AR793</f>
        <v>0</v>
      </c>
    </row>
    <row r="794" customFormat="false" ht="12" hidden="false" customHeight="false" outlineLevel="0" collapsed="false">
      <c r="A794" s="3" t="n">
        <f aca="false">A793+1</f>
        <v>785</v>
      </c>
      <c r="B794" s="3" t="n">
        <f aca="false">IF(A794&lt;$N$4/3,0.1,(IF(A794&gt;2*$N$4/3,0.05,0.12)))</f>
        <v>0.05</v>
      </c>
      <c r="C794" s="4" t="n">
        <f aca="true">RAND()</f>
        <v>0.0428080158740588</v>
      </c>
      <c r="D794" s="0" t="n">
        <f aca="false">IF((C794&gt;$M$2),1,0)</f>
        <v>0</v>
      </c>
      <c r="E794" s="0" t="n">
        <f aca="false">1-D794</f>
        <v>1</v>
      </c>
      <c r="F794" s="0" t="n">
        <f aca="true">RAND()</f>
        <v>0.346645188541249</v>
      </c>
      <c r="G794" s="0" t="n">
        <f aca="false">7.75+F794*10</f>
        <v>11.2164518854125</v>
      </c>
      <c r="H794" s="0" t="n">
        <f aca="false">LOGINV(F794,2.64,1.139)</f>
        <v>8.94223492082256</v>
      </c>
      <c r="I794" s="0" t="n">
        <v>19.5</v>
      </c>
      <c r="J794" s="4" t="n">
        <f aca="true">-LN(RAND())/B794</f>
        <v>0.750637700385334</v>
      </c>
      <c r="K794" s="4" t="n">
        <f aca="false">K793+J794</f>
        <v>8668.2222496741</v>
      </c>
      <c r="L794" s="4" t="n">
        <f aca="false">(1/$J$4)*(1+AB793)</f>
        <v>10</v>
      </c>
      <c r="M794" s="4" t="n">
        <f aca="false">L794+MAX(K794,Y$10:Y793)</f>
        <v>8687.47161197372</v>
      </c>
      <c r="N794" s="4" t="n">
        <f aca="false">K794</f>
        <v>8668.2222496741</v>
      </c>
      <c r="O794" s="4" t="n">
        <f aca="false">M794-K794</f>
        <v>19.2493622996153</v>
      </c>
      <c r="P794" s="4" t="n">
        <f aca="false">N794-K794</f>
        <v>0</v>
      </c>
      <c r="Q794" s="4" t="n">
        <f aca="false">A794-MATCH(K794,$M$9:M793,1)</f>
        <v>1</v>
      </c>
      <c r="R794" s="0" t="n">
        <f aca="false">-G794*(O794/3600)</f>
        <v>-0.0599748739051412</v>
      </c>
      <c r="S794" s="0" t="n">
        <f aca="false">-1*I794-(H794*(P794/3600))</f>
        <v>-19.5</v>
      </c>
      <c r="T794" s="0" t="n">
        <f aca="false">-H794*(O794/3600)</f>
        <v>-0.0478145332664404</v>
      </c>
      <c r="U794" s="0" t="n">
        <f aca="false">T794-S794</f>
        <v>19.4521854667336</v>
      </c>
      <c r="V794" s="0" t="n">
        <f aca="false">1/(1+EXP(U794))</f>
        <v>3.56470166755092E-009</v>
      </c>
      <c r="W794" s="0" t="n">
        <f aca="true">RAND()</f>
        <v>0.231743524464723</v>
      </c>
      <c r="X794" s="0" t="n">
        <f aca="false">IF(W794&lt;V794,1,0)</f>
        <v>0</v>
      </c>
      <c r="Y794" s="0" t="n">
        <f aca="false">(M794*(1-X794)+N794*X794)*D794+M794*E794</f>
        <v>8687.47161197372</v>
      </c>
      <c r="Z794" s="0" t="n">
        <f aca="false">((1-X794)*O794+X794*P794)*D794+E794*O794</f>
        <v>19.2493622996153</v>
      </c>
      <c r="AA794" s="0" t="n">
        <f aca="false">IF(D794*X794&gt;0,AA793,Q794)</f>
        <v>1</v>
      </c>
      <c r="AB794" s="0" t="n">
        <f aca="false">(X794*D794)</f>
        <v>0</v>
      </c>
      <c r="AC794" s="0" t="n">
        <f aca="false">SUM(AB$10:AB793)/K794</f>
        <v>0.000115363908676614</v>
      </c>
      <c r="AD794" s="0" t="n">
        <f aca="false">R794*E794+D794*(X794*S794+(1-X794)*T794)</f>
        <v>-0.0599748739051412</v>
      </c>
      <c r="AE794" s="0" t="n">
        <f aca="false">Z794</f>
        <v>19.2493622996153</v>
      </c>
      <c r="AF794" s="0" t="n">
        <f aca="false">E794*O794</f>
        <v>19.2493622996153</v>
      </c>
      <c r="AG794" s="0" t="n">
        <f aca="false">((1-X794)*O794+X794*P794)*D794</f>
        <v>0</v>
      </c>
      <c r="AH794" s="0" t="n">
        <f aca="false">D794*(LN(EXP(S794)+EXP(T794)))</f>
        <v>-0</v>
      </c>
      <c r="AJ794" s="0" t="n">
        <f aca="false">$J$5</f>
        <v>10</v>
      </c>
      <c r="AK794" s="4" t="n">
        <f aca="false">AJ794+MAX(K794,AK$10:AK793)</f>
        <v>8687.47161197372</v>
      </c>
      <c r="AL794" s="5" t="n">
        <f aca="false">AK794-K794</f>
        <v>19.2493622996153</v>
      </c>
      <c r="AM794" s="0" t="n">
        <f aca="false">-G794*AL794/3600</f>
        <v>-0.0599748739051412</v>
      </c>
      <c r="AN794" s="0" t="n">
        <f aca="false">-H794*AL794/3600</f>
        <v>-0.0478145332664404</v>
      </c>
      <c r="AO794" s="0" t="n">
        <f aca="false">AM794*E794+AN794*D794</f>
        <v>-0.0599748739051412</v>
      </c>
      <c r="AP794" s="0" t="n">
        <f aca="false">AL794*D794</f>
        <v>0</v>
      </c>
      <c r="AR794" s="0" t="n">
        <f aca="false">AN794*D794</f>
        <v>-0</v>
      </c>
      <c r="AS794" s="0" t="n">
        <f aca="false">AH794-AR794</f>
        <v>0</v>
      </c>
    </row>
    <row r="795" customFormat="false" ht="12" hidden="false" customHeight="false" outlineLevel="0" collapsed="false">
      <c r="A795" s="3" t="n">
        <f aca="false">A794+1</f>
        <v>786</v>
      </c>
      <c r="B795" s="3" t="n">
        <f aca="false">IF(A795&lt;$N$4/3,0.1,(IF(A795&gt;2*$N$4/3,0.05,0.12)))</f>
        <v>0.05</v>
      </c>
      <c r="C795" s="4" t="n">
        <f aca="true">RAND()</f>
        <v>0.654456600218915</v>
      </c>
      <c r="D795" s="0" t="n">
        <f aca="false">IF((C795&gt;$M$2),1,0)</f>
        <v>0</v>
      </c>
      <c r="E795" s="0" t="n">
        <f aca="false">1-D795</f>
        <v>1</v>
      </c>
      <c r="F795" s="0" t="n">
        <f aca="true">RAND()</f>
        <v>0.249917198368614</v>
      </c>
      <c r="G795" s="0" t="n">
        <f aca="false">7.75+F795*10</f>
        <v>10.2491719836861</v>
      </c>
      <c r="H795" s="0" t="n">
        <f aca="false">LOGINV(F795,2.64,1.139)</f>
        <v>6.49777209975962</v>
      </c>
      <c r="I795" s="0" t="n">
        <v>19.5</v>
      </c>
      <c r="J795" s="4" t="n">
        <f aca="true">-LN(RAND())/B795</f>
        <v>37.1958111625576</v>
      </c>
      <c r="K795" s="4" t="n">
        <f aca="false">K794+J795</f>
        <v>8705.41806083666</v>
      </c>
      <c r="L795" s="4" t="n">
        <f aca="false">(1/$J$4)*(1+AB794)</f>
        <v>10</v>
      </c>
      <c r="M795" s="4" t="n">
        <f aca="false">L795+MAX(K795,Y$10:Y794)</f>
        <v>8715.41806083666</v>
      </c>
      <c r="N795" s="4" t="n">
        <f aca="false">K795</f>
        <v>8705.41806083666</v>
      </c>
      <c r="O795" s="4" t="n">
        <f aca="false">M795-K795</f>
        <v>10</v>
      </c>
      <c r="P795" s="4" t="n">
        <f aca="false">N795-K795</f>
        <v>0</v>
      </c>
      <c r="Q795" s="4" t="n">
        <f aca="false">A795-MATCH(K795,$M$9:M794,1)</f>
        <v>0</v>
      </c>
      <c r="R795" s="0" t="n">
        <f aca="false">-G795*(O795/3600)</f>
        <v>-0.028469922176906</v>
      </c>
      <c r="S795" s="0" t="n">
        <f aca="false">-1*I795-(H795*(P795/3600))</f>
        <v>-19.5</v>
      </c>
      <c r="T795" s="0" t="n">
        <f aca="false">-H795*(O795/3600)</f>
        <v>-0.0180493669437767</v>
      </c>
      <c r="U795" s="0" t="n">
        <f aca="false">T795-S795</f>
        <v>19.4819506330562</v>
      </c>
      <c r="V795" s="0" t="n">
        <f aca="false">1/(1+EXP(U795))</f>
        <v>3.46016127906566E-009</v>
      </c>
      <c r="W795" s="0" t="n">
        <f aca="true">RAND()</f>
        <v>0.584005015611295</v>
      </c>
      <c r="X795" s="0" t="n">
        <f aca="false">IF(W795&lt;V795,1,0)</f>
        <v>0</v>
      </c>
      <c r="Y795" s="0" t="n">
        <f aca="false">(M795*(1-X795)+N795*X795)*D795+M795*E795</f>
        <v>8715.41806083666</v>
      </c>
      <c r="Z795" s="0" t="n">
        <f aca="false">((1-X795)*O795+X795*P795)*D795+E795*O795</f>
        <v>10</v>
      </c>
      <c r="AA795" s="0" t="n">
        <f aca="false">IF(D795*X795&gt;0,AA794,Q795)</f>
        <v>0</v>
      </c>
      <c r="AB795" s="0" t="n">
        <f aca="false">(X795*D795)</f>
        <v>0</v>
      </c>
      <c r="AC795" s="0" t="n">
        <f aca="false">SUM(AB$10:AB794)/K795</f>
        <v>0.000114870991032439</v>
      </c>
      <c r="AD795" s="0" t="n">
        <f aca="false">R795*E795+D795*(X795*S795+(1-X795)*T795)</f>
        <v>-0.028469922176906</v>
      </c>
      <c r="AE795" s="0" t="n">
        <f aca="false">Z795</f>
        <v>10</v>
      </c>
      <c r="AF795" s="0" t="n">
        <f aca="false">E795*O795</f>
        <v>10</v>
      </c>
      <c r="AG795" s="0" t="n">
        <f aca="false">((1-X795)*O795+X795*P795)*D795</f>
        <v>0</v>
      </c>
      <c r="AH795" s="0" t="n">
        <f aca="false">D795*(LN(EXP(S795)+EXP(T795)))</f>
        <v>-0</v>
      </c>
      <c r="AJ795" s="0" t="n">
        <f aca="false">$J$5</f>
        <v>10</v>
      </c>
      <c r="AK795" s="4" t="n">
        <f aca="false">AJ795+MAX(K795,AK$10:AK794)</f>
        <v>8715.41806083666</v>
      </c>
      <c r="AL795" s="5" t="n">
        <f aca="false">AK795-K795</f>
        <v>10</v>
      </c>
      <c r="AM795" s="0" t="n">
        <f aca="false">-G795*AL795/3600</f>
        <v>-0.028469922176906</v>
      </c>
      <c r="AN795" s="0" t="n">
        <f aca="false">-H795*AL795/3600</f>
        <v>-0.0180493669437767</v>
      </c>
      <c r="AO795" s="0" t="n">
        <f aca="false">AM795*E795+AN795*D795</f>
        <v>-0.028469922176906</v>
      </c>
      <c r="AP795" s="0" t="n">
        <f aca="false">AL795*D795</f>
        <v>0</v>
      </c>
      <c r="AR795" s="0" t="n">
        <f aca="false">AN795*D795</f>
        <v>-0</v>
      </c>
      <c r="AS795" s="0" t="n">
        <f aca="false">AH795-AR795</f>
        <v>0</v>
      </c>
    </row>
    <row r="796" customFormat="false" ht="12" hidden="false" customHeight="false" outlineLevel="0" collapsed="false">
      <c r="A796" s="3" t="n">
        <f aca="false">A795+1</f>
        <v>787</v>
      </c>
      <c r="B796" s="3" t="n">
        <f aca="false">IF(A796&lt;$N$4/3,0.1,(IF(A796&gt;2*$N$4/3,0.05,0.12)))</f>
        <v>0.05</v>
      </c>
      <c r="C796" s="4" t="n">
        <f aca="true">RAND()</f>
        <v>0.428392321731579</v>
      </c>
      <c r="D796" s="0" t="n">
        <f aca="false">IF((C796&gt;$M$2),1,0)</f>
        <v>0</v>
      </c>
      <c r="E796" s="0" t="n">
        <f aca="false">1-D796</f>
        <v>1</v>
      </c>
      <c r="F796" s="0" t="n">
        <f aca="true">RAND()</f>
        <v>0.385579924565239</v>
      </c>
      <c r="G796" s="0" t="n">
        <f aca="false">7.75+F796*10</f>
        <v>11.6057992456524</v>
      </c>
      <c r="H796" s="0" t="n">
        <f aca="false">LOGINV(F796,2.64,1.139)</f>
        <v>10.0614634474532</v>
      </c>
      <c r="I796" s="0" t="n">
        <v>19.5</v>
      </c>
      <c r="J796" s="4" t="n">
        <f aca="true">-LN(RAND())/B796</f>
        <v>5.31850386273261</v>
      </c>
      <c r="K796" s="4" t="n">
        <f aca="false">K795+J796</f>
        <v>8710.73656469939</v>
      </c>
      <c r="L796" s="4" t="n">
        <f aca="false">(1/$J$4)*(1+AB795)</f>
        <v>10</v>
      </c>
      <c r="M796" s="4" t="n">
        <f aca="false">L796+MAX(K796,Y$10:Y795)</f>
        <v>8725.41806083666</v>
      </c>
      <c r="N796" s="4" t="n">
        <f aca="false">K796</f>
        <v>8710.73656469939</v>
      </c>
      <c r="O796" s="4" t="n">
        <f aca="false">M796-K796</f>
        <v>14.6814961372675</v>
      </c>
      <c r="P796" s="4" t="n">
        <f aca="false">N796-K796</f>
        <v>0</v>
      </c>
      <c r="Q796" s="4" t="n">
        <f aca="false">A796-MATCH(K796,$M$9:M795,1)</f>
        <v>1</v>
      </c>
      <c r="R796" s="0" t="n">
        <f aca="false">-G796*(O796/3600)</f>
        <v>-0.047330693554152</v>
      </c>
      <c r="S796" s="0" t="n">
        <f aca="false">-1*I796-(H796*(P796/3600))</f>
        <v>-19.5</v>
      </c>
      <c r="T796" s="0" t="n">
        <f aca="false">-H796*(O796/3600)</f>
        <v>-0.0410325935386229</v>
      </c>
      <c r="U796" s="0" t="n">
        <f aca="false">T796-S796</f>
        <v>19.4589674064614</v>
      </c>
      <c r="V796" s="0" t="n">
        <f aca="false">1/(1+EXP(U796))</f>
        <v>3.54060786947159E-009</v>
      </c>
      <c r="W796" s="0" t="n">
        <f aca="true">RAND()</f>
        <v>0.56124260810074</v>
      </c>
      <c r="X796" s="0" t="n">
        <f aca="false">IF(W796&lt;V796,1,0)</f>
        <v>0</v>
      </c>
      <c r="Y796" s="0" t="n">
        <f aca="false">(M796*(1-X796)+N796*X796)*D796+M796*E796</f>
        <v>8725.41806083666</v>
      </c>
      <c r="Z796" s="0" t="n">
        <f aca="false">((1-X796)*O796+X796*P796)*D796+E796*O796</f>
        <v>14.6814961372675</v>
      </c>
      <c r="AA796" s="0" t="n">
        <f aca="false">IF(D796*X796&gt;0,AA795,Q796)</f>
        <v>1</v>
      </c>
      <c r="AB796" s="0" t="n">
        <f aca="false">(X796*D796)</f>
        <v>0</v>
      </c>
      <c r="AC796" s="0" t="n">
        <f aca="false">SUM(AB$10:AB795)/K796</f>
        <v>0.000114800854390723</v>
      </c>
      <c r="AD796" s="0" t="n">
        <f aca="false">R796*E796+D796*(X796*S796+(1-X796)*T796)</f>
        <v>-0.047330693554152</v>
      </c>
      <c r="AE796" s="0" t="n">
        <f aca="false">Z796</f>
        <v>14.6814961372675</v>
      </c>
      <c r="AF796" s="0" t="n">
        <f aca="false">E796*O796</f>
        <v>14.6814961372675</v>
      </c>
      <c r="AG796" s="0" t="n">
        <f aca="false">((1-X796)*O796+X796*P796)*D796</f>
        <v>0</v>
      </c>
      <c r="AH796" s="0" t="n">
        <f aca="false">D796*(LN(EXP(S796)+EXP(T796)))</f>
        <v>-0</v>
      </c>
      <c r="AJ796" s="0" t="n">
        <f aca="false">$J$5</f>
        <v>10</v>
      </c>
      <c r="AK796" s="4" t="n">
        <f aca="false">AJ796+MAX(K796,AK$10:AK795)</f>
        <v>8725.41806083666</v>
      </c>
      <c r="AL796" s="5" t="n">
        <f aca="false">AK796-K796</f>
        <v>14.6814961372675</v>
      </c>
      <c r="AM796" s="0" t="n">
        <f aca="false">-G796*AL796/3600</f>
        <v>-0.047330693554152</v>
      </c>
      <c r="AN796" s="0" t="n">
        <f aca="false">-H796*AL796/3600</f>
        <v>-0.0410325935386229</v>
      </c>
      <c r="AO796" s="0" t="n">
        <f aca="false">AM796*E796+AN796*D796</f>
        <v>-0.047330693554152</v>
      </c>
      <c r="AP796" s="0" t="n">
        <f aca="false">AL796*D796</f>
        <v>0</v>
      </c>
      <c r="AR796" s="0" t="n">
        <f aca="false">AN796*D796</f>
        <v>-0</v>
      </c>
      <c r="AS796" s="0" t="n">
        <f aca="false">AH796-AR796</f>
        <v>0</v>
      </c>
    </row>
    <row r="797" customFormat="false" ht="12" hidden="false" customHeight="false" outlineLevel="0" collapsed="false">
      <c r="A797" s="3" t="n">
        <f aca="false">A796+1</f>
        <v>788</v>
      </c>
      <c r="B797" s="3" t="n">
        <f aca="false">IF(A797&lt;$N$4/3,0.1,(IF(A797&gt;2*$N$4/3,0.05,0.12)))</f>
        <v>0.05</v>
      </c>
      <c r="C797" s="4" t="n">
        <f aca="true">RAND()</f>
        <v>0.0695654217096696</v>
      </c>
      <c r="D797" s="0" t="n">
        <f aca="false">IF((C797&gt;$M$2),1,0)</f>
        <v>0</v>
      </c>
      <c r="E797" s="0" t="n">
        <f aca="false">1-D797</f>
        <v>1</v>
      </c>
      <c r="F797" s="0" t="n">
        <f aca="true">RAND()</f>
        <v>0.077390725614688</v>
      </c>
      <c r="G797" s="0" t="n">
        <f aca="false">7.75+F797*10</f>
        <v>8.52390725614688</v>
      </c>
      <c r="H797" s="0" t="n">
        <f aca="false">LOGINV(F797,2.64,1.139)</f>
        <v>2.77147855446136</v>
      </c>
      <c r="I797" s="0" t="n">
        <v>19.5</v>
      </c>
      <c r="J797" s="4" t="n">
        <f aca="true">-LN(RAND())/B797</f>
        <v>11.4203863406482</v>
      </c>
      <c r="K797" s="4" t="n">
        <f aca="false">K796+J797</f>
        <v>8722.15695104004</v>
      </c>
      <c r="L797" s="4" t="n">
        <f aca="false">(1/$J$4)*(1+AB796)</f>
        <v>10</v>
      </c>
      <c r="M797" s="4" t="n">
        <f aca="false">L797+MAX(K797,Y$10:Y796)</f>
        <v>8735.41806083666</v>
      </c>
      <c r="N797" s="4" t="n">
        <f aca="false">K797</f>
        <v>8722.15695104004</v>
      </c>
      <c r="O797" s="4" t="n">
        <f aca="false">M797-K797</f>
        <v>13.2611097966201</v>
      </c>
      <c r="P797" s="4" t="n">
        <f aca="false">N797-K797</f>
        <v>0</v>
      </c>
      <c r="Q797" s="4" t="n">
        <f aca="false">A797-MATCH(K797,$M$9:M796,1)</f>
        <v>1</v>
      </c>
      <c r="R797" s="0" t="n">
        <f aca="false">-G797*(O797/3600)</f>
        <v>-0.0313990194499918</v>
      </c>
      <c r="S797" s="0" t="n">
        <f aca="false">-1*I797-(H797*(P797/3600))</f>
        <v>-19.5</v>
      </c>
      <c r="T797" s="0" t="n">
        <f aca="false">-H797*(O797/3600)</f>
        <v>-0.0102091337249139</v>
      </c>
      <c r="U797" s="0" t="n">
        <f aca="false">T797-S797</f>
        <v>19.4897908662751</v>
      </c>
      <c r="V797" s="0" t="n">
        <f aca="false">1/(1+EXP(U797))</f>
        <v>3.43313887714308E-009</v>
      </c>
      <c r="W797" s="0" t="n">
        <f aca="true">RAND()</f>
        <v>0.649734163134085</v>
      </c>
      <c r="X797" s="0" t="n">
        <f aca="false">IF(W797&lt;V797,1,0)</f>
        <v>0</v>
      </c>
      <c r="Y797" s="0" t="n">
        <f aca="false">(M797*(1-X797)+N797*X797)*D797+M797*E797</f>
        <v>8735.41806083666</v>
      </c>
      <c r="Z797" s="0" t="n">
        <f aca="false">((1-X797)*O797+X797*P797)*D797+E797*O797</f>
        <v>13.2611097966201</v>
      </c>
      <c r="AA797" s="0" t="n">
        <f aca="false">IF(D797*X797&gt;0,AA796,Q797)</f>
        <v>1</v>
      </c>
      <c r="AB797" s="0" t="n">
        <f aca="false">(X797*D797)</f>
        <v>0</v>
      </c>
      <c r="AC797" s="0" t="n">
        <f aca="false">SUM(AB$10:AB796)/K797</f>
        <v>0.000114650539495366</v>
      </c>
      <c r="AD797" s="0" t="n">
        <f aca="false">R797*E797+D797*(X797*S797+(1-X797)*T797)</f>
        <v>-0.0313990194499918</v>
      </c>
      <c r="AE797" s="0" t="n">
        <f aca="false">Z797</f>
        <v>13.2611097966201</v>
      </c>
      <c r="AF797" s="0" t="n">
        <f aca="false">E797*O797</f>
        <v>13.2611097966201</v>
      </c>
      <c r="AG797" s="0" t="n">
        <f aca="false">((1-X797)*O797+X797*P797)*D797</f>
        <v>0</v>
      </c>
      <c r="AH797" s="0" t="n">
        <f aca="false">D797*(LN(EXP(S797)+EXP(T797)))</f>
        <v>-0</v>
      </c>
      <c r="AJ797" s="0" t="n">
        <f aca="false">$J$5</f>
        <v>10</v>
      </c>
      <c r="AK797" s="4" t="n">
        <f aca="false">AJ797+MAX(K797,AK$10:AK796)</f>
        <v>8735.41806083666</v>
      </c>
      <c r="AL797" s="5" t="n">
        <f aca="false">AK797-K797</f>
        <v>13.2611097966201</v>
      </c>
      <c r="AM797" s="0" t="n">
        <f aca="false">-G797*AL797/3600</f>
        <v>-0.0313990194499918</v>
      </c>
      <c r="AN797" s="0" t="n">
        <f aca="false">-H797*AL797/3600</f>
        <v>-0.0102091337249139</v>
      </c>
      <c r="AO797" s="0" t="n">
        <f aca="false">AM797*E797+AN797*D797</f>
        <v>-0.0313990194499918</v>
      </c>
      <c r="AP797" s="0" t="n">
        <f aca="false">AL797*D797</f>
        <v>0</v>
      </c>
      <c r="AR797" s="0" t="n">
        <f aca="false">AN797*D797</f>
        <v>-0</v>
      </c>
      <c r="AS797" s="0" t="n">
        <f aca="false">AH797-AR797</f>
        <v>0</v>
      </c>
    </row>
    <row r="798" customFormat="false" ht="12" hidden="false" customHeight="false" outlineLevel="0" collapsed="false">
      <c r="A798" s="3" t="n">
        <f aca="false">A797+1</f>
        <v>789</v>
      </c>
      <c r="B798" s="3" t="n">
        <f aca="false">IF(A798&lt;$N$4/3,0.1,(IF(A798&gt;2*$N$4/3,0.05,0.12)))</f>
        <v>0.05</v>
      </c>
      <c r="C798" s="4" t="n">
        <f aca="true">RAND()</f>
        <v>0.41257974049382</v>
      </c>
      <c r="D798" s="0" t="n">
        <f aca="false">IF((C798&gt;$M$2),1,0)</f>
        <v>0</v>
      </c>
      <c r="E798" s="0" t="n">
        <f aca="false">1-D798</f>
        <v>1</v>
      </c>
      <c r="F798" s="0" t="n">
        <f aca="true">RAND()</f>
        <v>0.540100905004261</v>
      </c>
      <c r="G798" s="0" t="n">
        <f aca="false">7.75+F798*10</f>
        <v>13.1510090500426</v>
      </c>
      <c r="H798" s="0" t="n">
        <f aca="false">LOGINV(F798,2.64,1.139)</f>
        <v>15.7160668732078</v>
      </c>
      <c r="I798" s="0" t="n">
        <v>19.5</v>
      </c>
      <c r="J798" s="4" t="n">
        <f aca="true">-LN(RAND())/B798</f>
        <v>52.3275615722894</v>
      </c>
      <c r="K798" s="4" t="n">
        <f aca="false">K797+J798</f>
        <v>8774.48451261233</v>
      </c>
      <c r="L798" s="4" t="n">
        <f aca="false">(1/$J$4)*(1+AB797)</f>
        <v>10</v>
      </c>
      <c r="M798" s="4" t="n">
        <f aca="false">L798+MAX(K798,Y$10:Y797)</f>
        <v>8784.48451261233</v>
      </c>
      <c r="N798" s="4" t="n">
        <f aca="false">K798</f>
        <v>8774.48451261233</v>
      </c>
      <c r="O798" s="4" t="n">
        <f aca="false">M798-K798</f>
        <v>10</v>
      </c>
      <c r="P798" s="4" t="n">
        <f aca="false">N798-K798</f>
        <v>0</v>
      </c>
      <c r="Q798" s="4" t="n">
        <f aca="false">A798-MATCH(K798,$M$9:M797,1)</f>
        <v>0</v>
      </c>
      <c r="R798" s="0" t="n">
        <f aca="false">-G798*(O798/3600)</f>
        <v>-0.0365305806945628</v>
      </c>
      <c r="S798" s="0" t="n">
        <f aca="false">-1*I798-(H798*(P798/3600))</f>
        <v>-19.5</v>
      </c>
      <c r="T798" s="0" t="n">
        <f aca="false">-H798*(O798/3600)</f>
        <v>-0.0436557413144661</v>
      </c>
      <c r="U798" s="0" t="n">
        <f aca="false">T798-S798</f>
        <v>19.4563442586855</v>
      </c>
      <c r="V798" s="0" t="n">
        <f aca="false">1/(1+EXP(U798))</f>
        <v>3.54990759904649E-009</v>
      </c>
      <c r="W798" s="0" t="n">
        <f aca="true">RAND()</f>
        <v>0.827168691352665</v>
      </c>
      <c r="X798" s="0" t="n">
        <f aca="false">IF(W798&lt;V798,1,0)</f>
        <v>0</v>
      </c>
      <c r="Y798" s="0" t="n">
        <f aca="false">(M798*(1-X798)+N798*X798)*D798+M798*E798</f>
        <v>8784.48451261233</v>
      </c>
      <c r="Z798" s="0" t="n">
        <f aca="false">((1-X798)*O798+X798*P798)*D798+E798*O798</f>
        <v>10</v>
      </c>
      <c r="AA798" s="0" t="n">
        <f aca="false">IF(D798*X798&gt;0,AA797,Q798)</f>
        <v>0</v>
      </c>
      <c r="AB798" s="0" t="n">
        <f aca="false">(X798*D798)</f>
        <v>0</v>
      </c>
      <c r="AC798" s="0" t="n">
        <f aca="false">SUM(AB$10:AB797)/K798</f>
        <v>0.00011396680894047</v>
      </c>
      <c r="AD798" s="0" t="n">
        <f aca="false">R798*E798+D798*(X798*S798+(1-X798)*T798)</f>
        <v>-0.0365305806945628</v>
      </c>
      <c r="AE798" s="0" t="n">
        <f aca="false">Z798</f>
        <v>10</v>
      </c>
      <c r="AF798" s="0" t="n">
        <f aca="false">E798*O798</f>
        <v>10</v>
      </c>
      <c r="AG798" s="0" t="n">
        <f aca="false">((1-X798)*O798+X798*P798)*D798</f>
        <v>0</v>
      </c>
      <c r="AH798" s="0" t="n">
        <f aca="false">D798*(LN(EXP(S798)+EXP(T798)))</f>
        <v>-0</v>
      </c>
      <c r="AJ798" s="0" t="n">
        <f aca="false">$J$5</f>
        <v>10</v>
      </c>
      <c r="AK798" s="4" t="n">
        <f aca="false">AJ798+MAX(K798,AK$10:AK797)</f>
        <v>8784.48451261233</v>
      </c>
      <c r="AL798" s="5" t="n">
        <f aca="false">AK798-K798</f>
        <v>10</v>
      </c>
      <c r="AM798" s="0" t="n">
        <f aca="false">-G798*AL798/3600</f>
        <v>-0.0365305806945628</v>
      </c>
      <c r="AN798" s="0" t="n">
        <f aca="false">-H798*AL798/3600</f>
        <v>-0.0436557413144661</v>
      </c>
      <c r="AO798" s="0" t="n">
        <f aca="false">AM798*E798+AN798*D798</f>
        <v>-0.0365305806945628</v>
      </c>
      <c r="AP798" s="0" t="n">
        <f aca="false">AL798*D798</f>
        <v>0</v>
      </c>
      <c r="AR798" s="0" t="n">
        <f aca="false">AN798*D798</f>
        <v>-0</v>
      </c>
      <c r="AS798" s="0" t="n">
        <f aca="false">AH798-AR798</f>
        <v>0</v>
      </c>
    </row>
    <row r="799" customFormat="false" ht="12" hidden="false" customHeight="false" outlineLevel="0" collapsed="false">
      <c r="A799" s="3" t="n">
        <f aca="false">A798+1</f>
        <v>790</v>
      </c>
      <c r="B799" s="3" t="n">
        <f aca="false">IF(A799&lt;$N$4/3,0.1,(IF(A799&gt;2*$N$4/3,0.05,0.12)))</f>
        <v>0.05</v>
      </c>
      <c r="C799" s="4" t="n">
        <f aca="true">RAND()</f>
        <v>0.0843933146620779</v>
      </c>
      <c r="D799" s="0" t="n">
        <f aca="false">IF((C799&gt;$M$2),1,0)</f>
        <v>0</v>
      </c>
      <c r="E799" s="0" t="n">
        <f aca="false">1-D799</f>
        <v>1</v>
      </c>
      <c r="F799" s="0" t="n">
        <f aca="true">RAND()</f>
        <v>0.616709556265702</v>
      </c>
      <c r="G799" s="0" t="n">
        <f aca="false">7.75+F799*10</f>
        <v>13.917095562657</v>
      </c>
      <c r="H799" s="0" t="n">
        <f aca="false">LOGINV(F799,2.64,1.139)</f>
        <v>19.6506882556254</v>
      </c>
      <c r="I799" s="0" t="n">
        <v>19.5</v>
      </c>
      <c r="J799" s="4" t="n">
        <f aca="true">-LN(RAND())/B799</f>
        <v>11.3465349402269</v>
      </c>
      <c r="K799" s="4" t="n">
        <f aca="false">K798+J799</f>
        <v>8785.83104755255</v>
      </c>
      <c r="L799" s="4" t="n">
        <f aca="false">(1/$J$4)*(1+AB798)</f>
        <v>10</v>
      </c>
      <c r="M799" s="4" t="n">
        <f aca="false">L799+MAX(K799,Y$10:Y798)</f>
        <v>8795.83104755255</v>
      </c>
      <c r="N799" s="4" t="n">
        <f aca="false">K799</f>
        <v>8785.83104755255</v>
      </c>
      <c r="O799" s="4" t="n">
        <f aca="false">M799-K799</f>
        <v>10</v>
      </c>
      <c r="P799" s="4" t="n">
        <f aca="false">N799-K799</f>
        <v>0</v>
      </c>
      <c r="Q799" s="4" t="n">
        <f aca="false">A799-MATCH(K799,$M$9:M798,1)</f>
        <v>0</v>
      </c>
      <c r="R799" s="0" t="n">
        <f aca="false">-G799*(O799/3600)</f>
        <v>-0.0386585987851584</v>
      </c>
      <c r="S799" s="0" t="n">
        <f aca="false">-1*I799-(H799*(P799/3600))</f>
        <v>-19.5</v>
      </c>
      <c r="T799" s="0" t="n">
        <f aca="false">-H799*(O799/3600)</f>
        <v>-0.0545852451545151</v>
      </c>
      <c r="U799" s="0" t="n">
        <f aca="false">T799-S799</f>
        <v>19.4454147548455</v>
      </c>
      <c r="V799" s="0" t="n">
        <f aca="false">1/(1+EXP(U799))</f>
        <v>3.5889191276289E-009</v>
      </c>
      <c r="W799" s="0" t="n">
        <f aca="true">RAND()</f>
        <v>0.5960503846767</v>
      </c>
      <c r="X799" s="0" t="n">
        <f aca="false">IF(W799&lt;V799,1,0)</f>
        <v>0</v>
      </c>
      <c r="Y799" s="0" t="n">
        <f aca="false">(M799*(1-X799)+N799*X799)*D799+M799*E799</f>
        <v>8795.83104755255</v>
      </c>
      <c r="Z799" s="0" t="n">
        <f aca="false">((1-X799)*O799+X799*P799)*D799+E799*O799</f>
        <v>10</v>
      </c>
      <c r="AA799" s="0" t="n">
        <f aca="false">IF(D799*X799&gt;0,AA798,Q799)</f>
        <v>0</v>
      </c>
      <c r="AB799" s="0" t="n">
        <f aca="false">(X799*D799)</f>
        <v>0</v>
      </c>
      <c r="AC799" s="0" t="n">
        <f aca="false">SUM(AB$10:AB798)/K799</f>
        <v>0.000113819625552505</v>
      </c>
      <c r="AD799" s="0" t="n">
        <f aca="false">R799*E799+D799*(X799*S799+(1-X799)*T799)</f>
        <v>-0.0386585987851584</v>
      </c>
      <c r="AE799" s="0" t="n">
        <f aca="false">Z799</f>
        <v>10</v>
      </c>
      <c r="AF799" s="0" t="n">
        <f aca="false">E799*O799</f>
        <v>10</v>
      </c>
      <c r="AG799" s="0" t="n">
        <f aca="false">((1-X799)*O799+X799*P799)*D799</f>
        <v>0</v>
      </c>
      <c r="AH799" s="0" t="n">
        <f aca="false">D799*(LN(EXP(S799)+EXP(T799)))</f>
        <v>-0</v>
      </c>
      <c r="AJ799" s="0" t="n">
        <f aca="false">$J$5</f>
        <v>10</v>
      </c>
      <c r="AK799" s="4" t="n">
        <f aca="false">AJ799+MAX(K799,AK$10:AK798)</f>
        <v>8795.83104755255</v>
      </c>
      <c r="AL799" s="5" t="n">
        <f aca="false">AK799-K799</f>
        <v>10</v>
      </c>
      <c r="AM799" s="0" t="n">
        <f aca="false">-G799*AL799/3600</f>
        <v>-0.0386585987851584</v>
      </c>
      <c r="AN799" s="0" t="n">
        <f aca="false">-H799*AL799/3600</f>
        <v>-0.0545852451545151</v>
      </c>
      <c r="AO799" s="0" t="n">
        <f aca="false">AM799*E799+AN799*D799</f>
        <v>-0.0386585987851584</v>
      </c>
      <c r="AP799" s="0" t="n">
        <f aca="false">AL799*D799</f>
        <v>0</v>
      </c>
      <c r="AR799" s="0" t="n">
        <f aca="false">AN799*D799</f>
        <v>-0</v>
      </c>
      <c r="AS799" s="0" t="n">
        <f aca="false">AH799-AR799</f>
        <v>0</v>
      </c>
    </row>
    <row r="800" customFormat="false" ht="12" hidden="false" customHeight="false" outlineLevel="0" collapsed="false">
      <c r="A800" s="3" t="n">
        <f aca="false">A799+1</f>
        <v>791</v>
      </c>
      <c r="B800" s="3" t="n">
        <f aca="false">IF(A800&lt;$N$4/3,0.1,(IF(A800&gt;2*$N$4/3,0.05,0.12)))</f>
        <v>0.05</v>
      </c>
      <c r="C800" s="4" t="n">
        <f aca="true">RAND()</f>
        <v>0.903748979775116</v>
      </c>
      <c r="D800" s="0" t="n">
        <f aca="false">IF((C800&gt;$M$2),1,0)</f>
        <v>1</v>
      </c>
      <c r="E800" s="0" t="n">
        <f aca="false">1-D800</f>
        <v>0</v>
      </c>
      <c r="F800" s="0" t="n">
        <f aca="true">RAND()</f>
        <v>0.0251078007467658</v>
      </c>
      <c r="G800" s="0" t="n">
        <f aca="false">7.75+F800*10</f>
        <v>8.00107800746766</v>
      </c>
      <c r="H800" s="0" t="n">
        <f aca="false">LOGINV(F800,2.64,1.139)</f>
        <v>1.50636294082699</v>
      </c>
      <c r="I800" s="0" t="n">
        <v>19.5</v>
      </c>
      <c r="J800" s="4" t="n">
        <f aca="true">-LN(RAND())/B800</f>
        <v>5.04450554224551</v>
      </c>
      <c r="K800" s="4" t="n">
        <f aca="false">K799+J800</f>
        <v>8790.8755530948</v>
      </c>
      <c r="L800" s="4" t="n">
        <f aca="false">(1/$J$4)*(1+AB799)</f>
        <v>10</v>
      </c>
      <c r="M800" s="4" t="n">
        <f aca="false">L800+MAX(K800,Y$10:Y799)</f>
        <v>8805.83104755255</v>
      </c>
      <c r="N800" s="4" t="n">
        <f aca="false">K800</f>
        <v>8790.8755530948</v>
      </c>
      <c r="O800" s="4" t="n">
        <f aca="false">M800-K800</f>
        <v>14.955494457754</v>
      </c>
      <c r="P800" s="4" t="n">
        <f aca="false">N800-K800</f>
        <v>0</v>
      </c>
      <c r="Q800" s="4" t="n">
        <f aca="false">A800-MATCH(K800,$M$9:M799,1)</f>
        <v>1</v>
      </c>
      <c r="R800" s="0" t="n">
        <f aca="false">-G800*(O800/3600)</f>
        <v>-0.0332389104990943</v>
      </c>
      <c r="S800" s="0" t="n">
        <f aca="false">-1*I800-(H800*(P800/3600))</f>
        <v>-19.5</v>
      </c>
      <c r="T800" s="0" t="n">
        <f aca="false">-H800*(O800/3600)</f>
        <v>-0.00625788961469555</v>
      </c>
      <c r="U800" s="0" t="n">
        <f aca="false">T800-S800</f>
        <v>19.4937421103853</v>
      </c>
      <c r="V800" s="0" t="n">
        <f aca="false">1/(1+EXP(U800))</f>
        <v>3.41960047180759E-009</v>
      </c>
      <c r="W800" s="0" t="n">
        <f aca="true">RAND()</f>
        <v>0.779536822273548</v>
      </c>
      <c r="X800" s="0" t="n">
        <f aca="false">IF(W800&lt;V800,1,0)</f>
        <v>0</v>
      </c>
      <c r="Y800" s="0" t="n">
        <f aca="false">(M800*(1-X800)+N800*X800)*D800+M800*E800</f>
        <v>8805.83104755255</v>
      </c>
      <c r="Z800" s="0" t="n">
        <f aca="false">((1-X800)*O800+X800*P800)*D800+E800*O800</f>
        <v>14.955494457754</v>
      </c>
      <c r="AA800" s="0" t="n">
        <f aca="false">IF(D800*X800&gt;0,AA799,Q800)</f>
        <v>1</v>
      </c>
      <c r="AB800" s="0" t="n">
        <f aca="false">(X800*D800)</f>
        <v>0</v>
      </c>
      <c r="AC800" s="0" t="n">
        <f aca="false">SUM(AB$10:AB799)/K800</f>
        <v>0.000113754311952232</v>
      </c>
      <c r="AD800" s="0" t="n">
        <f aca="false">R800*E800+D800*(X800*S800+(1-X800)*T800)</f>
        <v>-0.00625788961469555</v>
      </c>
      <c r="AE800" s="0" t="n">
        <f aca="false">Z800</f>
        <v>14.955494457754</v>
      </c>
      <c r="AF800" s="0" t="n">
        <f aca="false">E800*O800</f>
        <v>0</v>
      </c>
      <c r="AG800" s="0" t="n">
        <f aca="false">((1-X800)*O800+X800*P800)*D800</f>
        <v>14.955494457754</v>
      </c>
      <c r="AH800" s="0" t="n">
        <f aca="false">D800*(LN(EXP(S800)+EXP(T800)))</f>
        <v>-0.00625788619509512</v>
      </c>
      <c r="AJ800" s="0" t="n">
        <f aca="false">$J$5</f>
        <v>10</v>
      </c>
      <c r="AK800" s="4" t="n">
        <f aca="false">AJ800+MAX(K800,AK$10:AK799)</f>
        <v>8805.83104755255</v>
      </c>
      <c r="AL800" s="5" t="n">
        <f aca="false">AK800-K800</f>
        <v>14.955494457754</v>
      </c>
      <c r="AM800" s="0" t="n">
        <f aca="false">-G800*AL800/3600</f>
        <v>-0.0332389104990943</v>
      </c>
      <c r="AN800" s="0" t="n">
        <f aca="false">-H800*AL800/3600</f>
        <v>-0.00625788961469555</v>
      </c>
      <c r="AO800" s="0" t="n">
        <f aca="false">AM800*E800+AN800*D800</f>
        <v>-0.00625788961469555</v>
      </c>
      <c r="AP800" s="0" t="n">
        <f aca="false">AL800*D800</f>
        <v>14.955494457754</v>
      </c>
      <c r="AR800" s="0" t="n">
        <f aca="false">AN800*D800</f>
        <v>-0.00625788961469555</v>
      </c>
      <c r="AS800" s="0" t="n">
        <f aca="false">AH800-AR800</f>
        <v>3.41960043007822E-009</v>
      </c>
    </row>
    <row r="801" customFormat="false" ht="12" hidden="false" customHeight="false" outlineLevel="0" collapsed="false">
      <c r="A801" s="3" t="n">
        <f aca="false">A800+1</f>
        <v>792</v>
      </c>
      <c r="B801" s="3" t="n">
        <f aca="false">IF(A801&lt;$N$4/3,0.1,(IF(A801&gt;2*$N$4/3,0.05,0.12)))</f>
        <v>0.05</v>
      </c>
      <c r="C801" s="4" t="n">
        <f aca="true">RAND()</f>
        <v>0.915484644119889</v>
      </c>
      <c r="D801" s="0" t="n">
        <f aca="false">IF((C801&gt;$M$2),1,0)</f>
        <v>1</v>
      </c>
      <c r="E801" s="0" t="n">
        <f aca="false">1-D801</f>
        <v>0</v>
      </c>
      <c r="F801" s="0" t="n">
        <f aca="true">RAND()</f>
        <v>0.613806682150089</v>
      </c>
      <c r="G801" s="0" t="n">
        <f aca="false">7.75+F801*10</f>
        <v>13.8880668215009</v>
      </c>
      <c r="H801" s="0" t="n">
        <f aca="false">LOGINV(F801,2.64,1.139)</f>
        <v>19.4814136460139</v>
      </c>
      <c r="I801" s="0" t="n">
        <v>19.5</v>
      </c>
      <c r="J801" s="4" t="n">
        <f aca="true">-LN(RAND())/B801</f>
        <v>1.04363941903351</v>
      </c>
      <c r="K801" s="4" t="n">
        <f aca="false">K800+J801</f>
        <v>8791.91919251383</v>
      </c>
      <c r="L801" s="4" t="n">
        <f aca="false">(1/$J$4)*(1+AB800)</f>
        <v>10</v>
      </c>
      <c r="M801" s="4" t="n">
        <f aca="false">L801+MAX(K801,Y$10:Y800)</f>
        <v>8815.83104755255</v>
      </c>
      <c r="N801" s="4" t="n">
        <f aca="false">K801</f>
        <v>8791.91919251383</v>
      </c>
      <c r="O801" s="4" t="n">
        <f aca="false">M801-K801</f>
        <v>23.9118550387211</v>
      </c>
      <c r="P801" s="4" t="n">
        <f aca="false">N801-K801</f>
        <v>0</v>
      </c>
      <c r="Q801" s="4" t="n">
        <f aca="false">A801-MATCH(K801,$M$9:M800,1)</f>
        <v>2</v>
      </c>
      <c r="R801" s="0" t="n">
        <f aca="false">-G801*(O801/3600)</f>
        <v>-0.0922470668343894</v>
      </c>
      <c r="S801" s="0" t="n">
        <f aca="false">-1*I801-(H801*(P801/3600))</f>
        <v>-19.5</v>
      </c>
      <c r="T801" s="0" t="n">
        <f aca="false">-H801*(O801/3600)</f>
        <v>-0.129399094181347</v>
      </c>
      <c r="U801" s="0" t="n">
        <f aca="false">T801-S801</f>
        <v>19.3706009058187</v>
      </c>
      <c r="V801" s="0" t="n">
        <f aca="false">1/(1+EXP(U801))</f>
        <v>3.86771899872721E-009</v>
      </c>
      <c r="W801" s="0" t="n">
        <f aca="true">RAND()</f>
        <v>0.695674988797308</v>
      </c>
      <c r="X801" s="0" t="n">
        <f aca="false">IF(W801&lt;V801,1,0)</f>
        <v>0</v>
      </c>
      <c r="Y801" s="0" t="n">
        <f aca="false">(M801*(1-X801)+N801*X801)*D801+M801*E801</f>
        <v>8815.83104755255</v>
      </c>
      <c r="Z801" s="0" t="n">
        <f aca="false">((1-X801)*O801+X801*P801)*D801+E801*O801</f>
        <v>23.9118550387211</v>
      </c>
      <c r="AA801" s="0" t="n">
        <f aca="false">IF(D801*X801&gt;0,AA800,Q801)</f>
        <v>2</v>
      </c>
      <c r="AB801" s="0" t="n">
        <f aca="false">(X801*D801)</f>
        <v>0</v>
      </c>
      <c r="AC801" s="0" t="n">
        <f aca="false">SUM(AB$10:AB800)/K801</f>
        <v>0.000113740808815837</v>
      </c>
      <c r="AD801" s="0" t="n">
        <f aca="false">R801*E801+D801*(X801*S801+(1-X801)*T801)</f>
        <v>-0.129399094181347</v>
      </c>
      <c r="AE801" s="0" t="n">
        <f aca="false">Z801</f>
        <v>23.9118550387211</v>
      </c>
      <c r="AF801" s="0" t="n">
        <f aca="false">E801*O801</f>
        <v>0</v>
      </c>
      <c r="AG801" s="0" t="n">
        <f aca="false">((1-X801)*O801+X801*P801)*D801</f>
        <v>23.9118550387211</v>
      </c>
      <c r="AH801" s="0" t="n">
        <f aca="false">D801*(LN(EXP(S801)+EXP(T801)))</f>
        <v>-0.129399090313628</v>
      </c>
      <c r="AJ801" s="0" t="n">
        <f aca="false">$J$5</f>
        <v>10</v>
      </c>
      <c r="AK801" s="4" t="n">
        <f aca="false">AJ801+MAX(K801,AK$10:AK800)</f>
        <v>8815.83104755255</v>
      </c>
      <c r="AL801" s="5" t="n">
        <f aca="false">AK801-K801</f>
        <v>23.9118550387211</v>
      </c>
      <c r="AM801" s="0" t="n">
        <f aca="false">-G801*AL801/3600</f>
        <v>-0.0922470668343893</v>
      </c>
      <c r="AN801" s="0" t="n">
        <f aca="false">-H801*AL801/3600</f>
        <v>-0.129399094181347</v>
      </c>
      <c r="AO801" s="0" t="n">
        <f aca="false">AM801*E801+AN801*D801</f>
        <v>-0.129399094181347</v>
      </c>
      <c r="AP801" s="0" t="n">
        <f aca="false">AL801*D801</f>
        <v>23.9118550387211</v>
      </c>
      <c r="AR801" s="0" t="n">
        <f aca="false">AN801*D801</f>
        <v>-0.129399094181347</v>
      </c>
      <c r="AS801" s="0" t="n">
        <f aca="false">AH801-AR801</f>
        <v>3.86771895066751E-009</v>
      </c>
    </row>
    <row r="802" customFormat="false" ht="12" hidden="false" customHeight="false" outlineLevel="0" collapsed="false">
      <c r="A802" s="3" t="n">
        <f aca="false">A801+1</f>
        <v>793</v>
      </c>
      <c r="B802" s="3" t="n">
        <f aca="false">IF(A802&lt;$N$4/3,0.1,(IF(A802&gt;2*$N$4/3,0.05,0.12)))</f>
        <v>0.05</v>
      </c>
      <c r="C802" s="4" t="n">
        <f aca="true">RAND()</f>
        <v>0.274297950752429</v>
      </c>
      <c r="D802" s="0" t="n">
        <f aca="false">IF((C802&gt;$M$2),1,0)</f>
        <v>0</v>
      </c>
      <c r="E802" s="0" t="n">
        <f aca="false">1-D802</f>
        <v>1</v>
      </c>
      <c r="F802" s="0" t="n">
        <f aca="true">RAND()</f>
        <v>0.428538362591532</v>
      </c>
      <c r="G802" s="0" t="n">
        <f aca="false">7.75+F802*10</f>
        <v>12.0353836259153</v>
      </c>
      <c r="H802" s="0" t="n">
        <f aca="false">LOGINV(F802,2.64,1.139)</f>
        <v>11.4143343314725</v>
      </c>
      <c r="I802" s="0" t="n">
        <v>19.5</v>
      </c>
      <c r="J802" s="4" t="n">
        <f aca="true">-LN(RAND())/B802</f>
        <v>111.799857709273</v>
      </c>
      <c r="K802" s="4" t="n">
        <f aca="false">K801+J802</f>
        <v>8903.7190502231</v>
      </c>
      <c r="L802" s="4" t="n">
        <f aca="false">(1/$J$4)*(1+AB801)</f>
        <v>10</v>
      </c>
      <c r="M802" s="4" t="n">
        <f aca="false">L802+MAX(K802,Y$10:Y801)</f>
        <v>8913.7190502231</v>
      </c>
      <c r="N802" s="4" t="n">
        <f aca="false">K802</f>
        <v>8903.7190502231</v>
      </c>
      <c r="O802" s="4" t="n">
        <f aca="false">M802-K802</f>
        <v>10</v>
      </c>
      <c r="P802" s="4" t="n">
        <f aca="false">N802-K802</f>
        <v>0</v>
      </c>
      <c r="Q802" s="4" t="n">
        <f aca="false">A802-MATCH(K802,$M$9:M801,1)</f>
        <v>0</v>
      </c>
      <c r="R802" s="0" t="n">
        <f aca="false">-G802*(O802/3600)</f>
        <v>-0.0334316211830981</v>
      </c>
      <c r="S802" s="0" t="n">
        <f aca="false">-1*I802-(H802*(P802/3600))</f>
        <v>-19.5</v>
      </c>
      <c r="T802" s="0" t="n">
        <f aca="false">-H802*(O802/3600)</f>
        <v>-0.0317064842540903</v>
      </c>
      <c r="U802" s="0" t="n">
        <f aca="false">T802-S802</f>
        <v>19.4682935157459</v>
      </c>
      <c r="V802" s="0" t="n">
        <f aca="false">1/(1+EXP(U802))</f>
        <v>3.50774127062699E-009</v>
      </c>
      <c r="W802" s="0" t="n">
        <f aca="true">RAND()</f>
        <v>0.235708627259491</v>
      </c>
      <c r="X802" s="0" t="n">
        <f aca="false">IF(W802&lt;V802,1,0)</f>
        <v>0</v>
      </c>
      <c r="Y802" s="0" t="n">
        <f aca="false">(M802*(1-X802)+N802*X802)*D802+M802*E802</f>
        <v>8913.7190502231</v>
      </c>
      <c r="Z802" s="0" t="n">
        <f aca="false">((1-X802)*O802+X802*P802)*D802+E802*O802</f>
        <v>10</v>
      </c>
      <c r="AA802" s="0" t="n">
        <f aca="false">IF(D802*X802&gt;0,AA801,Q802)</f>
        <v>0</v>
      </c>
      <c r="AB802" s="0" t="n">
        <f aca="false">(X802*D802)</f>
        <v>0</v>
      </c>
      <c r="AC802" s="0" t="n">
        <f aca="false">SUM(AB$10:AB801)/K802</f>
        <v>0.000112312618396797</v>
      </c>
      <c r="AD802" s="0" t="n">
        <f aca="false">R802*E802+D802*(X802*S802+(1-X802)*T802)</f>
        <v>-0.0334316211830981</v>
      </c>
      <c r="AE802" s="0" t="n">
        <f aca="false">Z802</f>
        <v>10</v>
      </c>
      <c r="AF802" s="0" t="n">
        <f aca="false">E802*O802</f>
        <v>10</v>
      </c>
      <c r="AG802" s="0" t="n">
        <f aca="false">((1-X802)*O802+X802*P802)*D802</f>
        <v>0</v>
      </c>
      <c r="AH802" s="0" t="n">
        <f aca="false">D802*(LN(EXP(S802)+EXP(T802)))</f>
        <v>-0</v>
      </c>
      <c r="AJ802" s="0" t="n">
        <f aca="false">$J$5</f>
        <v>10</v>
      </c>
      <c r="AK802" s="4" t="n">
        <f aca="false">AJ802+MAX(K802,AK$10:AK801)</f>
        <v>8913.7190502231</v>
      </c>
      <c r="AL802" s="5" t="n">
        <f aca="false">AK802-K802</f>
        <v>10</v>
      </c>
      <c r="AM802" s="0" t="n">
        <f aca="false">-G802*AL802/3600</f>
        <v>-0.0334316211830981</v>
      </c>
      <c r="AN802" s="0" t="n">
        <f aca="false">-H802*AL802/3600</f>
        <v>-0.0317064842540903</v>
      </c>
      <c r="AO802" s="0" t="n">
        <f aca="false">AM802*E802+AN802*D802</f>
        <v>-0.0334316211830981</v>
      </c>
      <c r="AP802" s="0" t="n">
        <f aca="false">AL802*D802</f>
        <v>0</v>
      </c>
      <c r="AR802" s="0" t="n">
        <f aca="false">AN802*D802</f>
        <v>-0</v>
      </c>
      <c r="AS802" s="0" t="n">
        <f aca="false">AH802-AR802</f>
        <v>0</v>
      </c>
    </row>
    <row r="803" customFormat="false" ht="12" hidden="false" customHeight="false" outlineLevel="0" collapsed="false">
      <c r="A803" s="3" t="n">
        <f aca="false">A802+1</f>
        <v>794</v>
      </c>
      <c r="B803" s="3" t="n">
        <f aca="false">IF(A803&lt;$N$4/3,0.1,(IF(A803&gt;2*$N$4/3,0.05,0.12)))</f>
        <v>0.05</v>
      </c>
      <c r="C803" s="4" t="n">
        <f aca="true">RAND()</f>
        <v>0.493109830058219</v>
      </c>
      <c r="D803" s="0" t="n">
        <f aca="false">IF((C803&gt;$M$2),1,0)</f>
        <v>0</v>
      </c>
      <c r="E803" s="0" t="n">
        <f aca="false">1-D803</f>
        <v>1</v>
      </c>
      <c r="F803" s="0" t="n">
        <f aca="true">RAND()</f>
        <v>0.626581007156006</v>
      </c>
      <c r="G803" s="0" t="n">
        <f aca="false">7.75+F803*10</f>
        <v>14.0158100715601</v>
      </c>
      <c r="H803" s="0" t="n">
        <f aca="false">LOGINV(F803,2.64,1.139)</f>
        <v>20.2404347671497</v>
      </c>
      <c r="I803" s="0" t="n">
        <v>19.5</v>
      </c>
      <c r="J803" s="4" t="n">
        <f aca="true">-LN(RAND())/B803</f>
        <v>5.35529293441358</v>
      </c>
      <c r="K803" s="4" t="n">
        <f aca="false">K802+J803</f>
        <v>8909.07434315752</v>
      </c>
      <c r="L803" s="4" t="n">
        <f aca="false">(1/$J$4)*(1+AB802)</f>
        <v>10</v>
      </c>
      <c r="M803" s="4" t="n">
        <f aca="false">L803+MAX(K803,Y$10:Y802)</f>
        <v>8923.7190502231</v>
      </c>
      <c r="N803" s="4" t="n">
        <f aca="false">K803</f>
        <v>8909.07434315752</v>
      </c>
      <c r="O803" s="4" t="n">
        <f aca="false">M803-K803</f>
        <v>14.6447070655868</v>
      </c>
      <c r="P803" s="4" t="n">
        <f aca="false">N803-K803</f>
        <v>0</v>
      </c>
      <c r="Q803" s="4" t="n">
        <f aca="false">A803-MATCH(K803,$M$9:M802,1)</f>
        <v>1</v>
      </c>
      <c r="R803" s="0" t="n">
        <f aca="false">-G803*(O803/3600)</f>
        <v>-0.0570159535513605</v>
      </c>
      <c r="S803" s="0" t="n">
        <f aca="false">-1*I803-(H803*(P803/3600))</f>
        <v>-19.5</v>
      </c>
      <c r="T803" s="0" t="n">
        <f aca="false">-H803*(O803/3600)</f>
        <v>-0.0823375661236181</v>
      </c>
      <c r="U803" s="0" t="n">
        <f aca="false">T803-S803</f>
        <v>19.4176624338764</v>
      </c>
      <c r="V803" s="0" t="n">
        <f aca="false">1/(1+EXP(U803))</f>
        <v>3.68991491448011E-009</v>
      </c>
      <c r="W803" s="0" t="n">
        <f aca="true">RAND()</f>
        <v>0.730216703329131</v>
      </c>
      <c r="X803" s="0" t="n">
        <f aca="false">IF(W803&lt;V803,1,0)</f>
        <v>0</v>
      </c>
      <c r="Y803" s="0" t="n">
        <f aca="false">(M803*(1-X803)+N803*X803)*D803+M803*E803</f>
        <v>8923.7190502231</v>
      </c>
      <c r="Z803" s="0" t="n">
        <f aca="false">((1-X803)*O803+X803*P803)*D803+E803*O803</f>
        <v>14.6447070655868</v>
      </c>
      <c r="AA803" s="0" t="n">
        <f aca="false">IF(D803*X803&gt;0,AA802,Q803)</f>
        <v>1</v>
      </c>
      <c r="AB803" s="0" t="n">
        <f aca="false">(X803*D803)</f>
        <v>0</v>
      </c>
      <c r="AC803" s="0" t="n">
        <f aca="false">SUM(AB$10:AB802)/K803</f>
        <v>0.000112245106672394</v>
      </c>
      <c r="AD803" s="0" t="n">
        <f aca="false">R803*E803+D803*(X803*S803+(1-X803)*T803)</f>
        <v>-0.0570159535513605</v>
      </c>
      <c r="AE803" s="0" t="n">
        <f aca="false">Z803</f>
        <v>14.6447070655868</v>
      </c>
      <c r="AF803" s="0" t="n">
        <f aca="false">E803*O803</f>
        <v>14.6447070655868</v>
      </c>
      <c r="AG803" s="0" t="n">
        <f aca="false">((1-X803)*O803+X803*P803)*D803</f>
        <v>0</v>
      </c>
      <c r="AH803" s="0" t="n">
        <f aca="false">D803*(LN(EXP(S803)+EXP(T803)))</f>
        <v>-0</v>
      </c>
      <c r="AJ803" s="0" t="n">
        <f aca="false">$J$5</f>
        <v>10</v>
      </c>
      <c r="AK803" s="4" t="n">
        <f aca="false">AJ803+MAX(K803,AK$10:AK802)</f>
        <v>8923.7190502231</v>
      </c>
      <c r="AL803" s="5" t="n">
        <f aca="false">AK803-K803</f>
        <v>14.6447070655868</v>
      </c>
      <c r="AM803" s="0" t="n">
        <f aca="false">-G803*AL803/3600</f>
        <v>-0.0570159535513605</v>
      </c>
      <c r="AN803" s="0" t="n">
        <f aca="false">-H803*AL803/3600</f>
        <v>-0.0823375661236181</v>
      </c>
      <c r="AO803" s="0" t="n">
        <f aca="false">AM803*E803+AN803*D803</f>
        <v>-0.0570159535513605</v>
      </c>
      <c r="AP803" s="0" t="n">
        <f aca="false">AL803*D803</f>
        <v>0</v>
      </c>
      <c r="AR803" s="0" t="n">
        <f aca="false">AN803*D803</f>
        <v>-0</v>
      </c>
      <c r="AS803" s="0" t="n">
        <f aca="false">AH803-AR803</f>
        <v>0</v>
      </c>
    </row>
    <row r="804" customFormat="false" ht="12" hidden="false" customHeight="false" outlineLevel="0" collapsed="false">
      <c r="A804" s="3" t="n">
        <f aca="false">A803+1</f>
        <v>795</v>
      </c>
      <c r="B804" s="3" t="n">
        <f aca="false">IF(A804&lt;$N$4/3,0.1,(IF(A804&gt;2*$N$4/3,0.05,0.12)))</f>
        <v>0.05</v>
      </c>
      <c r="C804" s="4" t="n">
        <f aca="true">RAND()</f>
        <v>0.598405066386958</v>
      </c>
      <c r="D804" s="0" t="n">
        <f aca="false">IF((C804&gt;$M$2),1,0)</f>
        <v>0</v>
      </c>
      <c r="E804" s="0" t="n">
        <f aca="false">1-D804</f>
        <v>1</v>
      </c>
      <c r="F804" s="0" t="n">
        <f aca="true">RAND()</f>
        <v>0.186533642105261</v>
      </c>
      <c r="G804" s="0" t="n">
        <f aca="false">7.75+F804*10</f>
        <v>9.61533642105261</v>
      </c>
      <c r="H804" s="0" t="n">
        <f aca="false">LOGINV(F804,2.64,1.139)</f>
        <v>5.0806753603271</v>
      </c>
      <c r="I804" s="0" t="n">
        <v>19.5</v>
      </c>
      <c r="J804" s="4" t="n">
        <f aca="true">-LN(RAND())/B804</f>
        <v>22.9902544081774</v>
      </c>
      <c r="K804" s="4" t="n">
        <f aca="false">K803+J804</f>
        <v>8932.0645975657</v>
      </c>
      <c r="L804" s="4" t="n">
        <f aca="false">(1/$J$4)*(1+AB803)</f>
        <v>10</v>
      </c>
      <c r="M804" s="4" t="n">
        <f aca="false">L804+MAX(K804,Y$10:Y803)</f>
        <v>8942.0645975657</v>
      </c>
      <c r="N804" s="4" t="n">
        <f aca="false">K804</f>
        <v>8932.0645975657</v>
      </c>
      <c r="O804" s="4" t="n">
        <f aca="false">M804-K804</f>
        <v>10</v>
      </c>
      <c r="P804" s="4" t="n">
        <f aca="false">N804-K804</f>
        <v>0</v>
      </c>
      <c r="Q804" s="4" t="n">
        <f aca="false">A804-MATCH(K804,$M$9:M803,1)</f>
        <v>0</v>
      </c>
      <c r="R804" s="0" t="n">
        <f aca="false">-G804*(O804/3600)</f>
        <v>-0.0267092678362573</v>
      </c>
      <c r="S804" s="0" t="n">
        <f aca="false">-1*I804-(H804*(P804/3600))</f>
        <v>-19.5</v>
      </c>
      <c r="T804" s="0" t="n">
        <f aca="false">-H804*(O804/3600)</f>
        <v>-0.0141129871120197</v>
      </c>
      <c r="U804" s="0" t="n">
        <f aca="false">T804-S804</f>
        <v>19.485887012888</v>
      </c>
      <c r="V804" s="0" t="n">
        <f aca="false">1/(1+EXP(U804))</f>
        <v>3.446567542647E-009</v>
      </c>
      <c r="W804" s="0" t="n">
        <f aca="true">RAND()</f>
        <v>0.817634228691271</v>
      </c>
      <c r="X804" s="0" t="n">
        <f aca="false">IF(W804&lt;V804,1,0)</f>
        <v>0</v>
      </c>
      <c r="Y804" s="0" t="n">
        <f aca="false">(M804*(1-X804)+N804*X804)*D804+M804*E804</f>
        <v>8942.0645975657</v>
      </c>
      <c r="Z804" s="0" t="n">
        <f aca="false">((1-X804)*O804+X804*P804)*D804+E804*O804</f>
        <v>10</v>
      </c>
      <c r="AA804" s="0" t="n">
        <f aca="false">IF(D804*X804&gt;0,AA803,Q804)</f>
        <v>0</v>
      </c>
      <c r="AB804" s="0" t="n">
        <f aca="false">(X804*D804)</f>
        <v>0</v>
      </c>
      <c r="AC804" s="0" t="n">
        <f aca="false">SUM(AB$10:AB803)/K804</f>
        <v>0.000111956198824686</v>
      </c>
      <c r="AD804" s="0" t="n">
        <f aca="false">R804*E804+D804*(X804*S804+(1-X804)*T804)</f>
        <v>-0.0267092678362573</v>
      </c>
      <c r="AE804" s="0" t="n">
        <f aca="false">Z804</f>
        <v>10</v>
      </c>
      <c r="AF804" s="0" t="n">
        <f aca="false">E804*O804</f>
        <v>10</v>
      </c>
      <c r="AG804" s="0" t="n">
        <f aca="false">((1-X804)*O804+X804*P804)*D804</f>
        <v>0</v>
      </c>
      <c r="AH804" s="0" t="n">
        <f aca="false">D804*(LN(EXP(S804)+EXP(T804)))</f>
        <v>-0</v>
      </c>
      <c r="AJ804" s="0" t="n">
        <f aca="false">$J$5</f>
        <v>10</v>
      </c>
      <c r="AK804" s="4" t="n">
        <f aca="false">AJ804+MAX(K804,AK$10:AK803)</f>
        <v>8942.0645975657</v>
      </c>
      <c r="AL804" s="5" t="n">
        <f aca="false">AK804-K804</f>
        <v>10</v>
      </c>
      <c r="AM804" s="0" t="n">
        <f aca="false">-G804*AL804/3600</f>
        <v>-0.0267092678362573</v>
      </c>
      <c r="AN804" s="0" t="n">
        <f aca="false">-H804*AL804/3600</f>
        <v>-0.0141129871120197</v>
      </c>
      <c r="AO804" s="0" t="n">
        <f aca="false">AM804*E804+AN804*D804</f>
        <v>-0.0267092678362573</v>
      </c>
      <c r="AP804" s="0" t="n">
        <f aca="false">AL804*D804</f>
        <v>0</v>
      </c>
      <c r="AR804" s="0" t="n">
        <f aca="false">AN804*D804</f>
        <v>-0</v>
      </c>
      <c r="AS804" s="0" t="n">
        <f aca="false">AH804-AR804</f>
        <v>0</v>
      </c>
    </row>
    <row r="805" customFormat="false" ht="12" hidden="false" customHeight="false" outlineLevel="0" collapsed="false">
      <c r="A805" s="3" t="n">
        <f aca="false">A804+1</f>
        <v>796</v>
      </c>
      <c r="B805" s="3" t="n">
        <f aca="false">IF(A805&lt;$N$4/3,0.1,(IF(A805&gt;2*$N$4/3,0.05,0.12)))</f>
        <v>0.05</v>
      </c>
      <c r="C805" s="4" t="n">
        <f aca="true">RAND()</f>
        <v>0.0588248826981372</v>
      </c>
      <c r="D805" s="0" t="n">
        <f aca="false">IF((C805&gt;$M$2),1,0)</f>
        <v>0</v>
      </c>
      <c r="E805" s="0" t="n">
        <f aca="false">1-D805</f>
        <v>1</v>
      </c>
      <c r="F805" s="0" t="n">
        <f aca="true">RAND()</f>
        <v>0.0847179455299739</v>
      </c>
      <c r="G805" s="0" t="n">
        <f aca="false">7.75+F805*10</f>
        <v>8.59717945529974</v>
      </c>
      <c r="H805" s="0" t="n">
        <f aca="false">LOGINV(F805,2.64,1.139)</f>
        <v>2.9299716641783</v>
      </c>
      <c r="I805" s="0" t="n">
        <v>19.5</v>
      </c>
      <c r="J805" s="4" t="n">
        <f aca="true">-LN(RAND())/B805</f>
        <v>37.0629951745035</v>
      </c>
      <c r="K805" s="4" t="n">
        <f aca="false">K804+J805</f>
        <v>8969.1275927402</v>
      </c>
      <c r="L805" s="4" t="n">
        <f aca="false">(1/$J$4)*(1+AB804)</f>
        <v>10</v>
      </c>
      <c r="M805" s="4" t="n">
        <f aca="false">L805+MAX(K805,Y$10:Y804)</f>
        <v>8979.1275927402</v>
      </c>
      <c r="N805" s="4" t="n">
        <f aca="false">K805</f>
        <v>8969.1275927402</v>
      </c>
      <c r="O805" s="4" t="n">
        <f aca="false">M805-K805</f>
        <v>10</v>
      </c>
      <c r="P805" s="4" t="n">
        <f aca="false">N805-K805</f>
        <v>0</v>
      </c>
      <c r="Q805" s="4" t="n">
        <f aca="false">A805-MATCH(K805,$M$9:M804,1)</f>
        <v>0</v>
      </c>
      <c r="R805" s="0" t="n">
        <f aca="false">-G805*(O805/3600)</f>
        <v>-0.0238810540424993</v>
      </c>
      <c r="S805" s="0" t="n">
        <f aca="false">-1*I805-(H805*(P805/3600))</f>
        <v>-19.5</v>
      </c>
      <c r="T805" s="0" t="n">
        <f aca="false">-H805*(O805/3600)</f>
        <v>-0.00813881017827305</v>
      </c>
      <c r="U805" s="0" t="n">
        <f aca="false">T805-S805</f>
        <v>19.4918611898217</v>
      </c>
      <c r="V805" s="0" t="n">
        <f aca="false">1/(1+EXP(U805))</f>
        <v>3.42603852146412E-009</v>
      </c>
      <c r="W805" s="0" t="n">
        <f aca="true">RAND()</f>
        <v>0.0137916802667292</v>
      </c>
      <c r="X805" s="0" t="n">
        <f aca="false">IF(W805&lt;V805,1,0)</f>
        <v>0</v>
      </c>
      <c r="Y805" s="0" t="n">
        <f aca="false">(M805*(1-X805)+N805*X805)*D805+M805*E805</f>
        <v>8979.1275927402</v>
      </c>
      <c r="Z805" s="0" t="n">
        <f aca="false">((1-X805)*O805+X805*P805)*D805+E805*O805</f>
        <v>10</v>
      </c>
      <c r="AA805" s="0" t="n">
        <f aca="false">IF(D805*X805&gt;0,AA804,Q805)</f>
        <v>0</v>
      </c>
      <c r="AB805" s="0" t="n">
        <f aca="false">(X805*D805)</f>
        <v>0</v>
      </c>
      <c r="AC805" s="0" t="n">
        <f aca="false">SUM(AB$10:AB804)/K805</f>
        <v>0.000111493563856692</v>
      </c>
      <c r="AD805" s="0" t="n">
        <f aca="false">R805*E805+D805*(X805*S805+(1-X805)*T805)</f>
        <v>-0.0238810540424993</v>
      </c>
      <c r="AE805" s="0" t="n">
        <f aca="false">Z805</f>
        <v>10</v>
      </c>
      <c r="AF805" s="0" t="n">
        <f aca="false">E805*O805</f>
        <v>10</v>
      </c>
      <c r="AG805" s="0" t="n">
        <f aca="false">((1-X805)*O805+X805*P805)*D805</f>
        <v>0</v>
      </c>
      <c r="AH805" s="0" t="n">
        <f aca="false">D805*(LN(EXP(S805)+EXP(T805)))</f>
        <v>-0</v>
      </c>
      <c r="AJ805" s="0" t="n">
        <f aca="false">$J$5</f>
        <v>10</v>
      </c>
      <c r="AK805" s="4" t="n">
        <f aca="false">AJ805+MAX(K805,AK$10:AK804)</f>
        <v>8979.1275927402</v>
      </c>
      <c r="AL805" s="5" t="n">
        <f aca="false">AK805-K805</f>
        <v>10</v>
      </c>
      <c r="AM805" s="0" t="n">
        <f aca="false">-G805*AL805/3600</f>
        <v>-0.0238810540424993</v>
      </c>
      <c r="AN805" s="0" t="n">
        <f aca="false">-H805*AL805/3600</f>
        <v>-0.00813881017827305</v>
      </c>
      <c r="AO805" s="0" t="n">
        <f aca="false">AM805*E805+AN805*D805</f>
        <v>-0.0238810540424993</v>
      </c>
      <c r="AP805" s="0" t="n">
        <f aca="false">AL805*D805</f>
        <v>0</v>
      </c>
      <c r="AR805" s="0" t="n">
        <f aca="false">AN805*D805</f>
        <v>-0</v>
      </c>
      <c r="AS805" s="0" t="n">
        <f aca="false">AH805-AR805</f>
        <v>0</v>
      </c>
    </row>
    <row r="806" customFormat="false" ht="12" hidden="false" customHeight="false" outlineLevel="0" collapsed="false">
      <c r="A806" s="3" t="n">
        <f aca="false">A805+1</f>
        <v>797</v>
      </c>
      <c r="B806" s="3" t="n">
        <f aca="false">IF(A806&lt;$N$4/3,0.1,(IF(A806&gt;2*$N$4/3,0.05,0.12)))</f>
        <v>0.05</v>
      </c>
      <c r="C806" s="4" t="n">
        <f aca="true">RAND()</f>
        <v>0.00512210203354925</v>
      </c>
      <c r="D806" s="0" t="n">
        <f aca="false">IF((C806&gt;$M$2),1,0)</f>
        <v>0</v>
      </c>
      <c r="E806" s="0" t="n">
        <f aca="false">1-D806</f>
        <v>1</v>
      </c>
      <c r="F806" s="0" t="n">
        <f aca="true">RAND()</f>
        <v>0.169582918843535</v>
      </c>
      <c r="G806" s="0" t="n">
        <f aca="false">7.75+F806*10</f>
        <v>9.44582918843535</v>
      </c>
      <c r="H806" s="0" t="n">
        <f aca="false">LOGINV(F806,2.64,1.139)</f>
        <v>4.71772648143154</v>
      </c>
      <c r="I806" s="0" t="n">
        <v>19.5</v>
      </c>
      <c r="J806" s="4" t="n">
        <f aca="true">-LN(RAND())/B806</f>
        <v>47.1293201995179</v>
      </c>
      <c r="K806" s="4" t="n">
        <f aca="false">K805+J806</f>
        <v>9016.25691293972</v>
      </c>
      <c r="L806" s="4" t="n">
        <f aca="false">(1/$J$4)*(1+AB805)</f>
        <v>10</v>
      </c>
      <c r="M806" s="4" t="n">
        <f aca="false">L806+MAX(K806,Y$10:Y805)</f>
        <v>9026.25691293972</v>
      </c>
      <c r="N806" s="4" t="n">
        <f aca="false">K806</f>
        <v>9016.25691293972</v>
      </c>
      <c r="O806" s="4" t="n">
        <f aca="false">M806-K806</f>
        <v>10</v>
      </c>
      <c r="P806" s="4" t="n">
        <f aca="false">N806-K806</f>
        <v>0</v>
      </c>
      <c r="Q806" s="4" t="n">
        <f aca="false">A806-MATCH(K806,$M$9:M805,1)</f>
        <v>0</v>
      </c>
      <c r="R806" s="0" t="n">
        <f aca="false">-G806*(O806/3600)</f>
        <v>-0.0262384144123204</v>
      </c>
      <c r="S806" s="0" t="n">
        <f aca="false">-1*I806-(H806*(P806/3600))</f>
        <v>-19.5</v>
      </c>
      <c r="T806" s="0" t="n">
        <f aca="false">-H806*(O806/3600)</f>
        <v>-0.0131047957817543</v>
      </c>
      <c r="U806" s="0" t="n">
        <f aca="false">T806-S806</f>
        <v>19.4868952042182</v>
      </c>
      <c r="V806" s="0" t="n">
        <f aca="false">1/(1+EXP(U806))</f>
        <v>3.44309449418614E-009</v>
      </c>
      <c r="W806" s="0" t="n">
        <f aca="true">RAND()</f>
        <v>0.979983231387179</v>
      </c>
      <c r="X806" s="0" t="n">
        <f aca="false">IF(W806&lt;V806,1,0)</f>
        <v>0</v>
      </c>
      <c r="Y806" s="0" t="n">
        <f aca="false">(M806*(1-X806)+N806*X806)*D806+M806*E806</f>
        <v>9026.25691293972</v>
      </c>
      <c r="Z806" s="0" t="n">
        <f aca="false">((1-X806)*O806+X806*P806)*D806+E806*O806</f>
        <v>10</v>
      </c>
      <c r="AA806" s="0" t="n">
        <f aca="false">IF(D806*X806&gt;0,AA805,Q806)</f>
        <v>0</v>
      </c>
      <c r="AB806" s="0" t="n">
        <f aca="false">(X806*D806)</f>
        <v>0</v>
      </c>
      <c r="AC806" s="0" t="n">
        <f aca="false">SUM(AB$10:AB805)/K806</f>
        <v>0.00011091077036246</v>
      </c>
      <c r="AD806" s="0" t="n">
        <f aca="false">R806*E806+D806*(X806*S806+(1-X806)*T806)</f>
        <v>-0.0262384144123204</v>
      </c>
      <c r="AE806" s="0" t="n">
        <f aca="false">Z806</f>
        <v>10</v>
      </c>
      <c r="AF806" s="0" t="n">
        <f aca="false">E806*O806</f>
        <v>10</v>
      </c>
      <c r="AG806" s="0" t="n">
        <f aca="false">((1-X806)*O806+X806*P806)*D806</f>
        <v>0</v>
      </c>
      <c r="AH806" s="0" t="n">
        <f aca="false">D806*(LN(EXP(S806)+EXP(T806)))</f>
        <v>-0</v>
      </c>
      <c r="AJ806" s="0" t="n">
        <f aca="false">$J$5</f>
        <v>10</v>
      </c>
      <c r="AK806" s="4" t="n">
        <f aca="false">AJ806+MAX(K806,AK$10:AK805)</f>
        <v>9026.25691293972</v>
      </c>
      <c r="AL806" s="5" t="n">
        <f aca="false">AK806-K806</f>
        <v>10</v>
      </c>
      <c r="AM806" s="0" t="n">
        <f aca="false">-G806*AL806/3600</f>
        <v>-0.0262384144123204</v>
      </c>
      <c r="AN806" s="0" t="n">
        <f aca="false">-H806*AL806/3600</f>
        <v>-0.0131047957817543</v>
      </c>
      <c r="AO806" s="0" t="n">
        <f aca="false">AM806*E806+AN806*D806</f>
        <v>-0.0262384144123204</v>
      </c>
      <c r="AP806" s="0" t="n">
        <f aca="false">AL806*D806</f>
        <v>0</v>
      </c>
      <c r="AR806" s="0" t="n">
        <f aca="false">AN806*D806</f>
        <v>-0</v>
      </c>
      <c r="AS806" s="0" t="n">
        <f aca="false">AH806-AR806</f>
        <v>0</v>
      </c>
    </row>
    <row r="807" customFormat="false" ht="12" hidden="false" customHeight="false" outlineLevel="0" collapsed="false">
      <c r="A807" s="3" t="n">
        <f aca="false">A806+1</f>
        <v>798</v>
      </c>
      <c r="B807" s="3" t="n">
        <f aca="false">IF(A807&lt;$N$4/3,0.1,(IF(A807&gt;2*$N$4/3,0.05,0.12)))</f>
        <v>0.05</v>
      </c>
      <c r="C807" s="4" t="n">
        <f aca="true">RAND()</f>
        <v>0.512613862891314</v>
      </c>
      <c r="D807" s="0" t="n">
        <f aca="false">IF((C807&gt;$M$2),1,0)</f>
        <v>0</v>
      </c>
      <c r="E807" s="0" t="n">
        <f aca="false">1-D807</f>
        <v>1</v>
      </c>
      <c r="F807" s="0" t="n">
        <f aca="true">RAND()</f>
        <v>0.0388055600383224</v>
      </c>
      <c r="G807" s="0" t="n">
        <f aca="false">7.75+F807*10</f>
        <v>8.13805560038322</v>
      </c>
      <c r="H807" s="0" t="n">
        <f aca="false">LOGINV(F807,2.64,1.139)</f>
        <v>1.87758400595703</v>
      </c>
      <c r="I807" s="0" t="n">
        <v>19.5</v>
      </c>
      <c r="J807" s="4" t="n">
        <f aca="true">-LN(RAND())/B807</f>
        <v>7.30438212105863</v>
      </c>
      <c r="K807" s="4" t="n">
        <f aca="false">K806+J807</f>
        <v>9023.56129506078</v>
      </c>
      <c r="L807" s="4" t="n">
        <f aca="false">(1/$J$4)*(1+AB806)</f>
        <v>10</v>
      </c>
      <c r="M807" s="4" t="n">
        <f aca="false">L807+MAX(K807,Y$10:Y806)</f>
        <v>9036.25691293972</v>
      </c>
      <c r="N807" s="4" t="n">
        <f aca="false">K807</f>
        <v>9023.56129506078</v>
      </c>
      <c r="O807" s="4" t="n">
        <f aca="false">M807-K807</f>
        <v>12.6956178789405</v>
      </c>
      <c r="P807" s="4" t="n">
        <f aca="false">N807-K807</f>
        <v>0</v>
      </c>
      <c r="Q807" s="4" t="n">
        <f aca="false">A807-MATCH(K807,$M$9:M806,1)</f>
        <v>1</v>
      </c>
      <c r="R807" s="0" t="n">
        <f aca="false">-G807*(O807/3600)</f>
        <v>-0.028699345605566</v>
      </c>
      <c r="S807" s="0" t="n">
        <f aca="false">-1*I807-(H807*(P807/3600))</f>
        <v>-19.5</v>
      </c>
      <c r="T807" s="0" t="n">
        <f aca="false">-H807*(O807/3600)</f>
        <v>-0.00662141363201135</v>
      </c>
      <c r="U807" s="0" t="n">
        <f aca="false">T807-S807</f>
        <v>19.493378586368</v>
      </c>
      <c r="V807" s="0" t="n">
        <f aca="false">1/(1+EXP(U807))</f>
        <v>3.42084380468146E-009</v>
      </c>
      <c r="W807" s="0" t="n">
        <f aca="true">RAND()</f>
        <v>0.368786365729675</v>
      </c>
      <c r="X807" s="0" t="n">
        <f aca="false">IF(W807&lt;V807,1,0)</f>
        <v>0</v>
      </c>
      <c r="Y807" s="0" t="n">
        <f aca="false">(M807*(1-X807)+N807*X807)*D807+M807*E807</f>
        <v>9036.25691293972</v>
      </c>
      <c r="Z807" s="0" t="n">
        <f aca="false">((1-X807)*O807+X807*P807)*D807+E807*O807</f>
        <v>12.6956178789405</v>
      </c>
      <c r="AA807" s="0" t="n">
        <f aca="false">IF(D807*X807&gt;0,AA806,Q807)</f>
        <v>1</v>
      </c>
      <c r="AB807" s="0" t="n">
        <f aca="false">(X807*D807)</f>
        <v>0</v>
      </c>
      <c r="AC807" s="0" t="n">
        <f aca="false">SUM(AB$10:AB806)/K807</f>
        <v>0.000110820990438373</v>
      </c>
      <c r="AD807" s="0" t="n">
        <f aca="false">R807*E807+D807*(X807*S807+(1-X807)*T807)</f>
        <v>-0.028699345605566</v>
      </c>
      <c r="AE807" s="0" t="n">
        <f aca="false">Z807</f>
        <v>12.6956178789405</v>
      </c>
      <c r="AF807" s="0" t="n">
        <f aca="false">E807*O807</f>
        <v>12.6956178789405</v>
      </c>
      <c r="AG807" s="0" t="n">
        <f aca="false">((1-X807)*O807+X807*P807)*D807</f>
        <v>0</v>
      </c>
      <c r="AH807" s="0" t="n">
        <f aca="false">D807*(LN(EXP(S807)+EXP(T807)))</f>
        <v>-0</v>
      </c>
      <c r="AJ807" s="0" t="n">
        <f aca="false">$J$5</f>
        <v>10</v>
      </c>
      <c r="AK807" s="4" t="n">
        <f aca="false">AJ807+MAX(K807,AK$10:AK806)</f>
        <v>9036.25691293972</v>
      </c>
      <c r="AL807" s="5" t="n">
        <f aca="false">AK807-K807</f>
        <v>12.6956178789405</v>
      </c>
      <c r="AM807" s="0" t="n">
        <f aca="false">-G807*AL807/3600</f>
        <v>-0.028699345605566</v>
      </c>
      <c r="AN807" s="0" t="n">
        <f aca="false">-H807*AL807/3600</f>
        <v>-0.00662141363201135</v>
      </c>
      <c r="AO807" s="0" t="n">
        <f aca="false">AM807*E807+AN807*D807</f>
        <v>-0.028699345605566</v>
      </c>
      <c r="AP807" s="0" t="n">
        <f aca="false">AL807*D807</f>
        <v>0</v>
      </c>
      <c r="AR807" s="0" t="n">
        <f aca="false">AN807*D807</f>
        <v>-0</v>
      </c>
      <c r="AS807" s="0" t="n">
        <f aca="false">AH807-AR807</f>
        <v>0</v>
      </c>
    </row>
    <row r="808" customFormat="false" ht="12" hidden="false" customHeight="false" outlineLevel="0" collapsed="false">
      <c r="A808" s="3" t="n">
        <f aca="false">A807+1</f>
        <v>799</v>
      </c>
      <c r="B808" s="3" t="n">
        <f aca="false">IF(A808&lt;$N$4/3,0.1,(IF(A808&gt;2*$N$4/3,0.05,0.12)))</f>
        <v>0.05</v>
      </c>
      <c r="C808" s="4" t="n">
        <f aca="true">RAND()</f>
        <v>0.238936939087062</v>
      </c>
      <c r="D808" s="0" t="n">
        <f aca="false">IF((C808&gt;$M$2),1,0)</f>
        <v>0</v>
      </c>
      <c r="E808" s="0" t="n">
        <f aca="false">1-D808</f>
        <v>1</v>
      </c>
      <c r="F808" s="0" t="n">
        <f aca="true">RAND()</f>
        <v>0.472136875925373</v>
      </c>
      <c r="G808" s="0" t="n">
        <f aca="false">7.75+F808*10</f>
        <v>12.4713687592537</v>
      </c>
      <c r="H808" s="0" t="n">
        <f aca="false">LOGINV(F808,2.64,1.139)</f>
        <v>12.9407935646999</v>
      </c>
      <c r="I808" s="0" t="n">
        <v>19.5</v>
      </c>
      <c r="J808" s="4" t="n">
        <f aca="true">-LN(RAND())/B808</f>
        <v>17.2229985797665</v>
      </c>
      <c r="K808" s="4" t="n">
        <f aca="false">K807+J808</f>
        <v>9040.78429364054</v>
      </c>
      <c r="L808" s="4" t="n">
        <f aca="false">(1/$J$4)*(1+AB807)</f>
        <v>10</v>
      </c>
      <c r="M808" s="4" t="n">
        <f aca="false">L808+MAX(K808,Y$10:Y807)</f>
        <v>9050.78429364054</v>
      </c>
      <c r="N808" s="4" t="n">
        <f aca="false">K808</f>
        <v>9040.78429364054</v>
      </c>
      <c r="O808" s="4" t="n">
        <f aca="false">M808-K808</f>
        <v>10</v>
      </c>
      <c r="P808" s="4" t="n">
        <f aca="false">N808-K808</f>
        <v>0</v>
      </c>
      <c r="Q808" s="4" t="n">
        <f aca="false">A808-MATCH(K808,$M$9:M807,1)</f>
        <v>0</v>
      </c>
      <c r="R808" s="0" t="n">
        <f aca="false">-G808*(O808/3600)</f>
        <v>-0.034642690997927</v>
      </c>
      <c r="S808" s="0" t="n">
        <f aca="false">-1*I808-(H808*(P808/3600))</f>
        <v>-19.5</v>
      </c>
      <c r="T808" s="0" t="n">
        <f aca="false">-H808*(O808/3600)</f>
        <v>-0.0359466487908331</v>
      </c>
      <c r="U808" s="0" t="n">
        <f aca="false">T808-S808</f>
        <v>19.4640533512092</v>
      </c>
      <c r="V808" s="0" t="n">
        <f aca="false">1/(1+EXP(U808))</f>
        <v>3.52264624816159E-009</v>
      </c>
      <c r="W808" s="0" t="n">
        <f aca="true">RAND()</f>
        <v>0.204041952627567</v>
      </c>
      <c r="X808" s="0" t="n">
        <f aca="false">IF(W808&lt;V808,1,0)</f>
        <v>0</v>
      </c>
      <c r="Y808" s="0" t="n">
        <f aca="false">(M808*(1-X808)+N808*X808)*D808+M808*E808</f>
        <v>9050.78429364054</v>
      </c>
      <c r="Z808" s="0" t="n">
        <f aca="false">((1-X808)*O808+X808*P808)*D808+E808*O808</f>
        <v>10</v>
      </c>
      <c r="AA808" s="0" t="n">
        <f aca="false">IF(D808*X808&gt;0,AA807,Q808)</f>
        <v>0</v>
      </c>
      <c r="AB808" s="0" t="n">
        <f aca="false">(X808*D808)</f>
        <v>0</v>
      </c>
      <c r="AC808" s="0" t="n">
        <f aca="false">SUM(AB$10:AB807)/K808</f>
        <v>0.000110609872719054</v>
      </c>
      <c r="AD808" s="0" t="n">
        <f aca="false">R808*E808+D808*(X808*S808+(1-X808)*T808)</f>
        <v>-0.034642690997927</v>
      </c>
      <c r="AE808" s="0" t="n">
        <f aca="false">Z808</f>
        <v>10</v>
      </c>
      <c r="AF808" s="0" t="n">
        <f aca="false">E808*O808</f>
        <v>10</v>
      </c>
      <c r="AG808" s="0" t="n">
        <f aca="false">((1-X808)*O808+X808*P808)*D808</f>
        <v>0</v>
      </c>
      <c r="AH808" s="0" t="n">
        <f aca="false">D808*(LN(EXP(S808)+EXP(T808)))</f>
        <v>-0</v>
      </c>
      <c r="AJ808" s="0" t="n">
        <f aca="false">$J$5</f>
        <v>10</v>
      </c>
      <c r="AK808" s="4" t="n">
        <f aca="false">AJ808+MAX(K808,AK$10:AK807)</f>
        <v>9050.78429364054</v>
      </c>
      <c r="AL808" s="5" t="n">
        <f aca="false">AK808-K808</f>
        <v>10</v>
      </c>
      <c r="AM808" s="0" t="n">
        <f aca="false">-G808*AL808/3600</f>
        <v>-0.034642690997927</v>
      </c>
      <c r="AN808" s="0" t="n">
        <f aca="false">-H808*AL808/3600</f>
        <v>-0.0359466487908331</v>
      </c>
      <c r="AO808" s="0" t="n">
        <f aca="false">AM808*E808+AN808*D808</f>
        <v>-0.034642690997927</v>
      </c>
      <c r="AP808" s="0" t="n">
        <f aca="false">AL808*D808</f>
        <v>0</v>
      </c>
      <c r="AR808" s="0" t="n">
        <f aca="false">AN808*D808</f>
        <v>-0</v>
      </c>
      <c r="AS808" s="0" t="n">
        <f aca="false">AH808-AR808</f>
        <v>0</v>
      </c>
    </row>
    <row r="809" customFormat="false" ht="12" hidden="false" customHeight="false" outlineLevel="0" collapsed="false">
      <c r="A809" s="3" t="n">
        <f aca="false">A808+1</f>
        <v>800</v>
      </c>
      <c r="B809" s="3" t="n">
        <f aca="false">IF(A809&lt;$N$4/3,0.1,(IF(A809&gt;2*$N$4/3,0.05,0.12)))</f>
        <v>0.05</v>
      </c>
      <c r="C809" s="4" t="n">
        <f aca="true">RAND()</f>
        <v>0.245989707222736</v>
      </c>
      <c r="D809" s="0" t="n">
        <f aca="false">IF((C809&gt;$M$2),1,0)</f>
        <v>0</v>
      </c>
      <c r="E809" s="0" t="n">
        <f aca="false">1-D809</f>
        <v>1</v>
      </c>
      <c r="F809" s="0" t="n">
        <f aca="true">RAND()</f>
        <v>0.912181704205125</v>
      </c>
      <c r="G809" s="0" t="n">
        <f aca="false">7.75+F809*10</f>
        <v>16.8718170420513</v>
      </c>
      <c r="H809" s="0" t="n">
        <f aca="false">LOGINV(F809,2.64,1.139)</f>
        <v>65.5335564850847</v>
      </c>
      <c r="I809" s="0" t="n">
        <v>19.5</v>
      </c>
      <c r="J809" s="4" t="n">
        <f aca="true">-LN(RAND())/B809</f>
        <v>32.7981376303014</v>
      </c>
      <c r="K809" s="4" t="n">
        <f aca="false">K808+J809</f>
        <v>9073.58243127084</v>
      </c>
      <c r="L809" s="4" t="n">
        <f aca="false">(1/$J$4)*(1+AB808)</f>
        <v>10</v>
      </c>
      <c r="M809" s="4" t="n">
        <f aca="false">L809+MAX(K809,Y$10:Y808)</f>
        <v>9083.58243127084</v>
      </c>
      <c r="N809" s="4" t="n">
        <f aca="false">K809</f>
        <v>9073.58243127084</v>
      </c>
      <c r="O809" s="4" t="n">
        <f aca="false">M809-K809</f>
        <v>10</v>
      </c>
      <c r="P809" s="4" t="n">
        <f aca="false">N809-K809</f>
        <v>0</v>
      </c>
      <c r="Q809" s="4" t="n">
        <f aca="false">A809-MATCH(K809,$M$9:M808,1)</f>
        <v>0</v>
      </c>
      <c r="R809" s="0" t="n">
        <f aca="false">-G809*(O809/3600)</f>
        <v>-0.0468661584501424</v>
      </c>
      <c r="S809" s="0" t="n">
        <f aca="false">-1*I809-(H809*(P809/3600))</f>
        <v>-19.5</v>
      </c>
      <c r="T809" s="0" t="n">
        <f aca="false">-H809*(O809/3600)</f>
        <v>-0.182037656903013</v>
      </c>
      <c r="U809" s="0" t="n">
        <f aca="false">T809-S809</f>
        <v>19.317962343097</v>
      </c>
      <c r="V809" s="0" t="n">
        <f aca="false">1/(1+EXP(U809))</f>
        <v>4.07676380966101E-009</v>
      </c>
      <c r="W809" s="0" t="n">
        <f aca="true">RAND()</f>
        <v>0.974419499302711</v>
      </c>
      <c r="X809" s="0" t="n">
        <f aca="false">IF(W809&lt;V809,1,0)</f>
        <v>0</v>
      </c>
      <c r="Y809" s="0" t="n">
        <f aca="false">(M809*(1-X809)+N809*X809)*D809+M809*E809</f>
        <v>9083.58243127084</v>
      </c>
      <c r="Z809" s="0" t="n">
        <f aca="false">((1-X809)*O809+X809*P809)*D809+E809*O809</f>
        <v>10</v>
      </c>
      <c r="AA809" s="0" t="n">
        <f aca="false">IF(D809*X809&gt;0,AA808,Q809)</f>
        <v>0</v>
      </c>
      <c r="AB809" s="0" t="n">
        <f aca="false">(X809*D809)</f>
        <v>0</v>
      </c>
      <c r="AC809" s="0" t="n">
        <f aca="false">SUM(AB$10:AB808)/K809</f>
        <v>0.000110210052928338</v>
      </c>
      <c r="AD809" s="0" t="n">
        <f aca="false">R809*E809+D809*(X809*S809+(1-X809)*T809)</f>
        <v>-0.0468661584501424</v>
      </c>
      <c r="AE809" s="0" t="n">
        <f aca="false">Z809</f>
        <v>10</v>
      </c>
      <c r="AF809" s="0" t="n">
        <f aca="false">E809*O809</f>
        <v>10</v>
      </c>
      <c r="AG809" s="0" t="n">
        <f aca="false">((1-X809)*O809+X809*P809)*D809</f>
        <v>0</v>
      </c>
      <c r="AH809" s="0" t="n">
        <f aca="false">D809*(LN(EXP(S809)+EXP(T809)))</f>
        <v>-0</v>
      </c>
      <c r="AJ809" s="0" t="n">
        <f aca="false">$J$5</f>
        <v>10</v>
      </c>
      <c r="AK809" s="4" t="n">
        <f aca="false">AJ809+MAX(K809,AK$10:AK808)</f>
        <v>9083.58243127084</v>
      </c>
      <c r="AL809" s="5" t="n">
        <f aca="false">AK809-K809</f>
        <v>10</v>
      </c>
      <c r="AM809" s="0" t="n">
        <f aca="false">-G809*AL809/3600</f>
        <v>-0.0468661584501424</v>
      </c>
      <c r="AN809" s="0" t="n">
        <f aca="false">-H809*AL809/3600</f>
        <v>-0.182037656903013</v>
      </c>
      <c r="AO809" s="0" t="n">
        <f aca="false">AM809*E809+AN809*D809</f>
        <v>-0.0468661584501424</v>
      </c>
      <c r="AP809" s="0" t="n">
        <f aca="false">AL809*D809</f>
        <v>0</v>
      </c>
      <c r="AR809" s="0" t="n">
        <f aca="false">AN809*D809</f>
        <v>-0</v>
      </c>
      <c r="AS809" s="0" t="n">
        <f aca="false">AH809-AR809</f>
        <v>0</v>
      </c>
    </row>
    <row r="810" customFormat="false" ht="12" hidden="false" customHeight="false" outlineLevel="0" collapsed="false">
      <c r="A810" s="3" t="n">
        <f aca="false">A809+1</f>
        <v>801</v>
      </c>
      <c r="B810" s="3" t="n">
        <f aca="false">IF(A810&lt;$N$4/3,0.1,(IF(A810&gt;2*$N$4/3,0.05,0.12)))</f>
        <v>0.05</v>
      </c>
      <c r="C810" s="4" t="n">
        <f aca="true">RAND()</f>
        <v>0.654335061228033</v>
      </c>
      <c r="D810" s="0" t="n">
        <f aca="false">IF((C810&gt;$M$2),1,0)</f>
        <v>0</v>
      </c>
      <c r="E810" s="0" t="n">
        <f aca="false">1-D810</f>
        <v>1</v>
      </c>
      <c r="F810" s="0" t="n">
        <f aca="true">RAND()</f>
        <v>0.474417639509776</v>
      </c>
      <c r="G810" s="0" t="n">
        <f aca="false">7.75+F810*10</f>
        <v>12.4941763950978</v>
      </c>
      <c r="H810" s="0" t="n">
        <f aca="false">LOGINV(F810,2.64,1.139)</f>
        <v>13.0255258957994</v>
      </c>
      <c r="I810" s="0" t="n">
        <v>19.5</v>
      </c>
      <c r="J810" s="4" t="n">
        <f aca="true">-LN(RAND())/B810</f>
        <v>21.9685941188359</v>
      </c>
      <c r="K810" s="4" t="n">
        <f aca="false">K809+J810</f>
        <v>9095.55102538968</v>
      </c>
      <c r="L810" s="4" t="n">
        <f aca="false">(1/$J$4)*(1+AB809)</f>
        <v>10</v>
      </c>
      <c r="M810" s="4" t="n">
        <f aca="false">L810+MAX(K810,Y$10:Y809)</f>
        <v>9105.55102538968</v>
      </c>
      <c r="N810" s="4" t="n">
        <f aca="false">K810</f>
        <v>9095.55102538968</v>
      </c>
      <c r="O810" s="4" t="n">
        <f aca="false">M810-K810</f>
        <v>10</v>
      </c>
      <c r="P810" s="4" t="n">
        <f aca="false">N810-K810</f>
        <v>0</v>
      </c>
      <c r="Q810" s="4" t="n">
        <f aca="false">A810-MATCH(K810,$M$9:M809,1)</f>
        <v>0</v>
      </c>
      <c r="R810" s="0" t="n">
        <f aca="false">-G810*(O810/3600)</f>
        <v>-0.0347060455419382</v>
      </c>
      <c r="S810" s="0" t="n">
        <f aca="false">-1*I810-(H810*(P810/3600))</f>
        <v>-19.5</v>
      </c>
      <c r="T810" s="0" t="n">
        <f aca="false">-H810*(O810/3600)</f>
        <v>-0.0361820163772204</v>
      </c>
      <c r="U810" s="0" t="n">
        <f aca="false">T810-S810</f>
        <v>19.4638179836228</v>
      </c>
      <c r="V810" s="0" t="n">
        <f aca="false">1/(1+EXP(U810))</f>
        <v>3.52347546248506E-009</v>
      </c>
      <c r="W810" s="0" t="n">
        <f aca="true">RAND()</f>
        <v>0.501780454875273</v>
      </c>
      <c r="X810" s="0" t="n">
        <f aca="false">IF(W810&lt;V810,1,0)</f>
        <v>0</v>
      </c>
      <c r="Y810" s="0" t="n">
        <f aca="false">(M810*(1-X810)+N810*X810)*D810+M810*E810</f>
        <v>9105.55102538968</v>
      </c>
      <c r="Z810" s="0" t="n">
        <f aca="false">((1-X810)*O810+X810*P810)*D810+E810*O810</f>
        <v>10</v>
      </c>
      <c r="AA810" s="0" t="n">
        <f aca="false">IF(D810*X810&gt;0,AA809,Q810)</f>
        <v>0</v>
      </c>
      <c r="AB810" s="0" t="n">
        <f aca="false">(X810*D810)</f>
        <v>0</v>
      </c>
      <c r="AC810" s="0" t="n">
        <f aca="false">SUM(AB$10:AB809)/K810</f>
        <v>0.000109943861257945</v>
      </c>
      <c r="AD810" s="0" t="n">
        <f aca="false">R810*E810+D810*(X810*S810+(1-X810)*T810)</f>
        <v>-0.0347060455419382</v>
      </c>
      <c r="AE810" s="0" t="n">
        <f aca="false">Z810</f>
        <v>10</v>
      </c>
      <c r="AF810" s="0" t="n">
        <f aca="false">E810*O810</f>
        <v>10</v>
      </c>
      <c r="AG810" s="0" t="n">
        <f aca="false">((1-X810)*O810+X810*P810)*D810</f>
        <v>0</v>
      </c>
      <c r="AH810" s="0" t="n">
        <f aca="false">D810*(LN(EXP(S810)+EXP(T810)))</f>
        <v>-0</v>
      </c>
      <c r="AJ810" s="0" t="n">
        <f aca="false">$J$5</f>
        <v>10</v>
      </c>
      <c r="AK810" s="4" t="n">
        <f aca="false">AJ810+MAX(K810,AK$10:AK809)</f>
        <v>9105.55102538968</v>
      </c>
      <c r="AL810" s="5" t="n">
        <f aca="false">AK810-K810</f>
        <v>10</v>
      </c>
      <c r="AM810" s="0" t="n">
        <f aca="false">-G810*AL810/3600</f>
        <v>-0.0347060455419382</v>
      </c>
      <c r="AN810" s="0" t="n">
        <f aca="false">-H810*AL810/3600</f>
        <v>-0.0361820163772204</v>
      </c>
      <c r="AO810" s="0" t="n">
        <f aca="false">AM810*E810+AN810*D810</f>
        <v>-0.0347060455419382</v>
      </c>
      <c r="AP810" s="0" t="n">
        <f aca="false">AL810*D810</f>
        <v>0</v>
      </c>
      <c r="AR810" s="0" t="n">
        <f aca="false">AN810*D810</f>
        <v>-0</v>
      </c>
      <c r="AS810" s="0" t="n">
        <f aca="false">AH810-AR810</f>
        <v>0</v>
      </c>
    </row>
    <row r="811" customFormat="false" ht="12" hidden="false" customHeight="false" outlineLevel="0" collapsed="false">
      <c r="A811" s="3" t="n">
        <f aca="false">A810+1</f>
        <v>802</v>
      </c>
      <c r="B811" s="3" t="n">
        <f aca="false">IF(A811&lt;$N$4/3,0.1,(IF(A811&gt;2*$N$4/3,0.05,0.12)))</f>
        <v>0.05</v>
      </c>
      <c r="C811" s="4" t="n">
        <f aca="true">RAND()</f>
        <v>0.560448849044837</v>
      </c>
      <c r="D811" s="0" t="n">
        <f aca="false">IF((C811&gt;$M$2),1,0)</f>
        <v>0</v>
      </c>
      <c r="E811" s="0" t="n">
        <f aca="false">1-D811</f>
        <v>1</v>
      </c>
      <c r="F811" s="0" t="n">
        <f aca="true">RAND()</f>
        <v>0.0958616515683121</v>
      </c>
      <c r="G811" s="0" t="n">
        <f aca="false">7.75+F811*10</f>
        <v>8.70861651568312</v>
      </c>
      <c r="H811" s="0" t="n">
        <f aca="false">LOGINV(F811,2.64,1.139)</f>
        <v>3.16780112468422</v>
      </c>
      <c r="I811" s="0" t="n">
        <v>19.5</v>
      </c>
      <c r="J811" s="4" t="n">
        <f aca="true">-LN(RAND())/B811</f>
        <v>35.6970172692424</v>
      </c>
      <c r="K811" s="4" t="n">
        <f aca="false">K810+J811</f>
        <v>9131.24804265892</v>
      </c>
      <c r="L811" s="4" t="n">
        <f aca="false">(1/$J$4)*(1+AB810)</f>
        <v>10</v>
      </c>
      <c r="M811" s="4" t="n">
        <f aca="false">L811+MAX(K811,Y$10:Y810)</f>
        <v>9141.24804265892</v>
      </c>
      <c r="N811" s="4" t="n">
        <f aca="false">K811</f>
        <v>9131.24804265892</v>
      </c>
      <c r="O811" s="4" t="n">
        <f aca="false">M811-K811</f>
        <v>10</v>
      </c>
      <c r="P811" s="4" t="n">
        <f aca="false">N811-K811</f>
        <v>0</v>
      </c>
      <c r="Q811" s="4" t="n">
        <f aca="false">A811-MATCH(K811,$M$9:M810,1)</f>
        <v>0</v>
      </c>
      <c r="R811" s="0" t="n">
        <f aca="false">-G811*(O811/3600)</f>
        <v>-0.0241906014324531</v>
      </c>
      <c r="S811" s="0" t="n">
        <f aca="false">-1*I811-(H811*(P811/3600))</f>
        <v>-19.5</v>
      </c>
      <c r="T811" s="0" t="n">
        <f aca="false">-H811*(O811/3600)</f>
        <v>-0.00879944756856727</v>
      </c>
      <c r="U811" s="0" t="n">
        <f aca="false">T811-S811</f>
        <v>19.4912005524314</v>
      </c>
      <c r="V811" s="0" t="n">
        <f aca="false">1/(1+EXP(U811))</f>
        <v>3.42830263840203E-009</v>
      </c>
      <c r="W811" s="0" t="n">
        <f aca="true">RAND()</f>
        <v>0.685630807017102</v>
      </c>
      <c r="X811" s="0" t="n">
        <f aca="false">IF(W811&lt;V811,1,0)</f>
        <v>0</v>
      </c>
      <c r="Y811" s="0" t="n">
        <f aca="false">(M811*(1-X811)+N811*X811)*D811+M811*E811</f>
        <v>9141.24804265892</v>
      </c>
      <c r="Z811" s="0" t="n">
        <f aca="false">((1-X811)*O811+X811*P811)*D811+E811*O811</f>
        <v>10</v>
      </c>
      <c r="AA811" s="0" t="n">
        <f aca="false">IF(D811*X811&gt;0,AA810,Q811)</f>
        <v>0</v>
      </c>
      <c r="AB811" s="0" t="n">
        <f aca="false">(X811*D811)</f>
        <v>0</v>
      </c>
      <c r="AC811" s="0" t="n">
        <f aca="false">SUM(AB$10:AB810)/K811</f>
        <v>0.000109514054960313</v>
      </c>
      <c r="AD811" s="0" t="n">
        <f aca="false">R811*E811+D811*(X811*S811+(1-X811)*T811)</f>
        <v>-0.0241906014324531</v>
      </c>
      <c r="AE811" s="0" t="n">
        <f aca="false">Z811</f>
        <v>10</v>
      </c>
      <c r="AF811" s="0" t="n">
        <f aca="false">E811*O811</f>
        <v>10</v>
      </c>
      <c r="AG811" s="0" t="n">
        <f aca="false">((1-X811)*O811+X811*P811)*D811</f>
        <v>0</v>
      </c>
      <c r="AH811" s="0" t="n">
        <f aca="false">D811*(LN(EXP(S811)+EXP(T811)))</f>
        <v>-0</v>
      </c>
      <c r="AJ811" s="0" t="n">
        <f aca="false">$J$5</f>
        <v>10</v>
      </c>
      <c r="AK811" s="4" t="n">
        <f aca="false">AJ811+MAX(K811,AK$10:AK810)</f>
        <v>9141.24804265892</v>
      </c>
      <c r="AL811" s="5" t="n">
        <f aca="false">AK811-K811</f>
        <v>10</v>
      </c>
      <c r="AM811" s="0" t="n">
        <f aca="false">-G811*AL811/3600</f>
        <v>-0.0241906014324531</v>
      </c>
      <c r="AN811" s="0" t="n">
        <f aca="false">-H811*AL811/3600</f>
        <v>-0.00879944756856727</v>
      </c>
      <c r="AO811" s="0" t="n">
        <f aca="false">AM811*E811+AN811*D811</f>
        <v>-0.0241906014324531</v>
      </c>
      <c r="AP811" s="0" t="n">
        <f aca="false">AL811*D811</f>
        <v>0</v>
      </c>
      <c r="AR811" s="0" t="n">
        <f aca="false">AN811*D811</f>
        <v>-0</v>
      </c>
      <c r="AS811" s="0" t="n">
        <f aca="false">AH811-AR811</f>
        <v>0</v>
      </c>
    </row>
    <row r="812" customFormat="false" ht="12" hidden="false" customHeight="false" outlineLevel="0" collapsed="false">
      <c r="A812" s="3" t="n">
        <f aca="false">A811+1</f>
        <v>803</v>
      </c>
      <c r="B812" s="3" t="n">
        <f aca="false">IF(A812&lt;$N$4/3,0.1,(IF(A812&gt;2*$N$4/3,0.05,0.12)))</f>
        <v>0.05</v>
      </c>
      <c r="C812" s="4" t="n">
        <f aca="true">RAND()</f>
        <v>0.0506283013488226</v>
      </c>
      <c r="D812" s="0" t="n">
        <f aca="false">IF((C812&gt;$M$2),1,0)</f>
        <v>0</v>
      </c>
      <c r="E812" s="0" t="n">
        <f aca="false">1-D812</f>
        <v>1</v>
      </c>
      <c r="F812" s="0" t="n">
        <f aca="true">RAND()</f>
        <v>0.609171952294996</v>
      </c>
      <c r="G812" s="0" t="n">
        <f aca="false">7.75+F812*10</f>
        <v>13.84171952295</v>
      </c>
      <c r="H812" s="0" t="n">
        <f aca="false">LOGINV(F812,2.64,1.139)</f>
        <v>19.2149179918161</v>
      </c>
      <c r="I812" s="0" t="n">
        <v>19.5</v>
      </c>
      <c r="J812" s="4" t="n">
        <f aca="true">-LN(RAND())/B812</f>
        <v>10.5252617285657</v>
      </c>
      <c r="K812" s="4" t="n">
        <f aca="false">K811+J812</f>
        <v>9141.77330438749</v>
      </c>
      <c r="L812" s="4" t="n">
        <f aca="false">(1/$J$4)*(1+AB811)</f>
        <v>10</v>
      </c>
      <c r="M812" s="4" t="n">
        <f aca="false">L812+MAX(K812,Y$10:Y811)</f>
        <v>9151.77330438749</v>
      </c>
      <c r="N812" s="4" t="n">
        <f aca="false">K812</f>
        <v>9141.77330438749</v>
      </c>
      <c r="O812" s="4" t="n">
        <f aca="false">M812-K812</f>
        <v>10</v>
      </c>
      <c r="P812" s="4" t="n">
        <f aca="false">N812-K812</f>
        <v>0</v>
      </c>
      <c r="Q812" s="4" t="n">
        <f aca="false">A812-MATCH(K812,$M$9:M811,1)</f>
        <v>0</v>
      </c>
      <c r="R812" s="0" t="n">
        <f aca="false">-G812*(O812/3600)</f>
        <v>-0.0384492208970832</v>
      </c>
      <c r="S812" s="0" t="n">
        <f aca="false">-1*I812-(H812*(P812/3600))</f>
        <v>-19.5</v>
      </c>
      <c r="T812" s="0" t="n">
        <f aca="false">-H812*(O812/3600)</f>
        <v>-0.0533747721994891</v>
      </c>
      <c r="U812" s="0" t="n">
        <f aca="false">T812-S812</f>
        <v>19.4466252278005</v>
      </c>
      <c r="V812" s="0" t="n">
        <f aca="false">1/(1+EXP(U812))</f>
        <v>3.58457746636461E-009</v>
      </c>
      <c r="W812" s="0" t="n">
        <f aca="true">RAND()</f>
        <v>0.813271179617575</v>
      </c>
      <c r="X812" s="0" t="n">
        <f aca="false">IF(W812&lt;V812,1,0)</f>
        <v>0</v>
      </c>
      <c r="Y812" s="0" t="n">
        <f aca="false">(M812*(1-X812)+N812*X812)*D812+M812*E812</f>
        <v>9151.77330438749</v>
      </c>
      <c r="Z812" s="0" t="n">
        <f aca="false">((1-X812)*O812+X812*P812)*D812+E812*O812</f>
        <v>10</v>
      </c>
      <c r="AA812" s="0" t="n">
        <f aca="false">IF(D812*X812&gt;0,AA811,Q812)</f>
        <v>0</v>
      </c>
      <c r="AB812" s="0" t="n">
        <f aca="false">(X812*D812)</f>
        <v>0</v>
      </c>
      <c r="AC812" s="0" t="n">
        <f aca="false">SUM(AB$10:AB811)/K812</f>
        <v>0.000109387967378283</v>
      </c>
      <c r="AD812" s="0" t="n">
        <f aca="false">R812*E812+D812*(X812*S812+(1-X812)*T812)</f>
        <v>-0.0384492208970832</v>
      </c>
      <c r="AE812" s="0" t="n">
        <f aca="false">Z812</f>
        <v>10</v>
      </c>
      <c r="AF812" s="0" t="n">
        <f aca="false">E812*O812</f>
        <v>10</v>
      </c>
      <c r="AG812" s="0" t="n">
        <f aca="false">((1-X812)*O812+X812*P812)*D812</f>
        <v>0</v>
      </c>
      <c r="AH812" s="0" t="n">
        <f aca="false">D812*(LN(EXP(S812)+EXP(T812)))</f>
        <v>-0</v>
      </c>
      <c r="AJ812" s="0" t="n">
        <f aca="false">$J$5</f>
        <v>10</v>
      </c>
      <c r="AK812" s="4" t="n">
        <f aca="false">AJ812+MAX(K812,AK$10:AK811)</f>
        <v>9151.77330438749</v>
      </c>
      <c r="AL812" s="5" t="n">
        <f aca="false">AK812-K812</f>
        <v>10</v>
      </c>
      <c r="AM812" s="0" t="n">
        <f aca="false">-G812*AL812/3600</f>
        <v>-0.0384492208970832</v>
      </c>
      <c r="AN812" s="0" t="n">
        <f aca="false">-H812*AL812/3600</f>
        <v>-0.0533747721994891</v>
      </c>
      <c r="AO812" s="0" t="n">
        <f aca="false">AM812*E812+AN812*D812</f>
        <v>-0.0384492208970832</v>
      </c>
      <c r="AP812" s="0" t="n">
        <f aca="false">AL812*D812</f>
        <v>0</v>
      </c>
      <c r="AR812" s="0" t="n">
        <f aca="false">AN812*D812</f>
        <v>-0</v>
      </c>
      <c r="AS812" s="0" t="n">
        <f aca="false">AH812-AR812</f>
        <v>0</v>
      </c>
    </row>
    <row r="813" customFormat="false" ht="12" hidden="false" customHeight="false" outlineLevel="0" collapsed="false">
      <c r="A813" s="3" t="n">
        <f aca="false">A812+1</f>
        <v>804</v>
      </c>
      <c r="B813" s="3" t="n">
        <f aca="false">IF(A813&lt;$N$4/3,0.1,(IF(A813&gt;2*$N$4/3,0.05,0.12)))</f>
        <v>0.05</v>
      </c>
      <c r="C813" s="4" t="n">
        <f aca="true">RAND()</f>
        <v>0.64565167977998</v>
      </c>
      <c r="D813" s="0" t="n">
        <f aca="false">IF((C813&gt;$M$2),1,0)</f>
        <v>0</v>
      </c>
      <c r="E813" s="0" t="n">
        <f aca="false">1-D813</f>
        <v>1</v>
      </c>
      <c r="F813" s="0" t="n">
        <f aca="true">RAND()</f>
        <v>0.288100861609243</v>
      </c>
      <c r="G813" s="0" t="n">
        <f aca="false">7.75+F813*10</f>
        <v>10.6310086160924</v>
      </c>
      <c r="H813" s="0" t="n">
        <f aca="false">LOGINV(F813,2.64,1.139)</f>
        <v>7.41396779686372</v>
      </c>
      <c r="I813" s="0" t="n">
        <v>19.5</v>
      </c>
      <c r="J813" s="4" t="n">
        <f aca="true">-LN(RAND())/B813</f>
        <v>2.8464817263237</v>
      </c>
      <c r="K813" s="4" t="n">
        <f aca="false">K812+J813</f>
        <v>9144.61978611381</v>
      </c>
      <c r="L813" s="4" t="n">
        <f aca="false">(1/$J$4)*(1+AB812)</f>
        <v>10</v>
      </c>
      <c r="M813" s="4" t="n">
        <f aca="false">L813+MAX(K813,Y$10:Y812)</f>
        <v>9161.77330438749</v>
      </c>
      <c r="N813" s="4" t="n">
        <f aca="false">K813</f>
        <v>9144.61978611381</v>
      </c>
      <c r="O813" s="4" t="n">
        <f aca="false">M813-K813</f>
        <v>17.153518273677</v>
      </c>
      <c r="P813" s="4" t="n">
        <f aca="false">N813-K813</f>
        <v>0</v>
      </c>
      <c r="Q813" s="4" t="n">
        <f aca="false">A813-MATCH(K813,$M$9:M812,1)</f>
        <v>1</v>
      </c>
      <c r="R813" s="0" t="n">
        <f aca="false">-G813*(O813/3600)</f>
        <v>-0.0506553334899332</v>
      </c>
      <c r="S813" s="0" t="n">
        <f aca="false">-1*I813-(H813*(P813/3600))</f>
        <v>-19.5</v>
      </c>
      <c r="T813" s="0" t="n">
        <f aca="false">-H813*(O813/3600)</f>
        <v>-0.0353265644677653</v>
      </c>
      <c r="U813" s="0" t="n">
        <f aca="false">T813-S813</f>
        <v>19.4646734355322</v>
      </c>
      <c r="V813" s="0" t="n">
        <f aca="false">1/(1+EXP(U813))</f>
        <v>3.52046258755191E-009</v>
      </c>
      <c r="W813" s="0" t="n">
        <f aca="true">RAND()</f>
        <v>0.205168322995559</v>
      </c>
      <c r="X813" s="0" t="n">
        <f aca="false">IF(W813&lt;V813,1,0)</f>
        <v>0</v>
      </c>
      <c r="Y813" s="0" t="n">
        <f aca="false">(M813*(1-X813)+N813*X813)*D813+M813*E813</f>
        <v>9161.77330438749</v>
      </c>
      <c r="Z813" s="0" t="n">
        <f aca="false">((1-X813)*O813+X813*P813)*D813+E813*O813</f>
        <v>17.153518273677</v>
      </c>
      <c r="AA813" s="0" t="n">
        <f aca="false">IF(D813*X813&gt;0,AA812,Q813)</f>
        <v>1</v>
      </c>
      <c r="AB813" s="0" t="n">
        <f aca="false">(X813*D813)</f>
        <v>0</v>
      </c>
      <c r="AC813" s="0" t="n">
        <f aca="false">SUM(AB$10:AB812)/K813</f>
        <v>0.000109353917755937</v>
      </c>
      <c r="AD813" s="0" t="n">
        <f aca="false">R813*E813+D813*(X813*S813+(1-X813)*T813)</f>
        <v>-0.0506553334899332</v>
      </c>
      <c r="AE813" s="0" t="n">
        <f aca="false">Z813</f>
        <v>17.153518273677</v>
      </c>
      <c r="AF813" s="0" t="n">
        <f aca="false">E813*O813</f>
        <v>17.153518273677</v>
      </c>
      <c r="AG813" s="0" t="n">
        <f aca="false">((1-X813)*O813+X813*P813)*D813</f>
        <v>0</v>
      </c>
      <c r="AH813" s="0" t="n">
        <f aca="false">D813*(LN(EXP(S813)+EXP(T813)))</f>
        <v>-0</v>
      </c>
      <c r="AJ813" s="0" t="n">
        <f aca="false">$J$5</f>
        <v>10</v>
      </c>
      <c r="AK813" s="4" t="n">
        <f aca="false">AJ813+MAX(K813,AK$10:AK812)</f>
        <v>9161.77330438749</v>
      </c>
      <c r="AL813" s="5" t="n">
        <f aca="false">AK813-K813</f>
        <v>17.153518273677</v>
      </c>
      <c r="AM813" s="0" t="n">
        <f aca="false">-G813*AL813/3600</f>
        <v>-0.0506553334899332</v>
      </c>
      <c r="AN813" s="0" t="n">
        <f aca="false">-H813*AL813/3600</f>
        <v>-0.0353265644677653</v>
      </c>
      <c r="AO813" s="0" t="n">
        <f aca="false">AM813*E813+AN813*D813</f>
        <v>-0.0506553334899332</v>
      </c>
      <c r="AP813" s="0" t="n">
        <f aca="false">AL813*D813</f>
        <v>0</v>
      </c>
      <c r="AR813" s="0" t="n">
        <f aca="false">AN813*D813</f>
        <v>-0</v>
      </c>
      <c r="AS813" s="0" t="n">
        <f aca="false">AH813-AR813</f>
        <v>0</v>
      </c>
    </row>
    <row r="814" customFormat="false" ht="12" hidden="false" customHeight="false" outlineLevel="0" collapsed="false">
      <c r="A814" s="3" t="n">
        <f aca="false">A813+1</f>
        <v>805</v>
      </c>
      <c r="B814" s="3" t="n">
        <f aca="false">IF(A814&lt;$N$4/3,0.1,(IF(A814&gt;2*$N$4/3,0.05,0.12)))</f>
        <v>0.05</v>
      </c>
      <c r="C814" s="4" t="n">
        <f aca="true">RAND()</f>
        <v>0.593421967729821</v>
      </c>
      <c r="D814" s="0" t="n">
        <f aca="false">IF((C814&gt;$M$2),1,0)</f>
        <v>0</v>
      </c>
      <c r="E814" s="0" t="n">
        <f aca="false">1-D814</f>
        <v>1</v>
      </c>
      <c r="F814" s="0" t="n">
        <f aca="true">RAND()</f>
        <v>0.568961871901127</v>
      </c>
      <c r="G814" s="0" t="n">
        <f aca="false">7.75+F814*10</f>
        <v>13.4396187190113</v>
      </c>
      <c r="H814" s="0" t="n">
        <f aca="false">LOGINV(F814,2.64,1.139)</f>
        <v>17.0795271512691</v>
      </c>
      <c r="I814" s="0" t="n">
        <v>19.5</v>
      </c>
      <c r="J814" s="4" t="n">
        <f aca="true">-LN(RAND())/B814</f>
        <v>0.569128730755927</v>
      </c>
      <c r="K814" s="4" t="n">
        <f aca="false">K813+J814</f>
        <v>9145.18891484457</v>
      </c>
      <c r="L814" s="4" t="n">
        <f aca="false">(1/$J$4)*(1+AB813)</f>
        <v>10</v>
      </c>
      <c r="M814" s="4" t="n">
        <f aca="false">L814+MAX(K814,Y$10:Y813)</f>
        <v>9171.77330438749</v>
      </c>
      <c r="N814" s="4" t="n">
        <f aca="false">K814</f>
        <v>9145.18891484457</v>
      </c>
      <c r="O814" s="4" t="n">
        <f aca="false">M814-K814</f>
        <v>26.5843895429207</v>
      </c>
      <c r="P814" s="4" t="n">
        <f aca="false">N814-K814</f>
        <v>0</v>
      </c>
      <c r="Q814" s="4" t="n">
        <f aca="false">A814-MATCH(K814,$M$9:M813,1)</f>
        <v>2</v>
      </c>
      <c r="R814" s="0" t="n">
        <f aca="false">-G814*(O814/3600)</f>
        <v>-0.0992455720373679</v>
      </c>
      <c r="S814" s="0" t="n">
        <f aca="false">-1*I814-(H814*(P814/3600))</f>
        <v>-19.5</v>
      </c>
      <c r="T814" s="0" t="n">
        <f aca="false">-H814*(O814/3600)</f>
        <v>-0.126124667499508</v>
      </c>
      <c r="U814" s="0" t="n">
        <f aca="false">T814-S814</f>
        <v>19.3738753325005</v>
      </c>
      <c r="V814" s="0" t="n">
        <f aca="false">1/(1+EXP(U814))</f>
        <v>3.8550751484662E-009</v>
      </c>
      <c r="W814" s="0" t="n">
        <f aca="true">RAND()</f>
        <v>0.356036914581129</v>
      </c>
      <c r="X814" s="0" t="n">
        <f aca="false">IF(W814&lt;V814,1,0)</f>
        <v>0</v>
      </c>
      <c r="Y814" s="0" t="n">
        <f aca="false">(M814*(1-X814)+N814*X814)*D814+M814*E814</f>
        <v>9171.77330438749</v>
      </c>
      <c r="Z814" s="0" t="n">
        <f aca="false">((1-X814)*O814+X814*P814)*D814+E814*O814</f>
        <v>26.5843895429207</v>
      </c>
      <c r="AA814" s="0" t="n">
        <f aca="false">IF(D814*X814&gt;0,AA813,Q814)</f>
        <v>2</v>
      </c>
      <c r="AB814" s="0" t="n">
        <f aca="false">(X814*D814)</f>
        <v>0</v>
      </c>
      <c r="AC814" s="0" t="n">
        <f aca="false">SUM(AB$10:AB813)/K814</f>
        <v>0.000109347112379143</v>
      </c>
      <c r="AD814" s="0" t="n">
        <f aca="false">R814*E814+D814*(X814*S814+(1-X814)*T814)</f>
        <v>-0.0992455720373679</v>
      </c>
      <c r="AE814" s="0" t="n">
        <f aca="false">Z814</f>
        <v>26.5843895429207</v>
      </c>
      <c r="AF814" s="0" t="n">
        <f aca="false">E814*O814</f>
        <v>26.5843895429207</v>
      </c>
      <c r="AG814" s="0" t="n">
        <f aca="false">((1-X814)*O814+X814*P814)*D814</f>
        <v>0</v>
      </c>
      <c r="AH814" s="0" t="n">
        <f aca="false">D814*(LN(EXP(S814)+EXP(T814)))</f>
        <v>-0</v>
      </c>
      <c r="AJ814" s="0" t="n">
        <f aca="false">$J$5</f>
        <v>10</v>
      </c>
      <c r="AK814" s="4" t="n">
        <f aca="false">AJ814+MAX(K814,AK$10:AK813)</f>
        <v>9171.77330438749</v>
      </c>
      <c r="AL814" s="5" t="n">
        <f aca="false">AK814-K814</f>
        <v>26.5843895429207</v>
      </c>
      <c r="AM814" s="0" t="n">
        <f aca="false">-G814*AL814/3600</f>
        <v>-0.0992455720373679</v>
      </c>
      <c r="AN814" s="0" t="n">
        <f aca="false">-H814*AL814/3600</f>
        <v>-0.126124667499508</v>
      </c>
      <c r="AO814" s="0" t="n">
        <f aca="false">AM814*E814+AN814*D814</f>
        <v>-0.0992455720373679</v>
      </c>
      <c r="AP814" s="0" t="n">
        <f aca="false">AL814*D814</f>
        <v>0</v>
      </c>
      <c r="AR814" s="0" t="n">
        <f aca="false">AN814*D814</f>
        <v>-0</v>
      </c>
      <c r="AS814" s="0" t="n">
        <f aca="false">AH814-AR814</f>
        <v>0</v>
      </c>
    </row>
    <row r="815" customFormat="false" ht="12" hidden="false" customHeight="false" outlineLevel="0" collapsed="false">
      <c r="A815" s="3" t="n">
        <f aca="false">A814+1</f>
        <v>806</v>
      </c>
      <c r="B815" s="3" t="n">
        <f aca="false">IF(A815&lt;$N$4/3,0.1,(IF(A815&gt;2*$N$4/3,0.05,0.12)))</f>
        <v>0.05</v>
      </c>
      <c r="C815" s="4" t="n">
        <f aca="true">RAND()</f>
        <v>0.278429486283489</v>
      </c>
      <c r="D815" s="0" t="n">
        <f aca="false">IF((C815&gt;$M$2),1,0)</f>
        <v>0</v>
      </c>
      <c r="E815" s="0" t="n">
        <f aca="false">1-D815</f>
        <v>1</v>
      </c>
      <c r="F815" s="0" t="n">
        <f aca="true">RAND()</f>
        <v>0.817202683290537</v>
      </c>
      <c r="G815" s="0" t="n">
        <f aca="false">7.75+F815*10</f>
        <v>15.9220268329054</v>
      </c>
      <c r="H815" s="0" t="n">
        <f aca="false">LOGINV(F815,2.64,1.139)</f>
        <v>39.272210428649</v>
      </c>
      <c r="I815" s="0" t="n">
        <v>19.5</v>
      </c>
      <c r="J815" s="4" t="n">
        <f aca="true">-LN(RAND())/B815</f>
        <v>13.3067988373899</v>
      </c>
      <c r="K815" s="4" t="n">
        <f aca="false">K814+J815</f>
        <v>9158.49571368196</v>
      </c>
      <c r="L815" s="4" t="n">
        <f aca="false">(1/$J$4)*(1+AB814)</f>
        <v>10</v>
      </c>
      <c r="M815" s="4" t="n">
        <f aca="false">L815+MAX(K815,Y$10:Y814)</f>
        <v>9181.77330438749</v>
      </c>
      <c r="N815" s="4" t="n">
        <f aca="false">K815</f>
        <v>9158.49571368196</v>
      </c>
      <c r="O815" s="4" t="n">
        <f aca="false">M815-K815</f>
        <v>23.2775907055311</v>
      </c>
      <c r="P815" s="4" t="n">
        <f aca="false">N815-K815</f>
        <v>0</v>
      </c>
      <c r="Q815" s="4" t="n">
        <f aca="false">A815-MATCH(K815,$M$9:M814,1)</f>
        <v>2</v>
      </c>
      <c r="R815" s="0" t="n">
        <f aca="false">-G815*(O815/3600)</f>
        <v>-0.102951784394126</v>
      </c>
      <c r="S815" s="0" t="n">
        <f aca="false">-1*I815-(H815*(P815/3600))</f>
        <v>-19.5</v>
      </c>
      <c r="T815" s="0" t="n">
        <f aca="false">-H815*(O815/3600)</f>
        <v>-0.253934011238773</v>
      </c>
      <c r="U815" s="0" t="n">
        <f aca="false">T815-S815</f>
        <v>19.2460659887612</v>
      </c>
      <c r="V815" s="0" t="n">
        <f aca="false">1/(1+EXP(U815))</f>
        <v>4.38066195305853E-009</v>
      </c>
      <c r="W815" s="0" t="n">
        <f aca="true">RAND()</f>
        <v>0.386259942503586</v>
      </c>
      <c r="X815" s="0" t="n">
        <f aca="false">IF(W815&lt;V815,1,0)</f>
        <v>0</v>
      </c>
      <c r="Y815" s="0" t="n">
        <f aca="false">(M815*(1-X815)+N815*X815)*D815+M815*E815</f>
        <v>9181.77330438749</v>
      </c>
      <c r="Z815" s="0" t="n">
        <f aca="false">((1-X815)*O815+X815*P815)*D815+E815*O815</f>
        <v>23.2775907055311</v>
      </c>
      <c r="AA815" s="0" t="n">
        <f aca="false">IF(D815*X815&gt;0,AA814,Q815)</f>
        <v>2</v>
      </c>
      <c r="AB815" s="0" t="n">
        <f aca="false">(X815*D815)</f>
        <v>0</v>
      </c>
      <c r="AC815" s="0" t="n">
        <f aca="false">SUM(AB$10:AB814)/K815</f>
        <v>0.000109188236940057</v>
      </c>
      <c r="AD815" s="0" t="n">
        <f aca="false">R815*E815+D815*(X815*S815+(1-X815)*T815)</f>
        <v>-0.102951784394126</v>
      </c>
      <c r="AE815" s="0" t="n">
        <f aca="false">Z815</f>
        <v>23.2775907055311</v>
      </c>
      <c r="AF815" s="0" t="n">
        <f aca="false">E815*O815</f>
        <v>23.2775907055311</v>
      </c>
      <c r="AG815" s="0" t="n">
        <f aca="false">((1-X815)*O815+X815*P815)*D815</f>
        <v>0</v>
      </c>
      <c r="AH815" s="0" t="n">
        <f aca="false">D815*(LN(EXP(S815)+EXP(T815)))</f>
        <v>-0</v>
      </c>
      <c r="AJ815" s="0" t="n">
        <f aca="false">$J$5</f>
        <v>10</v>
      </c>
      <c r="AK815" s="4" t="n">
        <f aca="false">AJ815+MAX(K815,AK$10:AK814)</f>
        <v>9181.77330438749</v>
      </c>
      <c r="AL815" s="5" t="n">
        <f aca="false">AK815-K815</f>
        <v>23.2775907055311</v>
      </c>
      <c r="AM815" s="0" t="n">
        <f aca="false">-G815*AL815/3600</f>
        <v>-0.102951784394126</v>
      </c>
      <c r="AN815" s="0" t="n">
        <f aca="false">-H815*AL815/3600</f>
        <v>-0.253934011238773</v>
      </c>
      <c r="AO815" s="0" t="n">
        <f aca="false">AM815*E815+AN815*D815</f>
        <v>-0.102951784394126</v>
      </c>
      <c r="AP815" s="0" t="n">
        <f aca="false">AL815*D815</f>
        <v>0</v>
      </c>
      <c r="AR815" s="0" t="n">
        <f aca="false">AN815*D815</f>
        <v>-0</v>
      </c>
      <c r="AS815" s="0" t="n">
        <f aca="false">AH815-AR815</f>
        <v>0</v>
      </c>
    </row>
    <row r="816" customFormat="false" ht="12" hidden="false" customHeight="false" outlineLevel="0" collapsed="false">
      <c r="A816" s="3" t="n">
        <f aca="false">A815+1</f>
        <v>807</v>
      </c>
      <c r="B816" s="3" t="n">
        <f aca="false">IF(A816&lt;$N$4/3,0.1,(IF(A816&gt;2*$N$4/3,0.05,0.12)))</f>
        <v>0.05</v>
      </c>
      <c r="C816" s="4" t="n">
        <f aca="true">RAND()</f>
        <v>0.882834068909817</v>
      </c>
      <c r="D816" s="0" t="n">
        <f aca="false">IF((C816&gt;$M$2),1,0)</f>
        <v>0</v>
      </c>
      <c r="E816" s="0" t="n">
        <f aca="false">1-D816</f>
        <v>1</v>
      </c>
      <c r="F816" s="0" t="n">
        <f aca="true">RAND()</f>
        <v>0.526372093206933</v>
      </c>
      <c r="G816" s="0" t="n">
        <f aca="false">7.75+F816*10</f>
        <v>13.0137209320693</v>
      </c>
      <c r="H816" s="0" t="n">
        <f aca="false">LOGINV(F816,2.64,1.139)</f>
        <v>15.109875786277</v>
      </c>
      <c r="I816" s="0" t="n">
        <v>19.5</v>
      </c>
      <c r="J816" s="4" t="n">
        <f aca="true">-LN(RAND())/B816</f>
        <v>20.5434400836988</v>
      </c>
      <c r="K816" s="4" t="n">
        <f aca="false">K815+J816</f>
        <v>9179.03915376565</v>
      </c>
      <c r="L816" s="4" t="n">
        <f aca="false">(1/$J$4)*(1+AB815)</f>
        <v>10</v>
      </c>
      <c r="M816" s="4" t="n">
        <f aca="false">L816+MAX(K816,Y$10:Y815)</f>
        <v>9191.77330438749</v>
      </c>
      <c r="N816" s="4" t="n">
        <f aca="false">K816</f>
        <v>9179.03915376565</v>
      </c>
      <c r="O816" s="4" t="n">
        <f aca="false">M816-K816</f>
        <v>12.7341506218327</v>
      </c>
      <c r="P816" s="4" t="n">
        <f aca="false">N816-K816</f>
        <v>0</v>
      </c>
      <c r="Q816" s="4" t="n">
        <f aca="false">A816-MATCH(K816,$M$9:M815,1)</f>
        <v>1</v>
      </c>
      <c r="R816" s="0" t="n">
        <f aca="false">-G816*(O816/3600)</f>
        <v>-0.0460329673609632</v>
      </c>
      <c r="S816" s="0" t="n">
        <f aca="false">-1*I816-(H816*(P816/3600))</f>
        <v>-19.5</v>
      </c>
      <c r="T816" s="0" t="n">
        <f aca="false">-H816*(O816/3600)</f>
        <v>-0.0534476205943426</v>
      </c>
      <c r="U816" s="0" t="n">
        <f aca="false">T816-S816</f>
        <v>19.4465523794057</v>
      </c>
      <c r="V816" s="0" t="n">
        <f aca="false">1/(1+EXP(U816))</f>
        <v>3.58483860659003E-009</v>
      </c>
      <c r="W816" s="0" t="n">
        <f aca="true">RAND()</f>
        <v>0.261333307890697</v>
      </c>
      <c r="X816" s="0" t="n">
        <f aca="false">IF(W816&lt;V816,1,0)</f>
        <v>0</v>
      </c>
      <c r="Y816" s="0" t="n">
        <f aca="false">(M816*(1-X816)+N816*X816)*D816+M816*E816</f>
        <v>9191.77330438749</v>
      </c>
      <c r="Z816" s="0" t="n">
        <f aca="false">((1-X816)*O816+X816*P816)*D816+E816*O816</f>
        <v>12.7341506218327</v>
      </c>
      <c r="AA816" s="0" t="n">
        <f aca="false">IF(D816*X816&gt;0,AA815,Q816)</f>
        <v>1</v>
      </c>
      <c r="AB816" s="0" t="n">
        <f aca="false">(X816*D816)</f>
        <v>0</v>
      </c>
      <c r="AC816" s="0" t="n">
        <f aca="false">SUM(AB$10:AB815)/K816</f>
        <v>0.000108943864738801</v>
      </c>
      <c r="AD816" s="0" t="n">
        <f aca="false">R816*E816+D816*(X816*S816+(1-X816)*T816)</f>
        <v>-0.0460329673609632</v>
      </c>
      <c r="AE816" s="0" t="n">
        <f aca="false">Z816</f>
        <v>12.7341506218327</v>
      </c>
      <c r="AF816" s="0" t="n">
        <f aca="false">E816*O816</f>
        <v>12.7341506218327</v>
      </c>
      <c r="AG816" s="0" t="n">
        <f aca="false">((1-X816)*O816+X816*P816)*D816</f>
        <v>0</v>
      </c>
      <c r="AH816" s="0" t="n">
        <f aca="false">D816*(LN(EXP(S816)+EXP(T816)))</f>
        <v>-0</v>
      </c>
      <c r="AJ816" s="0" t="n">
        <f aca="false">$J$5</f>
        <v>10</v>
      </c>
      <c r="AK816" s="4" t="n">
        <f aca="false">AJ816+MAX(K816,AK$10:AK815)</f>
        <v>9191.77330438749</v>
      </c>
      <c r="AL816" s="5" t="n">
        <f aca="false">AK816-K816</f>
        <v>12.7341506218327</v>
      </c>
      <c r="AM816" s="0" t="n">
        <f aca="false">-G816*AL816/3600</f>
        <v>-0.0460329673609632</v>
      </c>
      <c r="AN816" s="0" t="n">
        <f aca="false">-H816*AL816/3600</f>
        <v>-0.0534476205943426</v>
      </c>
      <c r="AO816" s="0" t="n">
        <f aca="false">AM816*E816+AN816*D816</f>
        <v>-0.0460329673609632</v>
      </c>
      <c r="AP816" s="0" t="n">
        <f aca="false">AL816*D816</f>
        <v>0</v>
      </c>
      <c r="AR816" s="0" t="n">
        <f aca="false">AN816*D816</f>
        <v>-0</v>
      </c>
      <c r="AS816" s="0" t="n">
        <f aca="false">AH816-AR816</f>
        <v>0</v>
      </c>
    </row>
    <row r="817" customFormat="false" ht="12" hidden="false" customHeight="false" outlineLevel="0" collapsed="false">
      <c r="A817" s="3" t="n">
        <f aca="false">A816+1</f>
        <v>808</v>
      </c>
      <c r="B817" s="3" t="n">
        <f aca="false">IF(A817&lt;$N$4/3,0.1,(IF(A817&gt;2*$N$4/3,0.05,0.12)))</f>
        <v>0.05</v>
      </c>
      <c r="C817" s="4" t="n">
        <f aca="true">RAND()</f>
        <v>0.439818051380063</v>
      </c>
      <c r="D817" s="0" t="n">
        <f aca="false">IF((C817&gt;$M$2),1,0)</f>
        <v>0</v>
      </c>
      <c r="E817" s="0" t="n">
        <f aca="false">1-D817</f>
        <v>1</v>
      </c>
      <c r="F817" s="0" t="n">
        <f aca="true">RAND()</f>
        <v>0.261447137864255</v>
      </c>
      <c r="G817" s="0" t="n">
        <f aca="false">7.75+F817*10</f>
        <v>10.3644713786426</v>
      </c>
      <c r="H817" s="0" t="n">
        <f aca="false">LOGINV(F817,2.64,1.139)</f>
        <v>6.76866523114669</v>
      </c>
      <c r="I817" s="0" t="n">
        <v>19.5</v>
      </c>
      <c r="J817" s="4" t="n">
        <f aca="true">-LN(RAND())/B817</f>
        <v>147.163692856539</v>
      </c>
      <c r="K817" s="4" t="n">
        <f aca="false">K816+J817</f>
        <v>9326.20284662219</v>
      </c>
      <c r="L817" s="4" t="n">
        <f aca="false">(1/$J$4)*(1+AB816)</f>
        <v>10</v>
      </c>
      <c r="M817" s="4" t="n">
        <f aca="false">L817+MAX(K817,Y$10:Y816)</f>
        <v>9336.20284662219</v>
      </c>
      <c r="N817" s="4" t="n">
        <f aca="false">K817</f>
        <v>9326.20284662219</v>
      </c>
      <c r="O817" s="4" t="n">
        <f aca="false">M817-K817</f>
        <v>10</v>
      </c>
      <c r="P817" s="4" t="n">
        <f aca="false">N817-K817</f>
        <v>0</v>
      </c>
      <c r="Q817" s="4" t="n">
        <f aca="false">A817-MATCH(K817,$M$9:M816,1)</f>
        <v>0</v>
      </c>
      <c r="R817" s="0" t="n">
        <f aca="false">-G817*(O817/3600)</f>
        <v>-0.0287901982740071</v>
      </c>
      <c r="S817" s="0" t="n">
        <f aca="false">-1*I817-(H817*(P817/3600))</f>
        <v>-19.5</v>
      </c>
      <c r="T817" s="0" t="n">
        <f aca="false">-H817*(O817/3600)</f>
        <v>-0.0188018478642964</v>
      </c>
      <c r="U817" s="0" t="n">
        <f aca="false">T817-S817</f>
        <v>19.4811981521357</v>
      </c>
      <c r="V817" s="0" t="n">
        <f aca="false">1/(1+EXP(U817))</f>
        <v>3.46276596426611E-009</v>
      </c>
      <c r="W817" s="0" t="n">
        <f aca="true">RAND()</f>
        <v>0.888101696419933</v>
      </c>
      <c r="X817" s="0" t="n">
        <f aca="false">IF(W817&lt;V817,1,0)</f>
        <v>0</v>
      </c>
      <c r="Y817" s="0" t="n">
        <f aca="false">(M817*(1-X817)+N817*X817)*D817+M817*E817</f>
        <v>9336.20284662219</v>
      </c>
      <c r="Z817" s="0" t="n">
        <f aca="false">((1-X817)*O817+X817*P817)*D817+E817*O817</f>
        <v>10</v>
      </c>
      <c r="AA817" s="0" t="n">
        <f aca="false">IF(D817*X817&gt;0,AA816,Q817)</f>
        <v>0</v>
      </c>
      <c r="AB817" s="0" t="n">
        <f aca="false">(X817*D817)</f>
        <v>0</v>
      </c>
      <c r="AC817" s="0" t="n">
        <f aca="false">SUM(AB$10:AB816)/K817</f>
        <v>0.000107224774803412</v>
      </c>
      <c r="AD817" s="0" t="n">
        <f aca="false">R817*E817+D817*(X817*S817+(1-X817)*T817)</f>
        <v>-0.0287901982740071</v>
      </c>
      <c r="AE817" s="0" t="n">
        <f aca="false">Z817</f>
        <v>10</v>
      </c>
      <c r="AF817" s="0" t="n">
        <f aca="false">E817*O817</f>
        <v>10</v>
      </c>
      <c r="AG817" s="0" t="n">
        <f aca="false">((1-X817)*O817+X817*P817)*D817</f>
        <v>0</v>
      </c>
      <c r="AH817" s="0" t="n">
        <f aca="false">D817*(LN(EXP(S817)+EXP(T817)))</f>
        <v>-0</v>
      </c>
      <c r="AJ817" s="0" t="n">
        <f aca="false">$J$5</f>
        <v>10</v>
      </c>
      <c r="AK817" s="4" t="n">
        <f aca="false">AJ817+MAX(K817,AK$10:AK816)</f>
        <v>9336.20284662219</v>
      </c>
      <c r="AL817" s="5" t="n">
        <f aca="false">AK817-K817</f>
        <v>10</v>
      </c>
      <c r="AM817" s="0" t="n">
        <f aca="false">-G817*AL817/3600</f>
        <v>-0.0287901982740071</v>
      </c>
      <c r="AN817" s="0" t="n">
        <f aca="false">-H817*AL817/3600</f>
        <v>-0.0188018478642964</v>
      </c>
      <c r="AO817" s="0" t="n">
        <f aca="false">AM817*E817+AN817*D817</f>
        <v>-0.0287901982740071</v>
      </c>
      <c r="AP817" s="0" t="n">
        <f aca="false">AL817*D817</f>
        <v>0</v>
      </c>
      <c r="AR817" s="0" t="n">
        <f aca="false">AN817*D817</f>
        <v>-0</v>
      </c>
      <c r="AS817" s="0" t="n">
        <f aca="false">AH817-AR817</f>
        <v>0</v>
      </c>
    </row>
    <row r="818" customFormat="false" ht="12" hidden="false" customHeight="false" outlineLevel="0" collapsed="false">
      <c r="A818" s="3" t="n">
        <f aca="false">A817+1</f>
        <v>809</v>
      </c>
      <c r="B818" s="3" t="n">
        <f aca="false">IF(A818&lt;$N$4/3,0.1,(IF(A818&gt;2*$N$4/3,0.05,0.12)))</f>
        <v>0.05</v>
      </c>
      <c r="C818" s="4" t="n">
        <f aca="true">RAND()</f>
        <v>0.766423694796065</v>
      </c>
      <c r="D818" s="0" t="n">
        <f aca="false">IF((C818&gt;$M$2),1,0)</f>
        <v>0</v>
      </c>
      <c r="E818" s="0" t="n">
        <f aca="false">1-D818</f>
        <v>1</v>
      </c>
      <c r="F818" s="0" t="n">
        <f aca="true">RAND()</f>
        <v>0.210154357500789</v>
      </c>
      <c r="G818" s="0" t="n">
        <f aca="false">7.75+F818*10</f>
        <v>9.85154357500789</v>
      </c>
      <c r="H818" s="0" t="n">
        <f aca="false">LOGINV(F818,2.64,1.139)</f>
        <v>5.59624649409065</v>
      </c>
      <c r="I818" s="0" t="n">
        <v>19.5</v>
      </c>
      <c r="J818" s="4" t="n">
        <f aca="true">-LN(RAND())/B818</f>
        <v>59.3460885201401</v>
      </c>
      <c r="K818" s="4" t="n">
        <f aca="false">K817+J818</f>
        <v>9385.54893514233</v>
      </c>
      <c r="L818" s="4" t="n">
        <f aca="false">(1/$J$4)*(1+AB817)</f>
        <v>10</v>
      </c>
      <c r="M818" s="4" t="n">
        <f aca="false">L818+MAX(K818,Y$10:Y817)</f>
        <v>9395.54893514233</v>
      </c>
      <c r="N818" s="4" t="n">
        <f aca="false">K818</f>
        <v>9385.54893514233</v>
      </c>
      <c r="O818" s="4" t="n">
        <f aca="false">M818-K818</f>
        <v>10</v>
      </c>
      <c r="P818" s="4" t="n">
        <f aca="false">N818-K818</f>
        <v>0</v>
      </c>
      <c r="Q818" s="4" t="n">
        <f aca="false">A818-MATCH(K818,$M$9:M817,1)</f>
        <v>0</v>
      </c>
      <c r="R818" s="0" t="n">
        <f aca="false">-G818*(O818/3600)</f>
        <v>-0.0273653988194664</v>
      </c>
      <c r="S818" s="0" t="n">
        <f aca="false">-1*I818-(H818*(P818/3600))</f>
        <v>-19.5</v>
      </c>
      <c r="T818" s="0" t="n">
        <f aca="false">-H818*(O818/3600)</f>
        <v>-0.0155451291502518</v>
      </c>
      <c r="U818" s="0" t="n">
        <f aca="false">T818-S818</f>
        <v>19.4844548708498</v>
      </c>
      <c r="V818" s="0" t="n">
        <f aca="false">1/(1+EXP(U818))</f>
        <v>3.45150705309141E-009</v>
      </c>
      <c r="W818" s="0" t="n">
        <f aca="true">RAND()</f>
        <v>0.115478744682224</v>
      </c>
      <c r="X818" s="0" t="n">
        <f aca="false">IF(W818&lt;V818,1,0)</f>
        <v>0</v>
      </c>
      <c r="Y818" s="0" t="n">
        <f aca="false">(M818*(1-X818)+N818*X818)*D818+M818*E818</f>
        <v>9395.54893514233</v>
      </c>
      <c r="Z818" s="0" t="n">
        <f aca="false">((1-X818)*O818+X818*P818)*D818+E818*O818</f>
        <v>10</v>
      </c>
      <c r="AA818" s="0" t="n">
        <f aca="false">IF(D818*X818&gt;0,AA817,Q818)</f>
        <v>0</v>
      </c>
      <c r="AB818" s="0" t="n">
        <f aca="false">(X818*D818)</f>
        <v>0</v>
      </c>
      <c r="AC818" s="0" t="n">
        <f aca="false">SUM(AB$10:AB817)/K818</f>
        <v>0.000106546778127777</v>
      </c>
      <c r="AD818" s="0" t="n">
        <f aca="false">R818*E818+D818*(X818*S818+(1-X818)*T818)</f>
        <v>-0.0273653988194664</v>
      </c>
      <c r="AE818" s="0" t="n">
        <f aca="false">Z818</f>
        <v>10</v>
      </c>
      <c r="AF818" s="0" t="n">
        <f aca="false">E818*O818</f>
        <v>10</v>
      </c>
      <c r="AG818" s="0" t="n">
        <f aca="false">((1-X818)*O818+X818*P818)*D818</f>
        <v>0</v>
      </c>
      <c r="AH818" s="0" t="n">
        <f aca="false">D818*(LN(EXP(S818)+EXP(T818)))</f>
        <v>-0</v>
      </c>
      <c r="AJ818" s="0" t="n">
        <f aca="false">$J$5</f>
        <v>10</v>
      </c>
      <c r="AK818" s="4" t="n">
        <f aca="false">AJ818+MAX(K818,AK$10:AK817)</f>
        <v>9395.54893514233</v>
      </c>
      <c r="AL818" s="5" t="n">
        <f aca="false">AK818-K818</f>
        <v>10</v>
      </c>
      <c r="AM818" s="0" t="n">
        <f aca="false">-G818*AL818/3600</f>
        <v>-0.0273653988194664</v>
      </c>
      <c r="AN818" s="0" t="n">
        <f aca="false">-H818*AL818/3600</f>
        <v>-0.0155451291502518</v>
      </c>
      <c r="AO818" s="0" t="n">
        <f aca="false">AM818*E818+AN818*D818</f>
        <v>-0.0273653988194664</v>
      </c>
      <c r="AP818" s="0" t="n">
        <f aca="false">AL818*D818</f>
        <v>0</v>
      </c>
      <c r="AR818" s="0" t="n">
        <f aca="false">AN818*D818</f>
        <v>-0</v>
      </c>
      <c r="AS818" s="0" t="n">
        <f aca="false">AH818-AR818</f>
        <v>0</v>
      </c>
    </row>
    <row r="819" customFormat="false" ht="12" hidden="false" customHeight="false" outlineLevel="0" collapsed="false">
      <c r="A819" s="3" t="n">
        <f aca="false">A818+1</f>
        <v>810</v>
      </c>
      <c r="B819" s="3" t="n">
        <f aca="false">IF(A819&lt;$N$4/3,0.1,(IF(A819&gt;2*$N$4/3,0.05,0.12)))</f>
        <v>0.05</v>
      </c>
      <c r="C819" s="4" t="n">
        <f aca="true">RAND()</f>
        <v>0.27919775486678</v>
      </c>
      <c r="D819" s="0" t="n">
        <f aca="false">IF((C819&gt;$M$2),1,0)</f>
        <v>0</v>
      </c>
      <c r="E819" s="0" t="n">
        <f aca="false">1-D819</f>
        <v>1</v>
      </c>
      <c r="F819" s="0" t="n">
        <f aca="true">RAND()</f>
        <v>0.70067570186272</v>
      </c>
      <c r="G819" s="0" t="n">
        <f aca="false">7.75+F819*10</f>
        <v>14.7567570186272</v>
      </c>
      <c r="H819" s="0" t="n">
        <f aca="false">LOGINV(F819,2.64,1.139)</f>
        <v>25.5211324799835</v>
      </c>
      <c r="I819" s="0" t="n">
        <v>19.5</v>
      </c>
      <c r="J819" s="4" t="n">
        <f aca="true">-LN(RAND())/B819</f>
        <v>18.7783306911312</v>
      </c>
      <c r="K819" s="4" t="n">
        <f aca="false">K818+J819</f>
        <v>9404.32726583346</v>
      </c>
      <c r="L819" s="4" t="n">
        <f aca="false">(1/$J$4)*(1+AB818)</f>
        <v>10</v>
      </c>
      <c r="M819" s="4" t="n">
        <f aca="false">L819+MAX(K819,Y$10:Y818)</f>
        <v>9414.32726583346</v>
      </c>
      <c r="N819" s="4" t="n">
        <f aca="false">K819</f>
        <v>9404.32726583346</v>
      </c>
      <c r="O819" s="4" t="n">
        <f aca="false">M819-K819</f>
        <v>10</v>
      </c>
      <c r="P819" s="4" t="n">
        <f aca="false">N819-K819</f>
        <v>0</v>
      </c>
      <c r="Q819" s="4" t="n">
        <f aca="false">A819-MATCH(K819,$M$9:M818,1)</f>
        <v>0</v>
      </c>
      <c r="R819" s="0" t="n">
        <f aca="false">-G819*(O819/3600)</f>
        <v>-0.0409909917184089</v>
      </c>
      <c r="S819" s="0" t="n">
        <f aca="false">-1*I819-(H819*(P819/3600))</f>
        <v>-19.5</v>
      </c>
      <c r="T819" s="0" t="n">
        <f aca="false">-H819*(O819/3600)</f>
        <v>-0.0708920346666207</v>
      </c>
      <c r="U819" s="0" t="n">
        <f aca="false">T819-S819</f>
        <v>19.4291079653334</v>
      </c>
      <c r="V819" s="0" t="n">
        <f aca="false">1/(1+EXP(U819))</f>
        <v>3.64792264772713E-009</v>
      </c>
      <c r="W819" s="0" t="n">
        <f aca="true">RAND()</f>
        <v>0.411770323360052</v>
      </c>
      <c r="X819" s="0" t="n">
        <f aca="false">IF(W819&lt;V819,1,0)</f>
        <v>0</v>
      </c>
      <c r="Y819" s="0" t="n">
        <f aca="false">(M819*(1-X819)+N819*X819)*D819+M819*E819</f>
        <v>9414.32726583346</v>
      </c>
      <c r="Z819" s="0" t="n">
        <f aca="false">((1-X819)*O819+X819*P819)*D819+E819*O819</f>
        <v>10</v>
      </c>
      <c r="AA819" s="0" t="n">
        <f aca="false">IF(D819*X819&gt;0,AA818,Q819)</f>
        <v>0</v>
      </c>
      <c r="AB819" s="0" t="n">
        <f aca="false">(X819*D819)</f>
        <v>0</v>
      </c>
      <c r="AC819" s="0" t="n">
        <f aca="false">SUM(AB$10:AB818)/K819</f>
        <v>0.000106334028126931</v>
      </c>
      <c r="AD819" s="0" t="n">
        <f aca="false">R819*E819+D819*(X819*S819+(1-X819)*T819)</f>
        <v>-0.0409909917184089</v>
      </c>
      <c r="AE819" s="0" t="n">
        <f aca="false">Z819</f>
        <v>10</v>
      </c>
      <c r="AF819" s="0" t="n">
        <f aca="false">E819*O819</f>
        <v>10</v>
      </c>
      <c r="AG819" s="0" t="n">
        <f aca="false">((1-X819)*O819+X819*P819)*D819</f>
        <v>0</v>
      </c>
      <c r="AH819" s="0" t="n">
        <f aca="false">D819*(LN(EXP(S819)+EXP(T819)))</f>
        <v>-0</v>
      </c>
      <c r="AJ819" s="0" t="n">
        <f aca="false">$J$5</f>
        <v>10</v>
      </c>
      <c r="AK819" s="4" t="n">
        <f aca="false">AJ819+MAX(K819,AK$10:AK818)</f>
        <v>9414.32726583346</v>
      </c>
      <c r="AL819" s="5" t="n">
        <f aca="false">AK819-K819</f>
        <v>10</v>
      </c>
      <c r="AM819" s="0" t="n">
        <f aca="false">-G819*AL819/3600</f>
        <v>-0.0409909917184089</v>
      </c>
      <c r="AN819" s="0" t="n">
        <f aca="false">-H819*AL819/3600</f>
        <v>-0.0708920346666207</v>
      </c>
      <c r="AO819" s="0" t="n">
        <f aca="false">AM819*E819+AN819*D819</f>
        <v>-0.0409909917184089</v>
      </c>
      <c r="AP819" s="0" t="n">
        <f aca="false">AL819*D819</f>
        <v>0</v>
      </c>
      <c r="AR819" s="0" t="n">
        <f aca="false">AN819*D819</f>
        <v>-0</v>
      </c>
      <c r="AS819" s="0" t="n">
        <f aca="false">AH819-AR819</f>
        <v>0</v>
      </c>
    </row>
    <row r="820" customFormat="false" ht="12" hidden="false" customHeight="false" outlineLevel="0" collapsed="false">
      <c r="A820" s="3" t="n">
        <f aca="false">A819+1</f>
        <v>811</v>
      </c>
      <c r="B820" s="3" t="n">
        <f aca="false">IF(A820&lt;$N$4/3,0.1,(IF(A820&gt;2*$N$4/3,0.05,0.12)))</f>
        <v>0.05</v>
      </c>
      <c r="C820" s="4" t="n">
        <f aca="true">RAND()</f>
        <v>0.992592687630147</v>
      </c>
      <c r="D820" s="0" t="n">
        <f aca="false">IF((C820&gt;$M$2),1,0)</f>
        <v>1</v>
      </c>
      <c r="E820" s="0" t="n">
        <f aca="false">1-D820</f>
        <v>0</v>
      </c>
      <c r="F820" s="0" t="n">
        <f aca="true">RAND()</f>
        <v>0.925377399710082</v>
      </c>
      <c r="G820" s="0" t="n">
        <f aca="false">7.75+F820*10</f>
        <v>17.0037739971008</v>
      </c>
      <c r="H820" s="0" t="n">
        <f aca="false">LOGINV(F820,2.64,1.139)</f>
        <v>72.4334978209122</v>
      </c>
      <c r="I820" s="0" t="n">
        <v>19.5</v>
      </c>
      <c r="J820" s="4" t="n">
        <f aca="true">-LN(RAND())/B820</f>
        <v>18.323870321336</v>
      </c>
      <c r="K820" s="4" t="n">
        <f aca="false">K819+J820</f>
        <v>9422.6511361548</v>
      </c>
      <c r="L820" s="4" t="n">
        <f aca="false">(1/$J$4)*(1+AB819)</f>
        <v>10</v>
      </c>
      <c r="M820" s="4" t="n">
        <f aca="false">L820+MAX(K820,Y$10:Y819)</f>
        <v>9432.6511361548</v>
      </c>
      <c r="N820" s="4" t="n">
        <f aca="false">K820</f>
        <v>9422.6511361548</v>
      </c>
      <c r="O820" s="4" t="n">
        <f aca="false">M820-K820</f>
        <v>10</v>
      </c>
      <c r="P820" s="4" t="n">
        <f aca="false">N820-K820</f>
        <v>0</v>
      </c>
      <c r="Q820" s="4" t="n">
        <f aca="false">A820-MATCH(K820,$M$9:M819,1)</f>
        <v>0</v>
      </c>
      <c r="R820" s="0" t="n">
        <f aca="false">-G820*(O820/3600)</f>
        <v>-0.0472327055475023</v>
      </c>
      <c r="S820" s="0" t="n">
        <f aca="false">-1*I820-(H820*(P820/3600))</f>
        <v>-19.5</v>
      </c>
      <c r="T820" s="0" t="n">
        <f aca="false">-H820*(O820/3600)</f>
        <v>-0.201204160613645</v>
      </c>
      <c r="U820" s="0" t="n">
        <f aca="false">T820-S820</f>
        <v>19.2987958393864</v>
      </c>
      <c r="V820" s="0" t="n">
        <f aca="false">1/(1+EXP(U820))</f>
        <v>4.1556547345583E-009</v>
      </c>
      <c r="W820" s="0" t="n">
        <f aca="true">RAND()</f>
        <v>0.724218117279866</v>
      </c>
      <c r="X820" s="0" t="n">
        <f aca="false">IF(W820&lt;V820,1,0)</f>
        <v>0</v>
      </c>
      <c r="Y820" s="0" t="n">
        <f aca="false">(M820*(1-X820)+N820*X820)*D820+M820*E820</f>
        <v>9432.6511361548</v>
      </c>
      <c r="Z820" s="0" t="n">
        <f aca="false">((1-X820)*O820+X820*P820)*D820+E820*O820</f>
        <v>10</v>
      </c>
      <c r="AA820" s="0" t="n">
        <f aca="false">IF(D820*X820&gt;0,AA819,Q820)</f>
        <v>0</v>
      </c>
      <c r="AB820" s="0" t="n">
        <f aca="false">(X820*D820)</f>
        <v>0</v>
      </c>
      <c r="AC820" s="0" t="n">
        <f aca="false">SUM(AB$10:AB819)/K820</f>
        <v>0.000106127244397597</v>
      </c>
      <c r="AD820" s="0" t="n">
        <f aca="false">R820*E820+D820*(X820*S820+(1-X820)*T820)</f>
        <v>-0.201204160613645</v>
      </c>
      <c r="AE820" s="0" t="n">
        <f aca="false">Z820</f>
        <v>10</v>
      </c>
      <c r="AF820" s="0" t="n">
        <f aca="false">E820*O820</f>
        <v>0</v>
      </c>
      <c r="AG820" s="0" t="n">
        <f aca="false">((1-X820)*O820+X820*P820)*D820</f>
        <v>10</v>
      </c>
      <c r="AH820" s="0" t="n">
        <f aca="false">D820*(LN(EXP(S820)+EXP(T820)))</f>
        <v>-0.20120415645799</v>
      </c>
      <c r="AJ820" s="0" t="n">
        <f aca="false">$J$5</f>
        <v>10</v>
      </c>
      <c r="AK820" s="4" t="n">
        <f aca="false">AJ820+MAX(K820,AK$10:AK819)</f>
        <v>9432.6511361548</v>
      </c>
      <c r="AL820" s="5" t="n">
        <f aca="false">AK820-K820</f>
        <v>10</v>
      </c>
      <c r="AM820" s="0" t="n">
        <f aca="false">-G820*AL820/3600</f>
        <v>-0.0472327055475023</v>
      </c>
      <c r="AN820" s="0" t="n">
        <f aca="false">-H820*AL820/3600</f>
        <v>-0.201204160613645</v>
      </c>
      <c r="AO820" s="0" t="n">
        <f aca="false">AM820*E820+AN820*D820</f>
        <v>-0.201204160613645</v>
      </c>
      <c r="AP820" s="0" t="n">
        <f aca="false">AL820*D820</f>
        <v>10</v>
      </c>
      <c r="AR820" s="0" t="n">
        <f aca="false">AN820*D820</f>
        <v>-0.201204160613645</v>
      </c>
      <c r="AS820" s="0" t="n">
        <f aca="false">AH820-AR820</f>
        <v>4.15565468148138E-009</v>
      </c>
    </row>
    <row r="821" customFormat="false" ht="12" hidden="false" customHeight="false" outlineLevel="0" collapsed="false">
      <c r="A821" s="3" t="n">
        <f aca="false">A820+1</f>
        <v>812</v>
      </c>
      <c r="B821" s="3" t="n">
        <f aca="false">IF(A821&lt;$N$4/3,0.1,(IF(A821&gt;2*$N$4/3,0.05,0.12)))</f>
        <v>0.05</v>
      </c>
      <c r="C821" s="4" t="n">
        <f aca="true">RAND()</f>
        <v>0.357671258318228</v>
      </c>
      <c r="D821" s="0" t="n">
        <f aca="false">IF((C821&gt;$M$2),1,0)</f>
        <v>0</v>
      </c>
      <c r="E821" s="0" t="n">
        <f aca="false">1-D821</f>
        <v>1</v>
      </c>
      <c r="F821" s="0" t="n">
        <f aca="true">RAND()</f>
        <v>0.133313138658242</v>
      </c>
      <c r="G821" s="0" t="n">
        <f aca="false">7.75+F821*10</f>
        <v>9.08313138658242</v>
      </c>
      <c r="H821" s="0" t="n">
        <f aca="false">LOGINV(F821,2.64,1.139)</f>
        <v>3.95398635679182</v>
      </c>
      <c r="I821" s="0" t="n">
        <v>19.5</v>
      </c>
      <c r="J821" s="4" t="n">
        <f aca="true">-LN(RAND())/B821</f>
        <v>0.443928342681812</v>
      </c>
      <c r="K821" s="4" t="n">
        <f aca="false">K820+J821</f>
        <v>9423.09506449748</v>
      </c>
      <c r="L821" s="4" t="n">
        <f aca="false">(1/$J$4)*(1+AB820)</f>
        <v>10</v>
      </c>
      <c r="M821" s="4" t="n">
        <f aca="false">L821+MAX(K821,Y$10:Y820)</f>
        <v>9442.6511361548</v>
      </c>
      <c r="N821" s="4" t="n">
        <f aca="false">K821</f>
        <v>9423.09506449748</v>
      </c>
      <c r="O821" s="4" t="n">
        <f aca="false">M821-K821</f>
        <v>19.5560716573182</v>
      </c>
      <c r="P821" s="4" t="n">
        <f aca="false">N821-K821</f>
        <v>0</v>
      </c>
      <c r="Q821" s="4" t="n">
        <f aca="false">A821-MATCH(K821,$M$9:M820,1)</f>
        <v>1</v>
      </c>
      <c r="R821" s="0" t="n">
        <f aca="false">-G821*(O821/3600)</f>
        <v>-0.0493417689635671</v>
      </c>
      <c r="S821" s="0" t="n">
        <f aca="false">-1*I821-(H821*(P821/3600))</f>
        <v>-19.5</v>
      </c>
      <c r="T821" s="0" t="n">
        <f aca="false">-H821*(O821/3600)</f>
        <v>-0.0214790112570776</v>
      </c>
      <c r="U821" s="0" t="n">
        <f aca="false">T821-S821</f>
        <v>19.4785209887429</v>
      </c>
      <c r="V821" s="0" t="n">
        <f aca="false">1/(1+EXP(U821))</f>
        <v>3.47204877476714E-009</v>
      </c>
      <c r="W821" s="0" t="n">
        <f aca="true">RAND()</f>
        <v>0.439438824383977</v>
      </c>
      <c r="X821" s="0" t="n">
        <f aca="false">IF(W821&lt;V821,1,0)</f>
        <v>0</v>
      </c>
      <c r="Y821" s="0" t="n">
        <f aca="false">(M821*(1-X821)+N821*X821)*D821+M821*E821</f>
        <v>9442.6511361548</v>
      </c>
      <c r="Z821" s="0" t="n">
        <f aca="false">((1-X821)*O821+X821*P821)*D821+E821*O821</f>
        <v>19.5560716573182</v>
      </c>
      <c r="AA821" s="0" t="n">
        <f aca="false">IF(D821*X821&gt;0,AA820,Q821)</f>
        <v>1</v>
      </c>
      <c r="AB821" s="0" t="n">
        <f aca="false">(X821*D821)</f>
        <v>0</v>
      </c>
      <c r="AC821" s="0" t="n">
        <f aca="false">SUM(AB$10:AB820)/K821</f>
        <v>0.000106122244671775</v>
      </c>
      <c r="AD821" s="0" t="n">
        <f aca="false">R821*E821+D821*(X821*S821+(1-X821)*T821)</f>
        <v>-0.0493417689635671</v>
      </c>
      <c r="AE821" s="0" t="n">
        <f aca="false">Z821</f>
        <v>19.5560716573182</v>
      </c>
      <c r="AF821" s="0" t="n">
        <f aca="false">E821*O821</f>
        <v>19.5560716573182</v>
      </c>
      <c r="AG821" s="0" t="n">
        <f aca="false">((1-X821)*O821+X821*P821)*D821</f>
        <v>0</v>
      </c>
      <c r="AH821" s="0" t="n">
        <f aca="false">D821*(LN(EXP(S821)+EXP(T821)))</f>
        <v>-0</v>
      </c>
      <c r="AJ821" s="0" t="n">
        <f aca="false">$J$5</f>
        <v>10</v>
      </c>
      <c r="AK821" s="4" t="n">
        <f aca="false">AJ821+MAX(K821,AK$10:AK820)</f>
        <v>9442.6511361548</v>
      </c>
      <c r="AL821" s="5" t="n">
        <f aca="false">AK821-K821</f>
        <v>19.5560716573182</v>
      </c>
      <c r="AM821" s="0" t="n">
        <f aca="false">-G821*AL821/3600</f>
        <v>-0.0493417689635671</v>
      </c>
      <c r="AN821" s="0" t="n">
        <f aca="false">-H821*AL821/3600</f>
        <v>-0.0214790112570776</v>
      </c>
      <c r="AO821" s="0" t="n">
        <f aca="false">AM821*E821+AN821*D821</f>
        <v>-0.0493417689635671</v>
      </c>
      <c r="AP821" s="0" t="n">
        <f aca="false">AL821*D821</f>
        <v>0</v>
      </c>
      <c r="AR821" s="0" t="n">
        <f aca="false">AN821*D821</f>
        <v>-0</v>
      </c>
      <c r="AS821" s="0" t="n">
        <f aca="false">AH821-AR821</f>
        <v>0</v>
      </c>
    </row>
    <row r="822" customFormat="false" ht="12" hidden="false" customHeight="false" outlineLevel="0" collapsed="false">
      <c r="A822" s="3" t="n">
        <f aca="false">A821+1</f>
        <v>813</v>
      </c>
      <c r="B822" s="3" t="n">
        <f aca="false">IF(A822&lt;$N$4/3,0.1,(IF(A822&gt;2*$N$4/3,0.05,0.12)))</f>
        <v>0.05</v>
      </c>
      <c r="C822" s="4" t="n">
        <f aca="true">RAND()</f>
        <v>0.204703006488263</v>
      </c>
      <c r="D822" s="0" t="n">
        <f aca="false">IF((C822&gt;$M$2),1,0)</f>
        <v>0</v>
      </c>
      <c r="E822" s="0" t="n">
        <f aca="false">1-D822</f>
        <v>1</v>
      </c>
      <c r="F822" s="0" t="n">
        <f aca="true">RAND()</f>
        <v>0.959184015910371</v>
      </c>
      <c r="G822" s="0" t="n">
        <f aca="false">7.75+F822*10</f>
        <v>17.3418401591037</v>
      </c>
      <c r="H822" s="0" t="n">
        <f aca="false">LOGINV(F822,2.64,1.139)</f>
        <v>101.833023359523</v>
      </c>
      <c r="I822" s="0" t="n">
        <v>19.5</v>
      </c>
      <c r="J822" s="4" t="n">
        <f aca="true">-LN(RAND())/B822</f>
        <v>25.037876301328</v>
      </c>
      <c r="K822" s="4" t="n">
        <f aca="false">K821+J822</f>
        <v>9448.13294079881</v>
      </c>
      <c r="L822" s="4" t="n">
        <f aca="false">(1/$J$4)*(1+AB821)</f>
        <v>10</v>
      </c>
      <c r="M822" s="4" t="n">
        <f aca="false">L822+MAX(K822,Y$10:Y821)</f>
        <v>9458.13294079881</v>
      </c>
      <c r="N822" s="4" t="n">
        <f aca="false">K822</f>
        <v>9448.13294079881</v>
      </c>
      <c r="O822" s="4" t="n">
        <f aca="false">M822-K822</f>
        <v>10</v>
      </c>
      <c r="P822" s="4" t="n">
        <f aca="false">N822-K822</f>
        <v>0</v>
      </c>
      <c r="Q822" s="4" t="n">
        <f aca="false">A822-MATCH(K822,$M$9:M821,1)</f>
        <v>0</v>
      </c>
      <c r="R822" s="0" t="n">
        <f aca="false">-G822*(O822/3600)</f>
        <v>-0.0481717782197325</v>
      </c>
      <c r="S822" s="0" t="n">
        <f aca="false">-1*I822-(H822*(P822/3600))</f>
        <v>-19.5</v>
      </c>
      <c r="T822" s="0" t="n">
        <f aca="false">-H822*(O822/3600)</f>
        <v>-0.282869509332007</v>
      </c>
      <c r="U822" s="0" t="n">
        <f aca="false">T822-S822</f>
        <v>19.217130490668</v>
      </c>
      <c r="V822" s="0" t="n">
        <f aca="false">1/(1+EXP(U822))</f>
        <v>4.50927028806764E-009</v>
      </c>
      <c r="W822" s="0" t="n">
        <f aca="true">RAND()</f>
        <v>0.515009297367844</v>
      </c>
      <c r="X822" s="0" t="n">
        <f aca="false">IF(W822&lt;V822,1,0)</f>
        <v>0</v>
      </c>
      <c r="Y822" s="0" t="n">
        <f aca="false">(M822*(1-X822)+N822*X822)*D822+M822*E822</f>
        <v>9458.13294079881</v>
      </c>
      <c r="Z822" s="0" t="n">
        <f aca="false">((1-X822)*O822+X822*P822)*D822+E822*O822</f>
        <v>10</v>
      </c>
      <c r="AA822" s="0" t="n">
        <f aca="false">IF(D822*X822&gt;0,AA821,Q822)</f>
        <v>0</v>
      </c>
      <c r="AB822" s="0" t="n">
        <f aca="false">(X822*D822)</f>
        <v>0</v>
      </c>
      <c r="AC822" s="0" t="n">
        <f aca="false">SUM(AB$10:AB821)/K822</f>
        <v>0.000105841017084107</v>
      </c>
      <c r="AD822" s="0" t="n">
        <f aca="false">R822*E822+D822*(X822*S822+(1-X822)*T822)</f>
        <v>-0.0481717782197325</v>
      </c>
      <c r="AE822" s="0" t="n">
        <f aca="false">Z822</f>
        <v>10</v>
      </c>
      <c r="AF822" s="0" t="n">
        <f aca="false">E822*O822</f>
        <v>10</v>
      </c>
      <c r="AG822" s="0" t="n">
        <f aca="false">((1-X822)*O822+X822*P822)*D822</f>
        <v>0</v>
      </c>
      <c r="AH822" s="0" t="n">
        <f aca="false">D822*(LN(EXP(S822)+EXP(T822)))</f>
        <v>-0</v>
      </c>
      <c r="AJ822" s="0" t="n">
        <f aca="false">$J$5</f>
        <v>10</v>
      </c>
      <c r="AK822" s="4" t="n">
        <f aca="false">AJ822+MAX(K822,AK$10:AK821)</f>
        <v>9458.13294079881</v>
      </c>
      <c r="AL822" s="5" t="n">
        <f aca="false">AK822-K822</f>
        <v>10</v>
      </c>
      <c r="AM822" s="0" t="n">
        <f aca="false">-G822*AL822/3600</f>
        <v>-0.0481717782197325</v>
      </c>
      <c r="AN822" s="0" t="n">
        <f aca="false">-H822*AL822/3600</f>
        <v>-0.282869509332007</v>
      </c>
      <c r="AO822" s="0" t="n">
        <f aca="false">AM822*E822+AN822*D822</f>
        <v>-0.0481717782197325</v>
      </c>
      <c r="AP822" s="0" t="n">
        <f aca="false">AL822*D822</f>
        <v>0</v>
      </c>
      <c r="AR822" s="0" t="n">
        <f aca="false">AN822*D822</f>
        <v>-0</v>
      </c>
      <c r="AS822" s="0" t="n">
        <f aca="false">AH822-AR822</f>
        <v>0</v>
      </c>
    </row>
    <row r="823" customFormat="false" ht="12" hidden="false" customHeight="false" outlineLevel="0" collapsed="false">
      <c r="A823" s="3" t="n">
        <f aca="false">A822+1</f>
        <v>814</v>
      </c>
      <c r="B823" s="3" t="n">
        <f aca="false">IF(A823&lt;$N$4/3,0.1,(IF(A823&gt;2*$N$4/3,0.05,0.12)))</f>
        <v>0.05</v>
      </c>
      <c r="C823" s="4" t="n">
        <f aca="true">RAND()</f>
        <v>0.862302872377575</v>
      </c>
      <c r="D823" s="0" t="n">
        <f aca="false">IF((C823&gt;$M$2),1,0)</f>
        <v>0</v>
      </c>
      <c r="E823" s="0" t="n">
        <f aca="false">1-D823</f>
        <v>1</v>
      </c>
      <c r="F823" s="0" t="n">
        <f aca="true">RAND()</f>
        <v>0.706925460473379</v>
      </c>
      <c r="G823" s="0" t="n">
        <f aca="false">7.75+F823*10</f>
        <v>14.8192546047338</v>
      </c>
      <c r="H823" s="0" t="n">
        <f aca="false">LOGINV(F823,2.64,1.139)</f>
        <v>26.0521427592383</v>
      </c>
      <c r="I823" s="0" t="n">
        <v>19.5</v>
      </c>
      <c r="J823" s="4" t="n">
        <f aca="true">-LN(RAND())/B823</f>
        <v>19.7810056036887</v>
      </c>
      <c r="K823" s="4" t="n">
        <f aca="false">K822+J823</f>
        <v>9467.9139464025</v>
      </c>
      <c r="L823" s="4" t="n">
        <f aca="false">(1/$J$4)*(1+AB822)</f>
        <v>10</v>
      </c>
      <c r="M823" s="4" t="n">
        <f aca="false">L823+MAX(K823,Y$10:Y822)</f>
        <v>9477.9139464025</v>
      </c>
      <c r="N823" s="4" t="n">
        <f aca="false">K823</f>
        <v>9467.9139464025</v>
      </c>
      <c r="O823" s="4" t="n">
        <f aca="false">M823-K823</f>
        <v>10</v>
      </c>
      <c r="P823" s="4" t="n">
        <f aca="false">N823-K823</f>
        <v>0</v>
      </c>
      <c r="Q823" s="4" t="n">
        <f aca="false">A823-MATCH(K823,$M$9:M822,1)</f>
        <v>0</v>
      </c>
      <c r="R823" s="0" t="n">
        <f aca="false">-G823*(O823/3600)</f>
        <v>-0.0411645961242605</v>
      </c>
      <c r="S823" s="0" t="n">
        <f aca="false">-1*I823-(H823*(P823/3600))</f>
        <v>-19.5</v>
      </c>
      <c r="T823" s="0" t="n">
        <f aca="false">-H823*(O823/3600)</f>
        <v>-0.0723670632201063</v>
      </c>
      <c r="U823" s="0" t="n">
        <f aca="false">T823-S823</f>
        <v>19.4276329367799</v>
      </c>
      <c r="V823" s="0" t="n">
        <f aca="false">1/(1+EXP(U823))</f>
        <v>3.65330740813515E-009</v>
      </c>
      <c r="W823" s="0" t="n">
        <f aca="true">RAND()</f>
        <v>0.437713960675605</v>
      </c>
      <c r="X823" s="0" t="n">
        <f aca="false">IF(W823&lt;V823,1,0)</f>
        <v>0</v>
      </c>
      <c r="Y823" s="0" t="n">
        <f aca="false">(M823*(1-X823)+N823*X823)*D823+M823*E823</f>
        <v>9477.9139464025</v>
      </c>
      <c r="Z823" s="0" t="n">
        <f aca="false">((1-X823)*O823+X823*P823)*D823+E823*O823</f>
        <v>10</v>
      </c>
      <c r="AA823" s="0" t="n">
        <f aca="false">IF(D823*X823&gt;0,AA822,Q823)</f>
        <v>0</v>
      </c>
      <c r="AB823" s="0" t="n">
        <f aca="false">(X823*D823)</f>
        <v>0</v>
      </c>
      <c r="AC823" s="0" t="n">
        <f aca="false">SUM(AB$10:AB822)/K823</f>
        <v>0.000105619886879091</v>
      </c>
      <c r="AD823" s="0" t="n">
        <f aca="false">R823*E823+D823*(X823*S823+(1-X823)*T823)</f>
        <v>-0.0411645961242605</v>
      </c>
      <c r="AE823" s="0" t="n">
        <f aca="false">Z823</f>
        <v>10</v>
      </c>
      <c r="AF823" s="0" t="n">
        <f aca="false">E823*O823</f>
        <v>10</v>
      </c>
      <c r="AG823" s="0" t="n">
        <f aca="false">((1-X823)*O823+X823*P823)*D823</f>
        <v>0</v>
      </c>
      <c r="AH823" s="0" t="n">
        <f aca="false">D823*(LN(EXP(S823)+EXP(T823)))</f>
        <v>-0</v>
      </c>
      <c r="AJ823" s="0" t="n">
        <f aca="false">$J$5</f>
        <v>10</v>
      </c>
      <c r="AK823" s="4" t="n">
        <f aca="false">AJ823+MAX(K823,AK$10:AK822)</f>
        <v>9477.9139464025</v>
      </c>
      <c r="AL823" s="5" t="n">
        <f aca="false">AK823-K823</f>
        <v>10</v>
      </c>
      <c r="AM823" s="0" t="n">
        <f aca="false">-G823*AL823/3600</f>
        <v>-0.0411645961242605</v>
      </c>
      <c r="AN823" s="0" t="n">
        <f aca="false">-H823*AL823/3600</f>
        <v>-0.0723670632201063</v>
      </c>
      <c r="AO823" s="0" t="n">
        <f aca="false">AM823*E823+AN823*D823</f>
        <v>-0.0411645961242605</v>
      </c>
      <c r="AP823" s="0" t="n">
        <f aca="false">AL823*D823</f>
        <v>0</v>
      </c>
      <c r="AR823" s="0" t="n">
        <f aca="false">AN823*D823</f>
        <v>-0</v>
      </c>
      <c r="AS823" s="0" t="n">
        <f aca="false">AH823-AR823</f>
        <v>0</v>
      </c>
    </row>
    <row r="824" customFormat="false" ht="12" hidden="false" customHeight="false" outlineLevel="0" collapsed="false">
      <c r="A824" s="3" t="n">
        <f aca="false">A823+1</f>
        <v>815</v>
      </c>
      <c r="B824" s="3" t="n">
        <f aca="false">IF(A824&lt;$N$4/3,0.1,(IF(A824&gt;2*$N$4/3,0.05,0.12)))</f>
        <v>0.05</v>
      </c>
      <c r="C824" s="4" t="n">
        <f aca="true">RAND()</f>
        <v>0.146726223258363</v>
      </c>
      <c r="D824" s="0" t="n">
        <f aca="false">IF((C824&gt;$M$2),1,0)</f>
        <v>0</v>
      </c>
      <c r="E824" s="0" t="n">
        <f aca="false">1-D824</f>
        <v>1</v>
      </c>
      <c r="F824" s="0" t="n">
        <f aca="true">RAND()</f>
        <v>0.561012459132883</v>
      </c>
      <c r="G824" s="0" t="n">
        <f aca="false">7.75+F824*10</f>
        <v>13.3601245913288</v>
      </c>
      <c r="H824" s="0" t="n">
        <f aca="false">LOGINV(F824,2.64,1.139)</f>
        <v>16.6911436247018</v>
      </c>
      <c r="I824" s="0" t="n">
        <v>19.5</v>
      </c>
      <c r="J824" s="4" t="n">
        <f aca="true">-LN(RAND())/B824</f>
        <v>7.33453157629708</v>
      </c>
      <c r="K824" s="4" t="n">
        <f aca="false">K823+J824</f>
        <v>9475.2484779788</v>
      </c>
      <c r="L824" s="4" t="n">
        <f aca="false">(1/$J$4)*(1+AB823)</f>
        <v>10</v>
      </c>
      <c r="M824" s="4" t="n">
        <f aca="false">L824+MAX(K824,Y$10:Y823)</f>
        <v>9487.9139464025</v>
      </c>
      <c r="N824" s="4" t="n">
        <f aca="false">K824</f>
        <v>9475.2484779788</v>
      </c>
      <c r="O824" s="4" t="n">
        <f aca="false">M824-K824</f>
        <v>12.6654684237037</v>
      </c>
      <c r="P824" s="4" t="n">
        <f aca="false">N824-K824</f>
        <v>0</v>
      </c>
      <c r="Q824" s="4" t="n">
        <f aca="false">A824-MATCH(K824,$M$9:M823,1)</f>
        <v>1</v>
      </c>
      <c r="R824" s="0" t="n">
        <f aca="false">-G824*(O824/3600)</f>
        <v>-0.0470033989300619</v>
      </c>
      <c r="S824" s="0" t="n">
        <f aca="false">-1*I824-(H824*(P824/3600))</f>
        <v>-19.5</v>
      </c>
      <c r="T824" s="0" t="n">
        <f aca="false">-H824*(O824/3600)</f>
        <v>-0.0587225423706012</v>
      </c>
      <c r="U824" s="0" t="n">
        <f aca="false">T824-S824</f>
        <v>19.4412774576294</v>
      </c>
      <c r="V824" s="0" t="n">
        <f aca="false">1/(1+EXP(U824))</f>
        <v>3.60379831126921E-009</v>
      </c>
      <c r="W824" s="0" t="n">
        <f aca="true">RAND()</f>
        <v>0.25757345310713</v>
      </c>
      <c r="X824" s="0" t="n">
        <f aca="false">IF(W824&lt;V824,1,0)</f>
        <v>0</v>
      </c>
      <c r="Y824" s="0" t="n">
        <f aca="false">(M824*(1-X824)+N824*X824)*D824+M824*E824</f>
        <v>9487.9139464025</v>
      </c>
      <c r="Z824" s="0" t="n">
        <f aca="false">((1-X824)*O824+X824*P824)*D824+E824*O824</f>
        <v>12.6654684237037</v>
      </c>
      <c r="AA824" s="0" t="n">
        <f aca="false">IF(D824*X824&gt;0,AA823,Q824)</f>
        <v>1</v>
      </c>
      <c r="AB824" s="0" t="n">
        <f aca="false">(X824*D824)</f>
        <v>0</v>
      </c>
      <c r="AC824" s="0" t="n">
        <f aca="false">SUM(AB$10:AB823)/K824</f>
        <v>0.00010553812940358</v>
      </c>
      <c r="AD824" s="0" t="n">
        <f aca="false">R824*E824+D824*(X824*S824+(1-X824)*T824)</f>
        <v>-0.0470033989300619</v>
      </c>
      <c r="AE824" s="0" t="n">
        <f aca="false">Z824</f>
        <v>12.6654684237037</v>
      </c>
      <c r="AF824" s="0" t="n">
        <f aca="false">E824*O824</f>
        <v>12.6654684237037</v>
      </c>
      <c r="AG824" s="0" t="n">
        <f aca="false">((1-X824)*O824+X824*P824)*D824</f>
        <v>0</v>
      </c>
      <c r="AH824" s="0" t="n">
        <f aca="false">D824*(LN(EXP(S824)+EXP(T824)))</f>
        <v>-0</v>
      </c>
      <c r="AJ824" s="0" t="n">
        <f aca="false">$J$5</f>
        <v>10</v>
      </c>
      <c r="AK824" s="4" t="n">
        <f aca="false">AJ824+MAX(K824,AK$10:AK823)</f>
        <v>9487.9139464025</v>
      </c>
      <c r="AL824" s="5" t="n">
        <f aca="false">AK824-K824</f>
        <v>12.6654684237037</v>
      </c>
      <c r="AM824" s="0" t="n">
        <f aca="false">-G824*AL824/3600</f>
        <v>-0.0470033989300619</v>
      </c>
      <c r="AN824" s="0" t="n">
        <f aca="false">-H824*AL824/3600</f>
        <v>-0.0587225423706012</v>
      </c>
      <c r="AO824" s="0" t="n">
        <f aca="false">AM824*E824+AN824*D824</f>
        <v>-0.0470033989300619</v>
      </c>
      <c r="AP824" s="0" t="n">
        <f aca="false">AL824*D824</f>
        <v>0</v>
      </c>
      <c r="AR824" s="0" t="n">
        <f aca="false">AN824*D824</f>
        <v>-0</v>
      </c>
      <c r="AS824" s="0" t="n">
        <f aca="false">AH824-AR824</f>
        <v>0</v>
      </c>
    </row>
    <row r="825" customFormat="false" ht="12" hidden="false" customHeight="false" outlineLevel="0" collapsed="false">
      <c r="A825" s="3" t="n">
        <f aca="false">A824+1</f>
        <v>816</v>
      </c>
      <c r="B825" s="3" t="n">
        <f aca="false">IF(A825&lt;$N$4/3,0.1,(IF(A825&gt;2*$N$4/3,0.05,0.12)))</f>
        <v>0.05</v>
      </c>
      <c r="C825" s="4" t="n">
        <f aca="true">RAND()</f>
        <v>0.0063047258520565</v>
      </c>
      <c r="D825" s="0" t="n">
        <f aca="false">IF((C825&gt;$M$2),1,0)</f>
        <v>0</v>
      </c>
      <c r="E825" s="0" t="n">
        <f aca="false">1-D825</f>
        <v>1</v>
      </c>
      <c r="F825" s="0" t="n">
        <f aca="true">RAND()</f>
        <v>0.418534009268716</v>
      </c>
      <c r="G825" s="0" t="n">
        <f aca="false">7.75+F825*10</f>
        <v>11.9353400926872</v>
      </c>
      <c r="H825" s="0" t="n">
        <f aca="false">LOGINV(F825,2.64,1.139)</f>
        <v>11.0869644655834</v>
      </c>
      <c r="I825" s="0" t="n">
        <v>19.5</v>
      </c>
      <c r="J825" s="4" t="n">
        <f aca="true">-LN(RAND())/B825</f>
        <v>28.6280890356971</v>
      </c>
      <c r="K825" s="4" t="n">
        <f aca="false">K824+J825</f>
        <v>9503.87656701449</v>
      </c>
      <c r="L825" s="4" t="n">
        <f aca="false">(1/$J$4)*(1+AB824)</f>
        <v>10</v>
      </c>
      <c r="M825" s="4" t="n">
        <f aca="false">L825+MAX(K825,Y$10:Y824)</f>
        <v>9513.87656701449</v>
      </c>
      <c r="N825" s="4" t="n">
        <f aca="false">K825</f>
        <v>9503.87656701449</v>
      </c>
      <c r="O825" s="4" t="n">
        <f aca="false">M825-K825</f>
        <v>10</v>
      </c>
      <c r="P825" s="4" t="n">
        <f aca="false">N825-K825</f>
        <v>0</v>
      </c>
      <c r="Q825" s="4" t="n">
        <f aca="false">A825-MATCH(K825,$M$9:M824,1)</f>
        <v>0</v>
      </c>
      <c r="R825" s="0" t="n">
        <f aca="false">-G825*(O825/3600)</f>
        <v>-0.0331537224796865</v>
      </c>
      <c r="S825" s="0" t="n">
        <f aca="false">-1*I825-(H825*(P825/3600))</f>
        <v>-19.5</v>
      </c>
      <c r="T825" s="0" t="n">
        <f aca="false">-H825*(O825/3600)</f>
        <v>-0.0307971235155095</v>
      </c>
      <c r="U825" s="0" t="n">
        <f aca="false">T825-S825</f>
        <v>19.4692028764845</v>
      </c>
      <c r="V825" s="0" t="n">
        <f aca="false">1/(1+EXP(U825))</f>
        <v>3.50455291834646E-009</v>
      </c>
      <c r="W825" s="0" t="n">
        <f aca="true">RAND()</f>
        <v>0.627382123259195</v>
      </c>
      <c r="X825" s="0" t="n">
        <f aca="false">IF(W825&lt;V825,1,0)</f>
        <v>0</v>
      </c>
      <c r="Y825" s="0" t="n">
        <f aca="false">(M825*(1-X825)+N825*X825)*D825+M825*E825</f>
        <v>9513.87656701449</v>
      </c>
      <c r="Z825" s="0" t="n">
        <f aca="false">((1-X825)*O825+X825*P825)*D825+E825*O825</f>
        <v>10</v>
      </c>
      <c r="AA825" s="0" t="n">
        <f aca="false">IF(D825*X825&gt;0,AA824,Q825)</f>
        <v>0</v>
      </c>
      <c r="AB825" s="0" t="n">
        <f aca="false">(X825*D825)</f>
        <v>0</v>
      </c>
      <c r="AC825" s="0" t="n">
        <f aca="false">SUM(AB$10:AB824)/K825</f>
        <v>0.000105220221764111</v>
      </c>
      <c r="AD825" s="0" t="n">
        <f aca="false">R825*E825+D825*(X825*S825+(1-X825)*T825)</f>
        <v>-0.0331537224796865</v>
      </c>
      <c r="AE825" s="0" t="n">
        <f aca="false">Z825</f>
        <v>10</v>
      </c>
      <c r="AF825" s="0" t="n">
        <f aca="false">E825*O825</f>
        <v>10</v>
      </c>
      <c r="AG825" s="0" t="n">
        <f aca="false">((1-X825)*O825+X825*P825)*D825</f>
        <v>0</v>
      </c>
      <c r="AH825" s="0" t="n">
        <f aca="false">D825*(LN(EXP(S825)+EXP(T825)))</f>
        <v>-0</v>
      </c>
      <c r="AJ825" s="0" t="n">
        <f aca="false">$J$5</f>
        <v>10</v>
      </c>
      <c r="AK825" s="4" t="n">
        <f aca="false">AJ825+MAX(K825,AK$10:AK824)</f>
        <v>9513.87656701449</v>
      </c>
      <c r="AL825" s="5" t="n">
        <f aca="false">AK825-K825</f>
        <v>10</v>
      </c>
      <c r="AM825" s="0" t="n">
        <f aca="false">-G825*AL825/3600</f>
        <v>-0.0331537224796865</v>
      </c>
      <c r="AN825" s="0" t="n">
        <f aca="false">-H825*AL825/3600</f>
        <v>-0.0307971235155095</v>
      </c>
      <c r="AO825" s="0" t="n">
        <f aca="false">AM825*E825+AN825*D825</f>
        <v>-0.0331537224796865</v>
      </c>
      <c r="AP825" s="0" t="n">
        <f aca="false">AL825*D825</f>
        <v>0</v>
      </c>
      <c r="AR825" s="0" t="n">
        <f aca="false">AN825*D825</f>
        <v>-0</v>
      </c>
      <c r="AS825" s="0" t="n">
        <f aca="false">AH825-AR825</f>
        <v>0</v>
      </c>
    </row>
    <row r="826" customFormat="false" ht="12" hidden="false" customHeight="false" outlineLevel="0" collapsed="false">
      <c r="A826" s="3" t="n">
        <f aca="false">A825+1</f>
        <v>817</v>
      </c>
      <c r="B826" s="3" t="n">
        <f aca="false">IF(A826&lt;$N$4/3,0.1,(IF(A826&gt;2*$N$4/3,0.05,0.12)))</f>
        <v>0.05</v>
      </c>
      <c r="C826" s="4" t="n">
        <f aca="true">RAND()</f>
        <v>0.00701293877371301</v>
      </c>
      <c r="D826" s="0" t="n">
        <f aca="false">IF((C826&gt;$M$2),1,0)</f>
        <v>0</v>
      </c>
      <c r="E826" s="0" t="n">
        <f aca="false">1-D826</f>
        <v>1</v>
      </c>
      <c r="F826" s="0" t="n">
        <f aca="true">RAND()</f>
        <v>0.582029799139602</v>
      </c>
      <c r="G826" s="0" t="n">
        <f aca="false">7.75+F826*10</f>
        <v>13.570297991396</v>
      </c>
      <c r="H826" s="0" t="n">
        <f aca="false">LOGINV(F826,2.64,1.139)</f>
        <v>17.7409282256091</v>
      </c>
      <c r="I826" s="0" t="n">
        <v>19.5</v>
      </c>
      <c r="J826" s="4" t="n">
        <f aca="true">-LN(RAND())/B826</f>
        <v>6.0798185402705</v>
      </c>
      <c r="K826" s="4" t="n">
        <f aca="false">K825+J826</f>
        <v>9509.95638555476</v>
      </c>
      <c r="L826" s="4" t="n">
        <f aca="false">(1/$J$4)*(1+AB825)</f>
        <v>10</v>
      </c>
      <c r="M826" s="4" t="n">
        <f aca="false">L826+MAX(K826,Y$10:Y825)</f>
        <v>9523.87656701449</v>
      </c>
      <c r="N826" s="4" t="n">
        <f aca="false">K826</f>
        <v>9509.95638555476</v>
      </c>
      <c r="O826" s="4" t="n">
        <f aca="false">M826-K826</f>
        <v>13.9201814597291</v>
      </c>
      <c r="P826" s="4" t="n">
        <f aca="false">N826-K826</f>
        <v>0</v>
      </c>
      <c r="Q826" s="4" t="n">
        <f aca="false">A826-MATCH(K826,$M$9:M825,1)</f>
        <v>1</v>
      </c>
      <c r="R826" s="0" t="n">
        <f aca="false">-G826*(O826/3600)</f>
        <v>-0.0524725029174526</v>
      </c>
      <c r="S826" s="0" t="n">
        <f aca="false">-1*I826-(H826*(P826/3600))</f>
        <v>-19.5</v>
      </c>
      <c r="T826" s="0" t="n">
        <f aca="false">-H826*(O826/3600)</f>
        <v>-0.0685991500456967</v>
      </c>
      <c r="U826" s="0" t="n">
        <f aca="false">T826-S826</f>
        <v>19.4314008499543</v>
      </c>
      <c r="V826" s="0" t="n">
        <f aca="false">1/(1+EXP(U826))</f>
        <v>3.63956796384364E-009</v>
      </c>
      <c r="W826" s="0" t="n">
        <f aca="true">RAND()</f>
        <v>0.2041750762498</v>
      </c>
      <c r="X826" s="0" t="n">
        <f aca="false">IF(W826&lt;V826,1,0)</f>
        <v>0</v>
      </c>
      <c r="Y826" s="0" t="n">
        <f aca="false">(M826*(1-X826)+N826*X826)*D826+M826*E826</f>
        <v>9523.87656701449</v>
      </c>
      <c r="Z826" s="0" t="n">
        <f aca="false">((1-X826)*O826+X826*P826)*D826+E826*O826</f>
        <v>13.9201814597291</v>
      </c>
      <c r="AA826" s="0" t="n">
        <f aca="false">IF(D826*X826&gt;0,AA825,Q826)</f>
        <v>1</v>
      </c>
      <c r="AB826" s="0" t="n">
        <f aca="false">(X826*D826)</f>
        <v>0</v>
      </c>
      <c r="AC826" s="0" t="n">
        <f aca="false">SUM(AB$10:AB825)/K826</f>
        <v>0.000105152953332043</v>
      </c>
      <c r="AD826" s="0" t="n">
        <f aca="false">R826*E826+D826*(X826*S826+(1-X826)*T826)</f>
        <v>-0.0524725029174526</v>
      </c>
      <c r="AE826" s="0" t="n">
        <f aca="false">Z826</f>
        <v>13.9201814597291</v>
      </c>
      <c r="AF826" s="0" t="n">
        <f aca="false">E826*O826</f>
        <v>13.9201814597291</v>
      </c>
      <c r="AG826" s="0" t="n">
        <f aca="false">((1-X826)*O826+X826*P826)*D826</f>
        <v>0</v>
      </c>
      <c r="AH826" s="0" t="n">
        <f aca="false">D826*(LN(EXP(S826)+EXP(T826)))</f>
        <v>-0</v>
      </c>
      <c r="AJ826" s="0" t="n">
        <f aca="false">$J$5</f>
        <v>10</v>
      </c>
      <c r="AK826" s="4" t="n">
        <f aca="false">AJ826+MAX(K826,AK$10:AK825)</f>
        <v>9523.87656701449</v>
      </c>
      <c r="AL826" s="5" t="n">
        <f aca="false">AK826-K826</f>
        <v>13.9201814597291</v>
      </c>
      <c r="AM826" s="0" t="n">
        <f aca="false">-G826*AL826/3600</f>
        <v>-0.0524725029174526</v>
      </c>
      <c r="AN826" s="0" t="n">
        <f aca="false">-H826*AL826/3600</f>
        <v>-0.0685991500456967</v>
      </c>
      <c r="AO826" s="0" t="n">
        <f aca="false">AM826*E826+AN826*D826</f>
        <v>-0.0524725029174526</v>
      </c>
      <c r="AP826" s="0" t="n">
        <f aca="false">AL826*D826</f>
        <v>0</v>
      </c>
      <c r="AR826" s="0" t="n">
        <f aca="false">AN826*D826</f>
        <v>-0</v>
      </c>
      <c r="AS826" s="0" t="n">
        <f aca="false">AH826-AR826</f>
        <v>0</v>
      </c>
    </row>
    <row r="827" customFormat="false" ht="12" hidden="false" customHeight="false" outlineLevel="0" collapsed="false">
      <c r="A827" s="3" t="n">
        <f aca="false">A826+1</f>
        <v>818</v>
      </c>
      <c r="B827" s="3" t="n">
        <f aca="false">IF(A827&lt;$N$4/3,0.1,(IF(A827&gt;2*$N$4/3,0.05,0.12)))</f>
        <v>0.05</v>
      </c>
      <c r="C827" s="4" t="n">
        <f aca="true">RAND()</f>
        <v>0.524113283975214</v>
      </c>
      <c r="D827" s="0" t="n">
        <f aca="false">IF((C827&gt;$M$2),1,0)</f>
        <v>0</v>
      </c>
      <c r="E827" s="0" t="n">
        <f aca="false">1-D827</f>
        <v>1</v>
      </c>
      <c r="F827" s="0" t="n">
        <f aca="true">RAND()</f>
        <v>0.0484392946360441</v>
      </c>
      <c r="G827" s="0" t="n">
        <f aca="false">7.75+F827*10</f>
        <v>8.23439294636044</v>
      </c>
      <c r="H827" s="0" t="n">
        <f aca="false">LOGINV(F827,2.64,1.139)</f>
        <v>2.1150044558906</v>
      </c>
      <c r="I827" s="0" t="n">
        <v>19.5</v>
      </c>
      <c r="J827" s="4" t="n">
        <f aca="true">-LN(RAND())/B827</f>
        <v>8.64178990912873</v>
      </c>
      <c r="K827" s="4" t="n">
        <f aca="false">K826+J827</f>
        <v>9518.59817546389</v>
      </c>
      <c r="L827" s="4" t="n">
        <f aca="false">(1/$J$4)*(1+AB826)</f>
        <v>10</v>
      </c>
      <c r="M827" s="4" t="n">
        <f aca="false">L827+MAX(K827,Y$10:Y826)</f>
        <v>9533.87656701449</v>
      </c>
      <c r="N827" s="4" t="n">
        <f aca="false">K827</f>
        <v>9518.59817546389</v>
      </c>
      <c r="O827" s="4" t="n">
        <f aca="false">M827-K827</f>
        <v>15.2783915506006</v>
      </c>
      <c r="P827" s="4" t="n">
        <f aca="false">N827-K827</f>
        <v>0</v>
      </c>
      <c r="Q827" s="4" t="n">
        <f aca="false">A827-MATCH(K827,$M$9:M826,1)</f>
        <v>1</v>
      </c>
      <c r="R827" s="0" t="n">
        <f aca="false">-G827*(O827/3600)</f>
        <v>-0.0349467443377775</v>
      </c>
      <c r="S827" s="0" t="n">
        <f aca="false">-1*I827-(H827*(P827/3600))</f>
        <v>-19.5</v>
      </c>
      <c r="T827" s="0" t="n">
        <f aca="false">-H827*(O827/3600)</f>
        <v>-0.00897607394676713</v>
      </c>
      <c r="U827" s="0" t="n">
        <f aca="false">T827-S827</f>
        <v>19.4910239260532</v>
      </c>
      <c r="V827" s="0" t="n">
        <f aca="false">1/(1+EXP(U827))</f>
        <v>3.42890822055766E-009</v>
      </c>
      <c r="W827" s="0" t="n">
        <f aca="true">RAND()</f>
        <v>0.238007653285886</v>
      </c>
      <c r="X827" s="0" t="n">
        <f aca="false">IF(W827&lt;V827,1,0)</f>
        <v>0</v>
      </c>
      <c r="Y827" s="0" t="n">
        <f aca="false">(M827*(1-X827)+N827*X827)*D827+M827*E827</f>
        <v>9533.87656701449</v>
      </c>
      <c r="Z827" s="0" t="n">
        <f aca="false">((1-X827)*O827+X827*P827)*D827+E827*O827</f>
        <v>15.2783915506006</v>
      </c>
      <c r="AA827" s="0" t="n">
        <f aca="false">IF(D827*X827&gt;0,AA826,Q827)</f>
        <v>1</v>
      </c>
      <c r="AB827" s="0" t="n">
        <f aca="false">(X827*D827)</f>
        <v>0</v>
      </c>
      <c r="AC827" s="0" t="n">
        <f aca="false">SUM(AB$10:AB826)/K827</f>
        <v>0.000105057486571678</v>
      </c>
      <c r="AD827" s="0" t="n">
        <f aca="false">R827*E827+D827*(X827*S827+(1-X827)*T827)</f>
        <v>-0.0349467443377775</v>
      </c>
      <c r="AE827" s="0" t="n">
        <f aca="false">Z827</f>
        <v>15.2783915506006</v>
      </c>
      <c r="AF827" s="0" t="n">
        <f aca="false">E827*O827</f>
        <v>15.2783915506006</v>
      </c>
      <c r="AG827" s="0" t="n">
        <f aca="false">((1-X827)*O827+X827*P827)*D827</f>
        <v>0</v>
      </c>
      <c r="AH827" s="0" t="n">
        <f aca="false">D827*(LN(EXP(S827)+EXP(T827)))</f>
        <v>-0</v>
      </c>
      <c r="AJ827" s="0" t="n">
        <f aca="false">$J$5</f>
        <v>10</v>
      </c>
      <c r="AK827" s="4" t="n">
        <f aca="false">AJ827+MAX(K827,AK$10:AK826)</f>
        <v>9533.87656701449</v>
      </c>
      <c r="AL827" s="5" t="n">
        <f aca="false">AK827-K827</f>
        <v>15.2783915506006</v>
      </c>
      <c r="AM827" s="0" t="n">
        <f aca="false">-G827*AL827/3600</f>
        <v>-0.0349467443377775</v>
      </c>
      <c r="AN827" s="0" t="n">
        <f aca="false">-H827*AL827/3600</f>
        <v>-0.00897607394676712</v>
      </c>
      <c r="AO827" s="0" t="n">
        <f aca="false">AM827*E827+AN827*D827</f>
        <v>-0.0349467443377775</v>
      </c>
      <c r="AP827" s="0" t="n">
        <f aca="false">AL827*D827</f>
        <v>0</v>
      </c>
      <c r="AR827" s="0" t="n">
        <f aca="false">AN827*D827</f>
        <v>-0</v>
      </c>
      <c r="AS827" s="0" t="n">
        <f aca="false">AH827-AR827</f>
        <v>0</v>
      </c>
    </row>
    <row r="828" customFormat="false" ht="12" hidden="false" customHeight="false" outlineLevel="0" collapsed="false">
      <c r="A828" s="3" t="n">
        <f aca="false">A827+1</f>
        <v>819</v>
      </c>
      <c r="B828" s="3" t="n">
        <f aca="false">IF(A828&lt;$N$4/3,0.1,(IF(A828&gt;2*$N$4/3,0.05,0.12)))</f>
        <v>0.05</v>
      </c>
      <c r="C828" s="4" t="n">
        <f aca="true">RAND()</f>
        <v>0.0152297089025051</v>
      </c>
      <c r="D828" s="0" t="n">
        <f aca="false">IF((C828&gt;$M$2),1,0)</f>
        <v>0</v>
      </c>
      <c r="E828" s="0" t="n">
        <f aca="false">1-D828</f>
        <v>1</v>
      </c>
      <c r="F828" s="0" t="n">
        <f aca="true">RAND()</f>
        <v>0.862539225814552</v>
      </c>
      <c r="G828" s="0" t="n">
        <f aca="false">7.75+F828*10</f>
        <v>16.3753922581455</v>
      </c>
      <c r="H828" s="0" t="n">
        <f aca="false">LOGINV(F828,2.64,1.139)</f>
        <v>48.5968555734826</v>
      </c>
      <c r="I828" s="0" t="n">
        <v>19.5</v>
      </c>
      <c r="J828" s="4" t="n">
        <f aca="true">-LN(RAND())/B828</f>
        <v>7.33227972788059</v>
      </c>
      <c r="K828" s="4" t="n">
        <f aca="false">K827+J828</f>
        <v>9525.93045519177</v>
      </c>
      <c r="L828" s="4" t="n">
        <f aca="false">(1/$J$4)*(1+AB827)</f>
        <v>10</v>
      </c>
      <c r="M828" s="4" t="n">
        <f aca="false">L828+MAX(K828,Y$10:Y827)</f>
        <v>9543.87656701449</v>
      </c>
      <c r="N828" s="4" t="n">
        <f aca="false">K828</f>
        <v>9525.93045519177</v>
      </c>
      <c r="O828" s="4" t="n">
        <f aca="false">M828-K828</f>
        <v>17.9461118227209</v>
      </c>
      <c r="P828" s="4" t="n">
        <f aca="false">N828-K828</f>
        <v>0</v>
      </c>
      <c r="Q828" s="4" t="n">
        <f aca="false">A828-MATCH(K828,$M$9:M827,1)</f>
        <v>1</v>
      </c>
      <c r="R828" s="0" t="n">
        <f aca="false">-G828*(O828/3600)</f>
        <v>-0.0816318390571105</v>
      </c>
      <c r="S828" s="0" t="n">
        <f aca="false">-1*I828-(H828*(P828/3600))</f>
        <v>-19.5</v>
      </c>
      <c r="T828" s="0" t="n">
        <f aca="false">-H828*(O828/3600)</f>
        <v>-0.242256834542871</v>
      </c>
      <c r="U828" s="0" t="n">
        <f aca="false">T828-S828</f>
        <v>19.2577431654571</v>
      </c>
      <c r="V828" s="0" t="n">
        <f aca="false">1/(1+EXP(U828))</f>
        <v>4.3298056962379E-009</v>
      </c>
      <c r="W828" s="0" t="n">
        <f aca="true">RAND()</f>
        <v>0.575688296312498</v>
      </c>
      <c r="X828" s="0" t="n">
        <f aca="false">IF(W828&lt;V828,1,0)</f>
        <v>0</v>
      </c>
      <c r="Y828" s="0" t="n">
        <f aca="false">(M828*(1-X828)+N828*X828)*D828+M828*E828</f>
        <v>9543.87656701449</v>
      </c>
      <c r="Z828" s="0" t="n">
        <f aca="false">((1-X828)*O828+X828*P828)*D828+E828*O828</f>
        <v>17.9461118227209</v>
      </c>
      <c r="AA828" s="0" t="n">
        <f aca="false">IF(D828*X828&gt;0,AA827,Q828)</f>
        <v>1</v>
      </c>
      <c r="AB828" s="0" t="n">
        <f aca="false">(X828*D828)</f>
        <v>0</v>
      </c>
      <c r="AC828" s="0" t="n">
        <f aca="false">SUM(AB$10:AB827)/K828</f>
        <v>0.000104976621937754</v>
      </c>
      <c r="AD828" s="0" t="n">
        <f aca="false">R828*E828+D828*(X828*S828+(1-X828)*T828)</f>
        <v>-0.0816318390571105</v>
      </c>
      <c r="AE828" s="0" t="n">
        <f aca="false">Z828</f>
        <v>17.9461118227209</v>
      </c>
      <c r="AF828" s="0" t="n">
        <f aca="false">E828*O828</f>
        <v>17.9461118227209</v>
      </c>
      <c r="AG828" s="0" t="n">
        <f aca="false">((1-X828)*O828+X828*P828)*D828</f>
        <v>0</v>
      </c>
      <c r="AH828" s="0" t="n">
        <f aca="false">D828*(LN(EXP(S828)+EXP(T828)))</f>
        <v>-0</v>
      </c>
      <c r="AJ828" s="0" t="n">
        <f aca="false">$J$5</f>
        <v>10</v>
      </c>
      <c r="AK828" s="4" t="n">
        <f aca="false">AJ828+MAX(K828,AK$10:AK827)</f>
        <v>9543.87656701449</v>
      </c>
      <c r="AL828" s="5" t="n">
        <f aca="false">AK828-K828</f>
        <v>17.9461118227209</v>
      </c>
      <c r="AM828" s="0" t="n">
        <f aca="false">-G828*AL828/3600</f>
        <v>-0.0816318390571105</v>
      </c>
      <c r="AN828" s="0" t="n">
        <f aca="false">-H828*AL828/3600</f>
        <v>-0.242256834542871</v>
      </c>
      <c r="AO828" s="0" t="n">
        <f aca="false">AM828*E828+AN828*D828</f>
        <v>-0.0816318390571105</v>
      </c>
      <c r="AP828" s="0" t="n">
        <f aca="false">AL828*D828</f>
        <v>0</v>
      </c>
      <c r="AR828" s="0" t="n">
        <f aca="false">AN828*D828</f>
        <v>-0</v>
      </c>
      <c r="AS828" s="0" t="n">
        <f aca="false">AH828-AR828</f>
        <v>0</v>
      </c>
    </row>
    <row r="829" customFormat="false" ht="12" hidden="false" customHeight="false" outlineLevel="0" collapsed="false">
      <c r="A829" s="3" t="n">
        <f aca="false">A828+1</f>
        <v>820</v>
      </c>
      <c r="B829" s="3" t="n">
        <f aca="false">IF(A829&lt;$N$4/3,0.1,(IF(A829&gt;2*$N$4/3,0.05,0.12)))</f>
        <v>0.05</v>
      </c>
      <c r="C829" s="4" t="n">
        <f aca="true">RAND()</f>
        <v>0.308298951630066</v>
      </c>
      <c r="D829" s="0" t="n">
        <f aca="false">IF((C829&gt;$M$2),1,0)</f>
        <v>0</v>
      </c>
      <c r="E829" s="0" t="n">
        <f aca="false">1-D829</f>
        <v>1</v>
      </c>
      <c r="F829" s="0" t="n">
        <f aca="true">RAND()</f>
        <v>0.925369800423718</v>
      </c>
      <c r="G829" s="0" t="n">
        <f aca="false">7.75+F829*10</f>
        <v>17.0036980042372</v>
      </c>
      <c r="H829" s="0" t="n">
        <f aca="false">LOGINV(F829,2.64,1.139)</f>
        <v>72.4290520116694</v>
      </c>
      <c r="I829" s="0" t="n">
        <v>19.5</v>
      </c>
      <c r="J829" s="4" t="n">
        <f aca="true">-LN(RAND())/B829</f>
        <v>10.9726046922799</v>
      </c>
      <c r="K829" s="4" t="n">
        <f aca="false">K828+J829</f>
        <v>9536.90305988405</v>
      </c>
      <c r="L829" s="4" t="n">
        <f aca="false">(1/$J$4)*(1+AB828)</f>
        <v>10</v>
      </c>
      <c r="M829" s="4" t="n">
        <f aca="false">L829+MAX(K829,Y$10:Y828)</f>
        <v>9553.87656701449</v>
      </c>
      <c r="N829" s="4" t="n">
        <f aca="false">K829</f>
        <v>9536.90305988405</v>
      </c>
      <c r="O829" s="4" t="n">
        <f aca="false">M829-K829</f>
        <v>16.9735071304403</v>
      </c>
      <c r="P829" s="4" t="n">
        <f aca="false">N829-K829</f>
        <v>0</v>
      </c>
      <c r="Q829" s="4" t="n">
        <f aca="false">A829-MATCH(K829,$M$9:M828,1)</f>
        <v>1</v>
      </c>
      <c r="R829" s="0" t="n">
        <f aca="false">-G829*(O829/3600)</f>
        <v>-0.0801701081441039</v>
      </c>
      <c r="S829" s="0" t="n">
        <f aca="false">-1*I829-(H829*(P829/3600))</f>
        <v>-19.5</v>
      </c>
      <c r="T829" s="0" t="n">
        <f aca="false">-H829*(O829/3600)</f>
        <v>-0.341493064103085</v>
      </c>
      <c r="U829" s="0" t="n">
        <f aca="false">T829-S829</f>
        <v>19.1585069358969</v>
      </c>
      <c r="V829" s="0" t="n">
        <f aca="false">1/(1+EXP(U829))</f>
        <v>4.78152195411884E-009</v>
      </c>
      <c r="W829" s="0" t="n">
        <f aca="true">RAND()</f>
        <v>0.198309766260219</v>
      </c>
      <c r="X829" s="0" t="n">
        <f aca="false">IF(W829&lt;V829,1,0)</f>
        <v>0</v>
      </c>
      <c r="Y829" s="0" t="n">
        <f aca="false">(M829*(1-X829)+N829*X829)*D829+M829*E829</f>
        <v>9553.87656701449</v>
      </c>
      <c r="Z829" s="0" t="n">
        <f aca="false">((1-X829)*O829+X829*P829)*D829+E829*O829</f>
        <v>16.9735071304403</v>
      </c>
      <c r="AA829" s="0" t="n">
        <f aca="false">IF(D829*X829&gt;0,AA828,Q829)</f>
        <v>1</v>
      </c>
      <c r="AB829" s="0" t="n">
        <f aca="false">(X829*D829)</f>
        <v>0</v>
      </c>
      <c r="AC829" s="0" t="n">
        <f aca="false">SUM(AB$10:AB828)/K829</f>
        <v>0.000104855841956326</v>
      </c>
      <c r="AD829" s="0" t="n">
        <f aca="false">R829*E829+D829*(X829*S829+(1-X829)*T829)</f>
        <v>-0.0801701081441039</v>
      </c>
      <c r="AE829" s="0" t="n">
        <f aca="false">Z829</f>
        <v>16.9735071304403</v>
      </c>
      <c r="AF829" s="0" t="n">
        <f aca="false">E829*O829</f>
        <v>16.9735071304403</v>
      </c>
      <c r="AG829" s="0" t="n">
        <f aca="false">((1-X829)*O829+X829*P829)*D829</f>
        <v>0</v>
      </c>
      <c r="AH829" s="0" t="n">
        <f aca="false">D829*(LN(EXP(S829)+EXP(T829)))</f>
        <v>-0</v>
      </c>
      <c r="AJ829" s="0" t="n">
        <f aca="false">$J$5</f>
        <v>10</v>
      </c>
      <c r="AK829" s="4" t="n">
        <f aca="false">AJ829+MAX(K829,AK$10:AK828)</f>
        <v>9553.87656701449</v>
      </c>
      <c r="AL829" s="5" t="n">
        <f aca="false">AK829-K829</f>
        <v>16.9735071304403</v>
      </c>
      <c r="AM829" s="0" t="n">
        <f aca="false">-G829*AL829/3600</f>
        <v>-0.0801701081441039</v>
      </c>
      <c r="AN829" s="0" t="n">
        <f aca="false">-H829*AL829/3600</f>
        <v>-0.341493064103085</v>
      </c>
      <c r="AO829" s="0" t="n">
        <f aca="false">AM829*E829+AN829*D829</f>
        <v>-0.0801701081441039</v>
      </c>
      <c r="AP829" s="0" t="n">
        <f aca="false">AL829*D829</f>
        <v>0</v>
      </c>
      <c r="AR829" s="0" t="n">
        <f aca="false">AN829*D829</f>
        <v>-0</v>
      </c>
      <c r="AS829" s="0" t="n">
        <f aca="false">AH829-AR829</f>
        <v>0</v>
      </c>
    </row>
    <row r="830" customFormat="false" ht="12" hidden="false" customHeight="false" outlineLevel="0" collapsed="false">
      <c r="A830" s="3" t="n">
        <f aca="false">A829+1</f>
        <v>821</v>
      </c>
      <c r="B830" s="3" t="n">
        <f aca="false">IF(A830&lt;$N$4/3,0.1,(IF(A830&gt;2*$N$4/3,0.05,0.12)))</f>
        <v>0.05</v>
      </c>
      <c r="C830" s="4" t="n">
        <f aca="true">RAND()</f>
        <v>0.650695866254487</v>
      </c>
      <c r="D830" s="0" t="n">
        <f aca="false">IF((C830&gt;$M$2),1,0)</f>
        <v>0</v>
      </c>
      <c r="E830" s="0" t="n">
        <f aca="false">1-D830</f>
        <v>1</v>
      </c>
      <c r="F830" s="0" t="n">
        <f aca="true">RAND()</f>
        <v>0.325893537123196</v>
      </c>
      <c r="G830" s="0" t="n">
        <f aca="false">7.75+F830*10</f>
        <v>11.008935371232</v>
      </c>
      <c r="H830" s="0" t="n">
        <f aca="false">LOGINV(F830,2.64,1.139)</f>
        <v>8.38119914223946</v>
      </c>
      <c r="I830" s="0" t="n">
        <v>19.5</v>
      </c>
      <c r="J830" s="4" t="n">
        <f aca="true">-LN(RAND())/B830</f>
        <v>1.07265907938338</v>
      </c>
      <c r="K830" s="4" t="n">
        <f aca="false">K829+J830</f>
        <v>9537.97571896344</v>
      </c>
      <c r="L830" s="4" t="n">
        <f aca="false">(1/$J$4)*(1+AB829)</f>
        <v>10</v>
      </c>
      <c r="M830" s="4" t="n">
        <f aca="false">L830+MAX(K830,Y$10:Y829)</f>
        <v>9563.87656701449</v>
      </c>
      <c r="N830" s="4" t="n">
        <f aca="false">K830</f>
        <v>9537.97571896344</v>
      </c>
      <c r="O830" s="4" t="n">
        <f aca="false">M830-K830</f>
        <v>25.9008480510565</v>
      </c>
      <c r="P830" s="4" t="n">
        <f aca="false">N830-K830</f>
        <v>0</v>
      </c>
      <c r="Q830" s="4" t="n">
        <f aca="false">A830-MATCH(K830,$M$9:M829,1)</f>
        <v>2</v>
      </c>
      <c r="R830" s="0" t="n">
        <f aca="false">-G830*(O830/3600)</f>
        <v>-0.0792057672928279</v>
      </c>
      <c r="S830" s="0" t="n">
        <f aca="false">-1*I830-(H830*(P830/3600))</f>
        <v>-19.5</v>
      </c>
      <c r="T830" s="0" t="n">
        <f aca="false">-H830*(O830/3600)</f>
        <v>-0.0603000459635526</v>
      </c>
      <c r="U830" s="0" t="n">
        <f aca="false">T830-S830</f>
        <v>19.4396999540365</v>
      </c>
      <c r="V830" s="0" t="n">
        <f aca="false">1/(1+EXP(U830))</f>
        <v>3.60948780244952E-009</v>
      </c>
      <c r="W830" s="0" t="n">
        <f aca="true">RAND()</f>
        <v>0.925044209499363</v>
      </c>
      <c r="X830" s="0" t="n">
        <f aca="false">IF(W830&lt;V830,1,0)</f>
        <v>0</v>
      </c>
      <c r="Y830" s="0" t="n">
        <f aca="false">(M830*(1-X830)+N830*X830)*D830+M830*E830</f>
        <v>9563.87656701449</v>
      </c>
      <c r="Z830" s="0" t="n">
        <f aca="false">((1-X830)*O830+X830*P830)*D830+E830*O830</f>
        <v>25.9008480510565</v>
      </c>
      <c r="AA830" s="0" t="n">
        <f aca="false">IF(D830*X830&gt;0,AA829,Q830)</f>
        <v>2</v>
      </c>
      <c r="AB830" s="0" t="n">
        <f aca="false">(X830*D830)</f>
        <v>0</v>
      </c>
      <c r="AC830" s="0" t="n">
        <f aca="false">SUM(AB$10:AB829)/K830</f>
        <v>0.000104844049666828</v>
      </c>
      <c r="AD830" s="0" t="n">
        <f aca="false">R830*E830+D830*(X830*S830+(1-X830)*T830)</f>
        <v>-0.0792057672928279</v>
      </c>
      <c r="AE830" s="0" t="n">
        <f aca="false">Z830</f>
        <v>25.9008480510565</v>
      </c>
      <c r="AF830" s="0" t="n">
        <f aca="false">E830*O830</f>
        <v>25.9008480510565</v>
      </c>
      <c r="AG830" s="0" t="n">
        <f aca="false">((1-X830)*O830+X830*P830)*D830</f>
        <v>0</v>
      </c>
      <c r="AH830" s="0" t="n">
        <f aca="false">D830*(LN(EXP(S830)+EXP(T830)))</f>
        <v>-0</v>
      </c>
      <c r="AJ830" s="0" t="n">
        <f aca="false">$J$5</f>
        <v>10</v>
      </c>
      <c r="AK830" s="4" t="n">
        <f aca="false">AJ830+MAX(K830,AK$10:AK829)</f>
        <v>9563.87656701449</v>
      </c>
      <c r="AL830" s="5" t="n">
        <f aca="false">AK830-K830</f>
        <v>25.9008480510565</v>
      </c>
      <c r="AM830" s="0" t="n">
        <f aca="false">-G830*AL830/3600</f>
        <v>-0.0792057672928279</v>
      </c>
      <c r="AN830" s="0" t="n">
        <f aca="false">-H830*AL830/3600</f>
        <v>-0.0603000459635526</v>
      </c>
      <c r="AO830" s="0" t="n">
        <f aca="false">AM830*E830+AN830*D830</f>
        <v>-0.0792057672928279</v>
      </c>
      <c r="AP830" s="0" t="n">
        <f aca="false">AL830*D830</f>
        <v>0</v>
      </c>
      <c r="AR830" s="0" t="n">
        <f aca="false">AN830*D830</f>
        <v>-0</v>
      </c>
      <c r="AS830" s="0" t="n">
        <f aca="false">AH830-AR830</f>
        <v>0</v>
      </c>
    </row>
    <row r="831" customFormat="false" ht="12" hidden="false" customHeight="false" outlineLevel="0" collapsed="false">
      <c r="A831" s="3" t="n">
        <f aca="false">A830+1</f>
        <v>822</v>
      </c>
      <c r="B831" s="3" t="n">
        <f aca="false">IF(A831&lt;$N$4/3,0.1,(IF(A831&gt;2*$N$4/3,0.05,0.12)))</f>
        <v>0.05</v>
      </c>
      <c r="C831" s="4" t="n">
        <f aca="true">RAND()</f>
        <v>0.306171027012829</v>
      </c>
      <c r="D831" s="0" t="n">
        <f aca="false">IF((C831&gt;$M$2),1,0)</f>
        <v>0</v>
      </c>
      <c r="E831" s="0" t="n">
        <f aca="false">1-D831</f>
        <v>1</v>
      </c>
      <c r="F831" s="0" t="n">
        <f aca="true">RAND()</f>
        <v>0.497409614737999</v>
      </c>
      <c r="G831" s="0" t="n">
        <f aca="false">7.75+F831*10</f>
        <v>12.72409614738</v>
      </c>
      <c r="H831" s="0" t="n">
        <f aca="false">LOGINV(F831,2.64,1.139)</f>
        <v>13.9099480278496</v>
      </c>
      <c r="I831" s="0" t="n">
        <v>19.5</v>
      </c>
      <c r="J831" s="4" t="n">
        <f aca="true">-LN(RAND())/B831</f>
        <v>17.1527833081176</v>
      </c>
      <c r="K831" s="4" t="n">
        <f aca="false">K830+J831</f>
        <v>9555.12850227156</v>
      </c>
      <c r="L831" s="4" t="n">
        <f aca="false">(1/$J$4)*(1+AB830)</f>
        <v>10</v>
      </c>
      <c r="M831" s="4" t="n">
        <f aca="false">L831+MAX(K831,Y$10:Y830)</f>
        <v>9573.87656701449</v>
      </c>
      <c r="N831" s="4" t="n">
        <f aca="false">K831</f>
        <v>9555.12850227156</v>
      </c>
      <c r="O831" s="4" t="n">
        <f aca="false">M831-K831</f>
        <v>18.7480647429384</v>
      </c>
      <c r="P831" s="4" t="n">
        <f aca="false">N831-K831</f>
        <v>0</v>
      </c>
      <c r="Q831" s="4" t="n">
        <f aca="false">A831-MATCH(K831,$M$9:M830,1)</f>
        <v>1</v>
      </c>
      <c r="R831" s="0" t="n">
        <f aca="false">-G831*(O831/3600)</f>
        <v>-0.0662644939906813</v>
      </c>
      <c r="S831" s="0" t="n">
        <f aca="false">-1*I831-(H831*(P831/3600))</f>
        <v>-19.5</v>
      </c>
      <c r="T831" s="0" t="n">
        <f aca="false">-H831*(O831/3600)</f>
        <v>-0.0724401683880645</v>
      </c>
      <c r="U831" s="0" t="n">
        <f aca="false">T831-S831</f>
        <v>19.4275598316119</v>
      </c>
      <c r="V831" s="0" t="n">
        <f aca="false">1/(1+EXP(U831))</f>
        <v>3.65357449354839E-009</v>
      </c>
      <c r="W831" s="0" t="n">
        <f aca="true">RAND()</f>
        <v>0.417619381602915</v>
      </c>
      <c r="X831" s="0" t="n">
        <f aca="false">IF(W831&lt;V831,1,0)</f>
        <v>0</v>
      </c>
      <c r="Y831" s="0" t="n">
        <f aca="false">(M831*(1-X831)+N831*X831)*D831+M831*E831</f>
        <v>9573.87656701449</v>
      </c>
      <c r="Z831" s="0" t="n">
        <f aca="false">((1-X831)*O831+X831*P831)*D831+E831*O831</f>
        <v>18.7480647429384</v>
      </c>
      <c r="AA831" s="0" t="n">
        <f aca="false">IF(D831*X831&gt;0,AA830,Q831)</f>
        <v>1</v>
      </c>
      <c r="AB831" s="0" t="n">
        <f aca="false">(X831*D831)</f>
        <v>0</v>
      </c>
      <c r="AC831" s="0" t="n">
        <f aca="false">SUM(AB$10:AB830)/K831</f>
        <v>0.000104655840030018</v>
      </c>
      <c r="AD831" s="0" t="n">
        <f aca="false">R831*E831+D831*(X831*S831+(1-X831)*T831)</f>
        <v>-0.0662644939906813</v>
      </c>
      <c r="AE831" s="0" t="n">
        <f aca="false">Z831</f>
        <v>18.7480647429384</v>
      </c>
      <c r="AF831" s="0" t="n">
        <f aca="false">E831*O831</f>
        <v>18.7480647429384</v>
      </c>
      <c r="AG831" s="0" t="n">
        <f aca="false">((1-X831)*O831+X831*P831)*D831</f>
        <v>0</v>
      </c>
      <c r="AH831" s="0" t="n">
        <f aca="false">D831*(LN(EXP(S831)+EXP(T831)))</f>
        <v>-0</v>
      </c>
      <c r="AJ831" s="0" t="n">
        <f aca="false">$J$5</f>
        <v>10</v>
      </c>
      <c r="AK831" s="4" t="n">
        <f aca="false">AJ831+MAX(K831,AK$10:AK830)</f>
        <v>9573.87656701449</v>
      </c>
      <c r="AL831" s="5" t="n">
        <f aca="false">AK831-K831</f>
        <v>18.7480647429384</v>
      </c>
      <c r="AM831" s="0" t="n">
        <f aca="false">-G831*AL831/3600</f>
        <v>-0.0662644939906813</v>
      </c>
      <c r="AN831" s="0" t="n">
        <f aca="false">-H831*AL831/3600</f>
        <v>-0.0724401683880645</v>
      </c>
      <c r="AO831" s="0" t="n">
        <f aca="false">AM831*E831+AN831*D831</f>
        <v>-0.0662644939906813</v>
      </c>
      <c r="AP831" s="0" t="n">
        <f aca="false">AL831*D831</f>
        <v>0</v>
      </c>
      <c r="AR831" s="0" t="n">
        <f aca="false">AN831*D831</f>
        <v>-0</v>
      </c>
      <c r="AS831" s="0" t="n">
        <f aca="false">AH831-AR831</f>
        <v>0</v>
      </c>
    </row>
    <row r="832" customFormat="false" ht="12" hidden="false" customHeight="false" outlineLevel="0" collapsed="false">
      <c r="A832" s="3" t="n">
        <f aca="false">A831+1</f>
        <v>823</v>
      </c>
      <c r="B832" s="3" t="n">
        <f aca="false">IF(A832&lt;$N$4/3,0.1,(IF(A832&gt;2*$N$4/3,0.05,0.12)))</f>
        <v>0.05</v>
      </c>
      <c r="C832" s="4" t="n">
        <f aca="true">RAND()</f>
        <v>0.240966224310348</v>
      </c>
      <c r="D832" s="0" t="n">
        <f aca="false">IF((C832&gt;$M$2),1,0)</f>
        <v>0</v>
      </c>
      <c r="E832" s="0" t="n">
        <f aca="false">1-D832</f>
        <v>1</v>
      </c>
      <c r="F832" s="0" t="n">
        <f aca="true">RAND()</f>
        <v>0.624335048129922</v>
      </c>
      <c r="G832" s="0" t="n">
        <f aca="false">7.75+F832*10</f>
        <v>13.9933504812992</v>
      </c>
      <c r="H832" s="0" t="n">
        <f aca="false">LOGINV(F832,2.64,1.139)</f>
        <v>20.1042946552289</v>
      </c>
      <c r="I832" s="0" t="n">
        <v>19.5</v>
      </c>
      <c r="J832" s="4" t="n">
        <f aca="true">-LN(RAND())/B832</f>
        <v>1.15647897827932</v>
      </c>
      <c r="K832" s="4" t="n">
        <f aca="false">K831+J832</f>
        <v>9556.28498124983</v>
      </c>
      <c r="L832" s="4" t="n">
        <f aca="false">(1/$J$4)*(1+AB831)</f>
        <v>10</v>
      </c>
      <c r="M832" s="4" t="n">
        <f aca="false">L832+MAX(K832,Y$10:Y831)</f>
        <v>9583.87656701449</v>
      </c>
      <c r="N832" s="4" t="n">
        <f aca="false">K832</f>
        <v>9556.28498124983</v>
      </c>
      <c r="O832" s="4" t="n">
        <f aca="false">M832-K832</f>
        <v>27.5915857646596</v>
      </c>
      <c r="P832" s="4" t="n">
        <f aca="false">N832-K832</f>
        <v>0</v>
      </c>
      <c r="Q832" s="4" t="n">
        <f aca="false">A832-MATCH(K832,$M$9:M831,1)</f>
        <v>2</v>
      </c>
      <c r="R832" s="0" t="n">
        <f aca="false">-G832*(O832/3600)</f>
        <v>-0.107249647205475</v>
      </c>
      <c r="S832" s="0" t="n">
        <f aca="false">-1*I832-(H832*(P832/3600))</f>
        <v>-19.5</v>
      </c>
      <c r="T832" s="0" t="n">
        <f aca="false">-H832*(O832/3600)</f>
        <v>-0.154085936171593</v>
      </c>
      <c r="U832" s="0" t="n">
        <f aca="false">T832-S832</f>
        <v>19.3459140638284</v>
      </c>
      <c r="V832" s="0" t="n">
        <f aca="false">1/(1+EXP(U832))</f>
        <v>3.96438909634192E-009</v>
      </c>
      <c r="W832" s="0" t="n">
        <f aca="true">RAND()</f>
        <v>0.797070162923134</v>
      </c>
      <c r="X832" s="0" t="n">
        <f aca="false">IF(W832&lt;V832,1,0)</f>
        <v>0</v>
      </c>
      <c r="Y832" s="0" t="n">
        <f aca="false">(M832*(1-X832)+N832*X832)*D832+M832*E832</f>
        <v>9583.87656701449</v>
      </c>
      <c r="Z832" s="0" t="n">
        <f aca="false">((1-X832)*O832+X832*P832)*D832+E832*O832</f>
        <v>27.5915857646596</v>
      </c>
      <c r="AA832" s="0" t="n">
        <f aca="false">IF(D832*X832&gt;0,AA831,Q832)</f>
        <v>2</v>
      </c>
      <c r="AB832" s="0" t="n">
        <f aca="false">(X832*D832)</f>
        <v>0</v>
      </c>
      <c r="AC832" s="0" t="n">
        <f aca="false">SUM(AB$10:AB831)/K832</f>
        <v>0.000104643174828092</v>
      </c>
      <c r="AD832" s="0" t="n">
        <f aca="false">R832*E832+D832*(X832*S832+(1-X832)*T832)</f>
        <v>-0.107249647205475</v>
      </c>
      <c r="AE832" s="0" t="n">
        <f aca="false">Z832</f>
        <v>27.5915857646596</v>
      </c>
      <c r="AF832" s="0" t="n">
        <f aca="false">E832*O832</f>
        <v>27.5915857646596</v>
      </c>
      <c r="AG832" s="0" t="n">
        <f aca="false">((1-X832)*O832+X832*P832)*D832</f>
        <v>0</v>
      </c>
      <c r="AH832" s="0" t="n">
        <f aca="false">D832*(LN(EXP(S832)+EXP(T832)))</f>
        <v>-0</v>
      </c>
      <c r="AJ832" s="0" t="n">
        <f aca="false">$J$5</f>
        <v>10</v>
      </c>
      <c r="AK832" s="4" t="n">
        <f aca="false">AJ832+MAX(K832,AK$10:AK831)</f>
        <v>9583.87656701449</v>
      </c>
      <c r="AL832" s="5" t="n">
        <f aca="false">AK832-K832</f>
        <v>27.5915857646596</v>
      </c>
      <c r="AM832" s="0" t="n">
        <f aca="false">-G832*AL832/3600</f>
        <v>-0.107249647205475</v>
      </c>
      <c r="AN832" s="0" t="n">
        <f aca="false">-H832*AL832/3600</f>
        <v>-0.154085936171593</v>
      </c>
      <c r="AO832" s="0" t="n">
        <f aca="false">AM832*E832+AN832*D832</f>
        <v>-0.107249647205475</v>
      </c>
      <c r="AP832" s="0" t="n">
        <f aca="false">AL832*D832</f>
        <v>0</v>
      </c>
      <c r="AR832" s="0" t="n">
        <f aca="false">AN832*D832</f>
        <v>-0</v>
      </c>
      <c r="AS832" s="0" t="n">
        <f aca="false">AH832-AR832</f>
        <v>0</v>
      </c>
    </row>
    <row r="833" customFormat="false" ht="12" hidden="false" customHeight="false" outlineLevel="0" collapsed="false">
      <c r="A833" s="3" t="n">
        <f aca="false">A832+1</f>
        <v>824</v>
      </c>
      <c r="B833" s="3" t="n">
        <f aca="false">IF(A833&lt;$N$4/3,0.1,(IF(A833&gt;2*$N$4/3,0.05,0.12)))</f>
        <v>0.05</v>
      </c>
      <c r="C833" s="4" t="n">
        <f aca="true">RAND()</f>
        <v>0.429396101544389</v>
      </c>
      <c r="D833" s="0" t="n">
        <f aca="false">IF((C833&gt;$M$2),1,0)</f>
        <v>0</v>
      </c>
      <c r="E833" s="0" t="n">
        <f aca="false">1-D833</f>
        <v>1</v>
      </c>
      <c r="F833" s="0" t="n">
        <f aca="true">RAND()</f>
        <v>0.232283632758432</v>
      </c>
      <c r="G833" s="0" t="n">
        <f aca="false">7.75+F833*10</f>
        <v>10.0728363275843</v>
      </c>
      <c r="H833" s="0" t="n">
        <f aca="false">LOGINV(F833,2.64,1.139)</f>
        <v>6.0921181831941</v>
      </c>
      <c r="I833" s="0" t="n">
        <v>19.5</v>
      </c>
      <c r="J833" s="4" t="n">
        <f aca="true">-LN(RAND())/B833</f>
        <v>24.176813014977</v>
      </c>
      <c r="K833" s="4" t="n">
        <f aca="false">K832+J833</f>
        <v>9580.46179426481</v>
      </c>
      <c r="L833" s="4" t="n">
        <f aca="false">(1/$J$4)*(1+AB832)</f>
        <v>10</v>
      </c>
      <c r="M833" s="4" t="n">
        <f aca="false">L833+MAX(K833,Y$10:Y832)</f>
        <v>9593.87656701449</v>
      </c>
      <c r="N833" s="4" t="n">
        <f aca="false">K833</f>
        <v>9580.46179426481</v>
      </c>
      <c r="O833" s="4" t="n">
        <f aca="false">M833-K833</f>
        <v>13.414772749682</v>
      </c>
      <c r="P833" s="4" t="n">
        <f aca="false">N833-K833</f>
        <v>0</v>
      </c>
      <c r="Q833" s="4" t="n">
        <f aca="false">A833-MATCH(K833,$M$9:M832,1)</f>
        <v>1</v>
      </c>
      <c r="R833" s="0" t="n">
        <f aca="false">-G833*(O833/3600)</f>
        <v>-0.0375346695220237</v>
      </c>
      <c r="S833" s="0" t="n">
        <f aca="false">-1*I833-(H833*(P833/3600))</f>
        <v>-19.5</v>
      </c>
      <c r="T833" s="0" t="n">
        <f aca="false">-H833*(O833/3600)</f>
        <v>-0.022701216942154</v>
      </c>
      <c r="U833" s="0" t="n">
        <f aca="false">T833-S833</f>
        <v>19.4772987830578</v>
      </c>
      <c r="V833" s="0" t="n">
        <f aca="false">1/(1+EXP(U833))</f>
        <v>3.47629492681078E-009</v>
      </c>
      <c r="W833" s="0" t="n">
        <f aca="true">RAND()</f>
        <v>0.0354641405089776</v>
      </c>
      <c r="X833" s="0" t="n">
        <f aca="false">IF(W833&lt;V833,1,0)</f>
        <v>0</v>
      </c>
      <c r="Y833" s="0" t="n">
        <f aca="false">(M833*(1-X833)+N833*X833)*D833+M833*E833</f>
        <v>9593.87656701449</v>
      </c>
      <c r="Z833" s="0" t="n">
        <f aca="false">((1-X833)*O833+X833*P833)*D833+E833*O833</f>
        <v>13.414772749682</v>
      </c>
      <c r="AA833" s="0" t="n">
        <f aca="false">IF(D833*X833&gt;0,AA832,Q833)</f>
        <v>1</v>
      </c>
      <c r="AB833" s="0" t="n">
        <f aca="false">(X833*D833)</f>
        <v>0</v>
      </c>
      <c r="AC833" s="0" t="n">
        <f aca="false">SUM(AB$10:AB832)/K833</f>
        <v>0.000104379102122054</v>
      </c>
      <c r="AD833" s="0" t="n">
        <f aca="false">R833*E833+D833*(X833*S833+(1-X833)*T833)</f>
        <v>-0.0375346695220237</v>
      </c>
      <c r="AE833" s="0" t="n">
        <f aca="false">Z833</f>
        <v>13.414772749682</v>
      </c>
      <c r="AF833" s="0" t="n">
        <f aca="false">E833*O833</f>
        <v>13.414772749682</v>
      </c>
      <c r="AG833" s="0" t="n">
        <f aca="false">((1-X833)*O833+X833*P833)*D833</f>
        <v>0</v>
      </c>
      <c r="AH833" s="0" t="n">
        <f aca="false">D833*(LN(EXP(S833)+EXP(T833)))</f>
        <v>-0</v>
      </c>
      <c r="AJ833" s="0" t="n">
        <f aca="false">$J$5</f>
        <v>10</v>
      </c>
      <c r="AK833" s="4" t="n">
        <f aca="false">AJ833+MAX(K833,AK$10:AK832)</f>
        <v>9593.87656701449</v>
      </c>
      <c r="AL833" s="5" t="n">
        <f aca="false">AK833-K833</f>
        <v>13.414772749682</v>
      </c>
      <c r="AM833" s="0" t="n">
        <f aca="false">-G833*AL833/3600</f>
        <v>-0.0375346695220237</v>
      </c>
      <c r="AN833" s="0" t="n">
        <f aca="false">-H833*AL833/3600</f>
        <v>-0.0227012169421541</v>
      </c>
      <c r="AO833" s="0" t="n">
        <f aca="false">AM833*E833+AN833*D833</f>
        <v>-0.0375346695220237</v>
      </c>
      <c r="AP833" s="0" t="n">
        <f aca="false">AL833*D833</f>
        <v>0</v>
      </c>
      <c r="AR833" s="0" t="n">
        <f aca="false">AN833*D833</f>
        <v>-0</v>
      </c>
      <c r="AS833" s="0" t="n">
        <f aca="false">AH833-AR833</f>
        <v>0</v>
      </c>
    </row>
    <row r="834" customFormat="false" ht="12" hidden="false" customHeight="false" outlineLevel="0" collapsed="false">
      <c r="A834" s="3" t="n">
        <f aca="false">A833+1</f>
        <v>825</v>
      </c>
      <c r="B834" s="3" t="n">
        <f aca="false">IF(A834&lt;$N$4/3,0.1,(IF(A834&gt;2*$N$4/3,0.05,0.12)))</f>
        <v>0.05</v>
      </c>
      <c r="C834" s="4" t="n">
        <f aca="true">RAND()</f>
        <v>0.956849677382322</v>
      </c>
      <c r="D834" s="0" t="n">
        <f aca="false">IF((C834&gt;$M$2),1,0)</f>
        <v>1</v>
      </c>
      <c r="E834" s="0" t="n">
        <f aca="false">1-D834</f>
        <v>0</v>
      </c>
      <c r="F834" s="0" t="n">
        <f aca="true">RAND()</f>
        <v>0.740885924471229</v>
      </c>
      <c r="G834" s="0" t="n">
        <f aca="false">7.75+F834*10</f>
        <v>15.1588592447123</v>
      </c>
      <c r="H834" s="0" t="n">
        <f aca="false">LOGINV(F834,2.64,1.139)</f>
        <v>29.2501311567791</v>
      </c>
      <c r="I834" s="0" t="n">
        <v>19.5</v>
      </c>
      <c r="J834" s="4" t="n">
        <f aca="true">-LN(RAND())/B834</f>
        <v>10.4073835945203</v>
      </c>
      <c r="K834" s="4" t="n">
        <f aca="false">K833+J834</f>
        <v>9590.86917785933</v>
      </c>
      <c r="L834" s="4" t="n">
        <f aca="false">(1/$J$4)*(1+AB833)</f>
        <v>10</v>
      </c>
      <c r="M834" s="4" t="n">
        <f aca="false">L834+MAX(K834,Y$10:Y833)</f>
        <v>9603.87656701449</v>
      </c>
      <c r="N834" s="4" t="n">
        <f aca="false">K834</f>
        <v>9590.86917785933</v>
      </c>
      <c r="O834" s="4" t="n">
        <f aca="false">M834-K834</f>
        <v>13.0073891551619</v>
      </c>
      <c r="P834" s="4" t="n">
        <f aca="false">N834-K834</f>
        <v>0</v>
      </c>
      <c r="Q834" s="4" t="n">
        <f aca="false">A834-MATCH(K834,$M$9:M833,1)</f>
        <v>1</v>
      </c>
      <c r="R834" s="0" t="n">
        <f aca="false">-G834*(O834/3600)</f>
        <v>-0.0547714392623047</v>
      </c>
      <c r="S834" s="0" t="n">
        <f aca="false">-1*I834-(H834*(P834/3600))</f>
        <v>-19.5</v>
      </c>
      <c r="T834" s="0" t="n">
        <f aca="false">-H834*(O834/3600)</f>
        <v>-0.105685510776598</v>
      </c>
      <c r="U834" s="0" t="n">
        <f aca="false">T834-S834</f>
        <v>19.3943144892234</v>
      </c>
      <c r="V834" s="0" t="n">
        <f aca="false">1/(1+EXP(U834))</f>
        <v>3.77708045177118E-009</v>
      </c>
      <c r="W834" s="0" t="n">
        <f aca="true">RAND()</f>
        <v>0.593703875014253</v>
      </c>
      <c r="X834" s="0" t="n">
        <f aca="false">IF(W834&lt;V834,1,0)</f>
        <v>0</v>
      </c>
      <c r="Y834" s="0" t="n">
        <f aca="false">(M834*(1-X834)+N834*X834)*D834+M834*E834</f>
        <v>9603.87656701449</v>
      </c>
      <c r="Z834" s="0" t="n">
        <f aca="false">((1-X834)*O834+X834*P834)*D834+E834*O834</f>
        <v>13.0073891551619</v>
      </c>
      <c r="AA834" s="0" t="n">
        <f aca="false">IF(D834*X834&gt;0,AA833,Q834)</f>
        <v>1</v>
      </c>
      <c r="AB834" s="0" t="n">
        <f aca="false">(X834*D834)</f>
        <v>0</v>
      </c>
      <c r="AC834" s="0" t="n">
        <f aca="false">SUM(AB$10:AB833)/K834</f>
        <v>0.000104265836751117</v>
      </c>
      <c r="AD834" s="0" t="n">
        <f aca="false">R834*E834+D834*(X834*S834+(1-X834)*T834)</f>
        <v>-0.105685510776598</v>
      </c>
      <c r="AE834" s="0" t="n">
        <f aca="false">Z834</f>
        <v>13.0073891551619</v>
      </c>
      <c r="AF834" s="0" t="n">
        <f aca="false">E834*O834</f>
        <v>0</v>
      </c>
      <c r="AG834" s="0" t="n">
        <f aca="false">((1-X834)*O834+X834*P834)*D834</f>
        <v>13.0073891551619</v>
      </c>
      <c r="AH834" s="0" t="n">
        <f aca="false">D834*(LN(EXP(S834)+EXP(T834)))</f>
        <v>-0.105685506999518</v>
      </c>
      <c r="AJ834" s="0" t="n">
        <f aca="false">$J$5</f>
        <v>10</v>
      </c>
      <c r="AK834" s="4" t="n">
        <f aca="false">AJ834+MAX(K834,AK$10:AK833)</f>
        <v>9603.87656701449</v>
      </c>
      <c r="AL834" s="5" t="n">
        <f aca="false">AK834-K834</f>
        <v>13.0073891551619</v>
      </c>
      <c r="AM834" s="0" t="n">
        <f aca="false">-G834*AL834/3600</f>
        <v>-0.0547714392623047</v>
      </c>
      <c r="AN834" s="0" t="n">
        <f aca="false">-H834*AL834/3600</f>
        <v>-0.105685510776598</v>
      </c>
      <c r="AO834" s="0" t="n">
        <f aca="false">AM834*E834+AN834*D834</f>
        <v>-0.105685510776598</v>
      </c>
      <c r="AP834" s="0" t="n">
        <f aca="false">AL834*D834</f>
        <v>13.0073891551619</v>
      </c>
      <c r="AR834" s="0" t="n">
        <f aca="false">AN834*D834</f>
        <v>-0.105685510776598</v>
      </c>
      <c r="AS834" s="0" t="n">
        <f aca="false">AH834-AR834</f>
        <v>3.77708037069269E-009</v>
      </c>
    </row>
    <row r="835" customFormat="false" ht="12" hidden="false" customHeight="false" outlineLevel="0" collapsed="false">
      <c r="A835" s="3" t="n">
        <f aca="false">A834+1</f>
        <v>826</v>
      </c>
      <c r="B835" s="3" t="n">
        <f aca="false">IF(A835&lt;$N$4/3,0.1,(IF(A835&gt;2*$N$4/3,0.05,0.12)))</f>
        <v>0.05</v>
      </c>
      <c r="C835" s="4" t="n">
        <f aca="true">RAND()</f>
        <v>0.484372569292516</v>
      </c>
      <c r="D835" s="0" t="n">
        <f aca="false">IF((C835&gt;$M$2),1,0)</f>
        <v>0</v>
      </c>
      <c r="E835" s="0" t="n">
        <f aca="false">1-D835</f>
        <v>1</v>
      </c>
      <c r="F835" s="0" t="n">
        <f aca="true">RAND()</f>
        <v>0.496827092536263</v>
      </c>
      <c r="G835" s="0" t="n">
        <f aca="false">7.75+F835*10</f>
        <v>12.7182709253626</v>
      </c>
      <c r="H835" s="0" t="n">
        <f aca="false">LOGINV(F835,2.64,1.139)</f>
        <v>13.8868326012475</v>
      </c>
      <c r="I835" s="0" t="n">
        <v>19.5</v>
      </c>
      <c r="J835" s="4" t="n">
        <f aca="true">-LN(RAND())/B835</f>
        <v>45.0905883255445</v>
      </c>
      <c r="K835" s="4" t="n">
        <f aca="false">K834+J835</f>
        <v>9635.95976618488</v>
      </c>
      <c r="L835" s="4" t="n">
        <f aca="false">(1/$J$4)*(1+AB834)</f>
        <v>10</v>
      </c>
      <c r="M835" s="4" t="n">
        <f aca="false">L835+MAX(K835,Y$10:Y834)</f>
        <v>9645.95976618488</v>
      </c>
      <c r="N835" s="4" t="n">
        <f aca="false">K835</f>
        <v>9635.95976618488</v>
      </c>
      <c r="O835" s="4" t="n">
        <f aca="false">M835-K835</f>
        <v>10</v>
      </c>
      <c r="P835" s="4" t="n">
        <f aca="false">N835-K835</f>
        <v>0</v>
      </c>
      <c r="Q835" s="4" t="n">
        <f aca="false">A835-MATCH(K835,$M$9:M834,1)</f>
        <v>0</v>
      </c>
      <c r="R835" s="0" t="n">
        <f aca="false">-G835*(O835/3600)</f>
        <v>-0.0353285303482295</v>
      </c>
      <c r="S835" s="0" t="n">
        <f aca="false">-1*I835-(H835*(P835/3600))</f>
        <v>-19.5</v>
      </c>
      <c r="T835" s="0" t="n">
        <f aca="false">-H835*(O835/3600)</f>
        <v>-0.0385745350034652</v>
      </c>
      <c r="U835" s="0" t="n">
        <f aca="false">T835-S835</f>
        <v>19.4614254649965</v>
      </c>
      <c r="V835" s="0" t="n">
        <f aca="false">1/(1+EXP(U835))</f>
        <v>3.53191553561847E-009</v>
      </c>
      <c r="W835" s="0" t="n">
        <f aca="true">RAND()</f>
        <v>0.00409996853978737</v>
      </c>
      <c r="X835" s="0" t="n">
        <f aca="false">IF(W835&lt;V835,1,0)</f>
        <v>0</v>
      </c>
      <c r="Y835" s="0" t="n">
        <f aca="false">(M835*(1-X835)+N835*X835)*D835+M835*E835</f>
        <v>9645.95976618488</v>
      </c>
      <c r="Z835" s="0" t="n">
        <f aca="false">((1-X835)*O835+X835*P835)*D835+E835*O835</f>
        <v>10</v>
      </c>
      <c r="AA835" s="0" t="n">
        <f aca="false">IF(D835*X835&gt;0,AA834,Q835)</f>
        <v>0</v>
      </c>
      <c r="AB835" s="0" t="n">
        <f aca="false">(X835*D835)</f>
        <v>0</v>
      </c>
      <c r="AC835" s="0" t="n">
        <f aca="false">SUM(AB$10:AB834)/K835</f>
        <v>0.000103777934348508</v>
      </c>
      <c r="AD835" s="0" t="n">
        <f aca="false">R835*E835+D835*(X835*S835+(1-X835)*T835)</f>
        <v>-0.0353285303482295</v>
      </c>
      <c r="AE835" s="0" t="n">
        <f aca="false">Z835</f>
        <v>10</v>
      </c>
      <c r="AF835" s="0" t="n">
        <f aca="false">E835*O835</f>
        <v>10</v>
      </c>
      <c r="AG835" s="0" t="n">
        <f aca="false">((1-X835)*O835+X835*P835)*D835</f>
        <v>0</v>
      </c>
      <c r="AH835" s="0" t="n">
        <f aca="false">D835*(LN(EXP(S835)+EXP(T835)))</f>
        <v>-0</v>
      </c>
      <c r="AJ835" s="0" t="n">
        <f aca="false">$J$5</f>
        <v>10</v>
      </c>
      <c r="AK835" s="4" t="n">
        <f aca="false">AJ835+MAX(K835,AK$10:AK834)</f>
        <v>9645.95976618488</v>
      </c>
      <c r="AL835" s="5" t="n">
        <f aca="false">AK835-K835</f>
        <v>10</v>
      </c>
      <c r="AM835" s="0" t="n">
        <f aca="false">-G835*AL835/3600</f>
        <v>-0.0353285303482295</v>
      </c>
      <c r="AN835" s="0" t="n">
        <f aca="false">-H835*AL835/3600</f>
        <v>-0.0385745350034652</v>
      </c>
      <c r="AO835" s="0" t="n">
        <f aca="false">AM835*E835+AN835*D835</f>
        <v>-0.0353285303482295</v>
      </c>
      <c r="AP835" s="0" t="n">
        <f aca="false">AL835*D835</f>
        <v>0</v>
      </c>
      <c r="AR835" s="0" t="n">
        <f aca="false">AN835*D835</f>
        <v>-0</v>
      </c>
      <c r="AS835" s="0" t="n">
        <f aca="false">AH835-AR835</f>
        <v>0</v>
      </c>
    </row>
    <row r="836" customFormat="false" ht="12" hidden="false" customHeight="false" outlineLevel="0" collapsed="false">
      <c r="A836" s="3" t="n">
        <f aca="false">A835+1</f>
        <v>827</v>
      </c>
      <c r="B836" s="3" t="n">
        <f aca="false">IF(A836&lt;$N$4/3,0.1,(IF(A836&gt;2*$N$4/3,0.05,0.12)))</f>
        <v>0.05</v>
      </c>
      <c r="C836" s="4" t="n">
        <f aca="true">RAND()</f>
        <v>0.102630871604486</v>
      </c>
      <c r="D836" s="0" t="n">
        <f aca="false">IF((C836&gt;$M$2),1,0)</f>
        <v>0</v>
      </c>
      <c r="E836" s="0" t="n">
        <f aca="false">1-D836</f>
        <v>1</v>
      </c>
      <c r="F836" s="0" t="n">
        <f aca="true">RAND()</f>
        <v>0.341705644547408</v>
      </c>
      <c r="G836" s="0" t="n">
        <f aca="false">7.75+F836*10</f>
        <v>11.1670564454741</v>
      </c>
      <c r="H836" s="0" t="n">
        <f aca="false">LOGINV(F836,2.64,1.139)</f>
        <v>8.80660043679994</v>
      </c>
      <c r="I836" s="0" t="n">
        <v>19.5</v>
      </c>
      <c r="J836" s="4" t="n">
        <f aca="true">-LN(RAND())/B836</f>
        <v>10.1961425139212</v>
      </c>
      <c r="K836" s="4" t="n">
        <f aca="false">K835+J836</f>
        <v>9646.1559086988</v>
      </c>
      <c r="L836" s="4" t="n">
        <f aca="false">(1/$J$4)*(1+AB835)</f>
        <v>10</v>
      </c>
      <c r="M836" s="4" t="n">
        <f aca="false">L836+MAX(K836,Y$10:Y835)</f>
        <v>9656.1559086988</v>
      </c>
      <c r="N836" s="4" t="n">
        <f aca="false">K836</f>
        <v>9646.1559086988</v>
      </c>
      <c r="O836" s="4" t="n">
        <f aca="false">M836-K836</f>
        <v>10</v>
      </c>
      <c r="P836" s="4" t="n">
        <f aca="false">N836-K836</f>
        <v>0</v>
      </c>
      <c r="Q836" s="4" t="n">
        <f aca="false">A836-MATCH(K836,$M$9:M835,1)</f>
        <v>0</v>
      </c>
      <c r="R836" s="0" t="n">
        <f aca="false">-G836*(O836/3600)</f>
        <v>-0.031019601237428</v>
      </c>
      <c r="S836" s="0" t="n">
        <f aca="false">-1*I836-(H836*(P836/3600))</f>
        <v>-19.5</v>
      </c>
      <c r="T836" s="0" t="n">
        <f aca="false">-H836*(O836/3600)</f>
        <v>-0.0244627789911109</v>
      </c>
      <c r="U836" s="0" t="n">
        <f aca="false">T836-S836</f>
        <v>19.4755372210089</v>
      </c>
      <c r="V836" s="0" t="n">
        <f aca="false">1/(1+EXP(U836))</f>
        <v>3.48242403281884E-009</v>
      </c>
      <c r="W836" s="0" t="n">
        <f aca="true">RAND()</f>
        <v>0.776623599894313</v>
      </c>
      <c r="X836" s="0" t="n">
        <f aca="false">IF(W836&lt;V836,1,0)</f>
        <v>0</v>
      </c>
      <c r="Y836" s="0" t="n">
        <f aca="false">(M836*(1-X836)+N836*X836)*D836+M836*E836</f>
        <v>9656.1559086988</v>
      </c>
      <c r="Z836" s="0" t="n">
        <f aca="false">((1-X836)*O836+X836*P836)*D836+E836*O836</f>
        <v>10</v>
      </c>
      <c r="AA836" s="0" t="n">
        <f aca="false">IF(D836*X836&gt;0,AA835,Q836)</f>
        <v>0</v>
      </c>
      <c r="AB836" s="0" t="n">
        <f aca="false">(X836*D836)</f>
        <v>0</v>
      </c>
      <c r="AC836" s="0" t="n">
        <f aca="false">SUM(AB$10:AB835)/K836</f>
        <v>0.000103668239396609</v>
      </c>
      <c r="AD836" s="0" t="n">
        <f aca="false">R836*E836+D836*(X836*S836+(1-X836)*T836)</f>
        <v>-0.031019601237428</v>
      </c>
      <c r="AE836" s="0" t="n">
        <f aca="false">Z836</f>
        <v>10</v>
      </c>
      <c r="AF836" s="0" t="n">
        <f aca="false">E836*O836</f>
        <v>10</v>
      </c>
      <c r="AG836" s="0" t="n">
        <f aca="false">((1-X836)*O836+X836*P836)*D836</f>
        <v>0</v>
      </c>
      <c r="AH836" s="0" t="n">
        <f aca="false">D836*(LN(EXP(S836)+EXP(T836)))</f>
        <v>-0</v>
      </c>
      <c r="AJ836" s="0" t="n">
        <f aca="false">$J$5</f>
        <v>10</v>
      </c>
      <c r="AK836" s="4" t="n">
        <f aca="false">AJ836+MAX(K836,AK$10:AK835)</f>
        <v>9656.1559086988</v>
      </c>
      <c r="AL836" s="5" t="n">
        <f aca="false">AK836-K836</f>
        <v>10</v>
      </c>
      <c r="AM836" s="0" t="n">
        <f aca="false">-G836*AL836/3600</f>
        <v>-0.031019601237428</v>
      </c>
      <c r="AN836" s="0" t="n">
        <f aca="false">-H836*AL836/3600</f>
        <v>-0.0244627789911109</v>
      </c>
      <c r="AO836" s="0" t="n">
        <f aca="false">AM836*E836+AN836*D836</f>
        <v>-0.031019601237428</v>
      </c>
      <c r="AP836" s="0" t="n">
        <f aca="false">AL836*D836</f>
        <v>0</v>
      </c>
      <c r="AR836" s="0" t="n">
        <f aca="false">AN836*D836</f>
        <v>-0</v>
      </c>
      <c r="AS836" s="0" t="n">
        <f aca="false">AH836-AR836</f>
        <v>0</v>
      </c>
    </row>
    <row r="837" customFormat="false" ht="12" hidden="false" customHeight="false" outlineLevel="0" collapsed="false">
      <c r="A837" s="3" t="n">
        <f aca="false">A836+1</f>
        <v>828</v>
      </c>
      <c r="B837" s="3" t="n">
        <f aca="false">IF(A837&lt;$N$4/3,0.1,(IF(A837&gt;2*$N$4/3,0.05,0.12)))</f>
        <v>0.05</v>
      </c>
      <c r="C837" s="4" t="n">
        <f aca="true">RAND()</f>
        <v>0.480256095894643</v>
      </c>
      <c r="D837" s="0" t="n">
        <f aca="false">IF((C837&gt;$M$2),1,0)</f>
        <v>0</v>
      </c>
      <c r="E837" s="0" t="n">
        <f aca="false">1-D837</f>
        <v>1</v>
      </c>
      <c r="F837" s="0" t="n">
        <f aca="true">RAND()</f>
        <v>0.024083959703772</v>
      </c>
      <c r="G837" s="0" t="n">
        <f aca="false">7.75+F837*10</f>
        <v>7.99083959703772</v>
      </c>
      <c r="H837" s="0" t="n">
        <f aca="false">LOGINV(F837,2.64,1.139)</f>
        <v>1.47619547178313</v>
      </c>
      <c r="I837" s="0" t="n">
        <v>19.5</v>
      </c>
      <c r="J837" s="4" t="n">
        <f aca="true">-LN(RAND())/B837</f>
        <v>1.20559828846131</v>
      </c>
      <c r="K837" s="4" t="n">
        <f aca="false">K836+J837</f>
        <v>9647.36150698726</v>
      </c>
      <c r="L837" s="4" t="n">
        <f aca="false">(1/$J$4)*(1+AB836)</f>
        <v>10</v>
      </c>
      <c r="M837" s="4" t="n">
        <f aca="false">L837+MAX(K837,Y$10:Y836)</f>
        <v>9666.1559086988</v>
      </c>
      <c r="N837" s="4" t="n">
        <f aca="false">K837</f>
        <v>9647.36150698726</v>
      </c>
      <c r="O837" s="4" t="n">
        <f aca="false">M837-K837</f>
        <v>18.7944017115387</v>
      </c>
      <c r="P837" s="4" t="n">
        <f aca="false">N837-K837</f>
        <v>0</v>
      </c>
      <c r="Q837" s="4" t="n">
        <f aca="false">A837-MATCH(K837,$M$9:M836,1)</f>
        <v>1</v>
      </c>
      <c r="R837" s="0" t="n">
        <f aca="false">-G837*(O837/3600)</f>
        <v>-0.0417175137219992</v>
      </c>
      <c r="S837" s="0" t="n">
        <f aca="false">-1*I837-(H837*(P837/3600))</f>
        <v>-19.5</v>
      </c>
      <c r="T837" s="0" t="n">
        <f aca="false">-H837*(O837/3600)</f>
        <v>-0.00770672519484629</v>
      </c>
      <c r="U837" s="0" t="n">
        <f aca="false">T837-S837</f>
        <v>19.4922932748052</v>
      </c>
      <c r="V837" s="0" t="n">
        <f aca="false">1/(1+EXP(U837))</f>
        <v>3.42455850144166E-009</v>
      </c>
      <c r="W837" s="0" t="n">
        <f aca="true">RAND()</f>
        <v>0.447809610081655</v>
      </c>
      <c r="X837" s="0" t="n">
        <f aca="false">IF(W837&lt;V837,1,0)</f>
        <v>0</v>
      </c>
      <c r="Y837" s="0" t="n">
        <f aca="false">(M837*(1-X837)+N837*X837)*D837+M837*E837</f>
        <v>9666.1559086988</v>
      </c>
      <c r="Z837" s="0" t="n">
        <f aca="false">((1-X837)*O837+X837*P837)*D837+E837*O837</f>
        <v>18.7944017115387</v>
      </c>
      <c r="AA837" s="0" t="n">
        <f aca="false">IF(D837*X837&gt;0,AA836,Q837)</f>
        <v>1</v>
      </c>
      <c r="AB837" s="0" t="n">
        <f aca="false">(X837*D837)</f>
        <v>0</v>
      </c>
      <c r="AC837" s="0" t="n">
        <f aca="false">SUM(AB$10:AB836)/K837</f>
        <v>0.000103655284325744</v>
      </c>
      <c r="AD837" s="0" t="n">
        <f aca="false">R837*E837+D837*(X837*S837+(1-X837)*T837)</f>
        <v>-0.0417175137219992</v>
      </c>
      <c r="AE837" s="0" t="n">
        <f aca="false">Z837</f>
        <v>18.7944017115387</v>
      </c>
      <c r="AF837" s="0" t="n">
        <f aca="false">E837*O837</f>
        <v>18.7944017115387</v>
      </c>
      <c r="AG837" s="0" t="n">
        <f aca="false">((1-X837)*O837+X837*P837)*D837</f>
        <v>0</v>
      </c>
      <c r="AH837" s="0" t="n">
        <f aca="false">D837*(LN(EXP(S837)+EXP(T837)))</f>
        <v>-0</v>
      </c>
      <c r="AJ837" s="0" t="n">
        <f aca="false">$J$5</f>
        <v>10</v>
      </c>
      <c r="AK837" s="4" t="n">
        <f aca="false">AJ837+MAX(K837,AK$10:AK836)</f>
        <v>9666.1559086988</v>
      </c>
      <c r="AL837" s="5" t="n">
        <f aca="false">AK837-K837</f>
        <v>18.7944017115387</v>
      </c>
      <c r="AM837" s="0" t="n">
        <f aca="false">-G837*AL837/3600</f>
        <v>-0.0417175137219992</v>
      </c>
      <c r="AN837" s="0" t="n">
        <f aca="false">-H837*AL837/3600</f>
        <v>-0.00770672519484629</v>
      </c>
      <c r="AO837" s="0" t="n">
        <f aca="false">AM837*E837+AN837*D837</f>
        <v>-0.0417175137219992</v>
      </c>
      <c r="AP837" s="0" t="n">
        <f aca="false">AL837*D837</f>
        <v>0</v>
      </c>
      <c r="AR837" s="0" t="n">
        <f aca="false">AN837*D837</f>
        <v>-0</v>
      </c>
      <c r="AS837" s="0" t="n">
        <f aca="false">AH837-AR837</f>
        <v>0</v>
      </c>
    </row>
    <row r="838" customFormat="false" ht="12" hidden="false" customHeight="false" outlineLevel="0" collapsed="false">
      <c r="A838" s="3" t="n">
        <f aca="false">A837+1</f>
        <v>829</v>
      </c>
      <c r="B838" s="3" t="n">
        <f aca="false">IF(A838&lt;$N$4/3,0.1,(IF(A838&gt;2*$N$4/3,0.05,0.12)))</f>
        <v>0.05</v>
      </c>
      <c r="C838" s="4" t="n">
        <f aca="true">RAND()</f>
        <v>0.367972587155181</v>
      </c>
      <c r="D838" s="0" t="n">
        <f aca="false">IF((C838&gt;$M$2),1,0)</f>
        <v>0</v>
      </c>
      <c r="E838" s="0" t="n">
        <f aca="false">1-D838</f>
        <v>1</v>
      </c>
      <c r="F838" s="0" t="n">
        <f aca="true">RAND()</f>
        <v>0.366302062282367</v>
      </c>
      <c r="G838" s="0" t="n">
        <f aca="false">7.75+F838*10</f>
        <v>11.4130206228237</v>
      </c>
      <c r="H838" s="0" t="n">
        <f aca="false">LOGINV(F838,2.64,1.139)</f>
        <v>9.49575868532098</v>
      </c>
      <c r="I838" s="0" t="n">
        <v>19.5</v>
      </c>
      <c r="J838" s="4" t="n">
        <f aca="true">-LN(RAND())/B838</f>
        <v>40.8044449917035</v>
      </c>
      <c r="K838" s="4" t="n">
        <f aca="false">K837+J838</f>
        <v>9688.16595197896</v>
      </c>
      <c r="L838" s="4" t="n">
        <f aca="false">(1/$J$4)*(1+AB837)</f>
        <v>10</v>
      </c>
      <c r="M838" s="4" t="n">
        <f aca="false">L838+MAX(K838,Y$10:Y837)</f>
        <v>9698.16595197896</v>
      </c>
      <c r="N838" s="4" t="n">
        <f aca="false">K838</f>
        <v>9688.16595197896</v>
      </c>
      <c r="O838" s="4" t="n">
        <f aca="false">M838-K838</f>
        <v>10</v>
      </c>
      <c r="P838" s="4" t="n">
        <f aca="false">N838-K838</f>
        <v>0</v>
      </c>
      <c r="Q838" s="4" t="n">
        <f aca="false">A838-MATCH(K838,$M$9:M837,1)</f>
        <v>0</v>
      </c>
      <c r="R838" s="0" t="n">
        <f aca="false">-G838*(O838/3600)</f>
        <v>-0.0317028350633991</v>
      </c>
      <c r="S838" s="0" t="n">
        <f aca="false">-1*I838-(H838*(P838/3600))</f>
        <v>-19.5</v>
      </c>
      <c r="T838" s="0" t="n">
        <f aca="false">-H838*(O838/3600)</f>
        <v>-0.026377107459225</v>
      </c>
      <c r="U838" s="0" t="n">
        <f aca="false">T838-S838</f>
        <v>19.4736228925408</v>
      </c>
      <c r="V838" s="0" t="n">
        <f aca="false">1/(1+EXP(U838))</f>
        <v>3.489096921272E-009</v>
      </c>
      <c r="W838" s="0" t="n">
        <f aca="true">RAND()</f>
        <v>0.900227673201725</v>
      </c>
      <c r="X838" s="0" t="n">
        <f aca="false">IF(W838&lt;V838,1,0)</f>
        <v>0</v>
      </c>
      <c r="Y838" s="0" t="n">
        <f aca="false">(M838*(1-X838)+N838*X838)*D838+M838*E838</f>
        <v>9698.16595197896</v>
      </c>
      <c r="Z838" s="0" t="n">
        <f aca="false">((1-X838)*O838+X838*P838)*D838+E838*O838</f>
        <v>10</v>
      </c>
      <c r="AA838" s="0" t="n">
        <f aca="false">IF(D838*X838&gt;0,AA837,Q838)</f>
        <v>0</v>
      </c>
      <c r="AB838" s="0" t="n">
        <f aca="false">(X838*D838)</f>
        <v>0</v>
      </c>
      <c r="AC838" s="0" t="n">
        <f aca="false">SUM(AB$10:AB837)/K838</f>
        <v>0.00010321871084338</v>
      </c>
      <c r="AD838" s="0" t="n">
        <f aca="false">R838*E838+D838*(X838*S838+(1-X838)*T838)</f>
        <v>-0.0317028350633991</v>
      </c>
      <c r="AE838" s="0" t="n">
        <f aca="false">Z838</f>
        <v>10</v>
      </c>
      <c r="AF838" s="0" t="n">
        <f aca="false">E838*O838</f>
        <v>10</v>
      </c>
      <c r="AG838" s="0" t="n">
        <f aca="false">((1-X838)*O838+X838*P838)*D838</f>
        <v>0</v>
      </c>
      <c r="AH838" s="0" t="n">
        <f aca="false">D838*(LN(EXP(S838)+EXP(T838)))</f>
        <v>-0</v>
      </c>
      <c r="AJ838" s="0" t="n">
        <f aca="false">$J$5</f>
        <v>10</v>
      </c>
      <c r="AK838" s="4" t="n">
        <f aca="false">AJ838+MAX(K838,AK$10:AK837)</f>
        <v>9698.16595197896</v>
      </c>
      <c r="AL838" s="5" t="n">
        <f aca="false">AK838-K838</f>
        <v>10</v>
      </c>
      <c r="AM838" s="0" t="n">
        <f aca="false">-G838*AL838/3600</f>
        <v>-0.0317028350633991</v>
      </c>
      <c r="AN838" s="0" t="n">
        <f aca="false">-H838*AL838/3600</f>
        <v>-0.026377107459225</v>
      </c>
      <c r="AO838" s="0" t="n">
        <f aca="false">AM838*E838+AN838*D838</f>
        <v>-0.0317028350633991</v>
      </c>
      <c r="AP838" s="0" t="n">
        <f aca="false">AL838*D838</f>
        <v>0</v>
      </c>
      <c r="AR838" s="0" t="n">
        <f aca="false">AN838*D838</f>
        <v>-0</v>
      </c>
      <c r="AS838" s="0" t="n">
        <f aca="false">AH838-AR838</f>
        <v>0</v>
      </c>
    </row>
    <row r="839" customFormat="false" ht="12" hidden="false" customHeight="false" outlineLevel="0" collapsed="false">
      <c r="A839" s="3" t="n">
        <f aca="false">A838+1</f>
        <v>830</v>
      </c>
      <c r="B839" s="3" t="n">
        <f aca="false">IF(A839&lt;$N$4/3,0.1,(IF(A839&gt;2*$N$4/3,0.05,0.12)))</f>
        <v>0.05</v>
      </c>
      <c r="C839" s="4" t="n">
        <f aca="true">RAND()</f>
        <v>0.295402494061696</v>
      </c>
      <c r="D839" s="0" t="n">
        <f aca="false">IF((C839&gt;$M$2),1,0)</f>
        <v>0</v>
      </c>
      <c r="E839" s="0" t="n">
        <f aca="false">1-D839</f>
        <v>1</v>
      </c>
      <c r="F839" s="0" t="n">
        <f aca="true">RAND()</f>
        <v>0.476218362564873</v>
      </c>
      <c r="G839" s="0" t="n">
        <f aca="false">7.75+F839*10</f>
        <v>12.5121836256487</v>
      </c>
      <c r="H839" s="0" t="n">
        <f aca="false">LOGINV(F839,2.64,1.139)</f>
        <v>13.092793734547</v>
      </c>
      <c r="I839" s="0" t="n">
        <v>19.5</v>
      </c>
      <c r="J839" s="4" t="n">
        <f aca="true">-LN(RAND())/B839</f>
        <v>23.6125197860145</v>
      </c>
      <c r="K839" s="4" t="n">
        <f aca="false">K838+J839</f>
        <v>9711.77847176498</v>
      </c>
      <c r="L839" s="4" t="n">
        <f aca="false">(1/$J$4)*(1+AB838)</f>
        <v>10</v>
      </c>
      <c r="M839" s="4" t="n">
        <f aca="false">L839+MAX(K839,Y$10:Y838)</f>
        <v>9721.77847176498</v>
      </c>
      <c r="N839" s="4" t="n">
        <f aca="false">K839</f>
        <v>9711.77847176498</v>
      </c>
      <c r="O839" s="4" t="n">
        <f aca="false">M839-K839</f>
        <v>10</v>
      </c>
      <c r="P839" s="4" t="n">
        <f aca="false">N839-K839</f>
        <v>0</v>
      </c>
      <c r="Q839" s="4" t="n">
        <f aca="false">A839-MATCH(K839,$M$9:M838,1)</f>
        <v>0</v>
      </c>
      <c r="R839" s="0" t="n">
        <f aca="false">-G839*(O839/3600)</f>
        <v>-0.034756065626802</v>
      </c>
      <c r="S839" s="0" t="n">
        <f aca="false">-1*I839-(H839*(P839/3600))</f>
        <v>-19.5</v>
      </c>
      <c r="T839" s="0" t="n">
        <f aca="false">-H839*(O839/3600)</f>
        <v>-0.0363688714848527</v>
      </c>
      <c r="U839" s="0" t="n">
        <f aca="false">T839-S839</f>
        <v>19.4636311285151</v>
      </c>
      <c r="V839" s="0" t="n">
        <f aca="false">1/(1+EXP(U839))</f>
        <v>3.52413390338413E-009</v>
      </c>
      <c r="W839" s="0" t="n">
        <f aca="true">RAND()</f>
        <v>0.14500244823848</v>
      </c>
      <c r="X839" s="0" t="n">
        <f aca="false">IF(W839&lt;V839,1,0)</f>
        <v>0</v>
      </c>
      <c r="Y839" s="0" t="n">
        <f aca="false">(M839*(1-X839)+N839*X839)*D839+M839*E839</f>
        <v>9721.77847176498</v>
      </c>
      <c r="Z839" s="0" t="n">
        <f aca="false">((1-X839)*O839+X839*P839)*D839+E839*O839</f>
        <v>10</v>
      </c>
      <c r="AA839" s="0" t="n">
        <f aca="false">IF(D839*X839&gt;0,AA838,Q839)</f>
        <v>0</v>
      </c>
      <c r="AB839" s="0" t="n">
        <f aca="false">(X839*D839)</f>
        <v>0</v>
      </c>
      <c r="AC839" s="0" t="n">
        <f aca="false">SUM(AB$10:AB838)/K839</f>
        <v>0.000102967752292466</v>
      </c>
      <c r="AD839" s="0" t="n">
        <f aca="false">R839*E839+D839*(X839*S839+(1-X839)*T839)</f>
        <v>-0.034756065626802</v>
      </c>
      <c r="AE839" s="0" t="n">
        <f aca="false">Z839</f>
        <v>10</v>
      </c>
      <c r="AF839" s="0" t="n">
        <f aca="false">E839*O839</f>
        <v>10</v>
      </c>
      <c r="AG839" s="0" t="n">
        <f aca="false">((1-X839)*O839+X839*P839)*D839</f>
        <v>0</v>
      </c>
      <c r="AH839" s="0" t="n">
        <f aca="false">D839*(LN(EXP(S839)+EXP(T839)))</f>
        <v>-0</v>
      </c>
      <c r="AJ839" s="0" t="n">
        <f aca="false">$J$5</f>
        <v>10</v>
      </c>
      <c r="AK839" s="4" t="n">
        <f aca="false">AJ839+MAX(K839,AK$10:AK838)</f>
        <v>9721.77847176498</v>
      </c>
      <c r="AL839" s="5" t="n">
        <f aca="false">AK839-K839</f>
        <v>10</v>
      </c>
      <c r="AM839" s="0" t="n">
        <f aca="false">-G839*AL839/3600</f>
        <v>-0.034756065626802</v>
      </c>
      <c r="AN839" s="0" t="n">
        <f aca="false">-H839*AL839/3600</f>
        <v>-0.0363688714848527</v>
      </c>
      <c r="AO839" s="0" t="n">
        <f aca="false">AM839*E839+AN839*D839</f>
        <v>-0.034756065626802</v>
      </c>
      <c r="AP839" s="0" t="n">
        <f aca="false">AL839*D839</f>
        <v>0</v>
      </c>
      <c r="AR839" s="0" t="n">
        <f aca="false">AN839*D839</f>
        <v>-0</v>
      </c>
      <c r="AS839" s="0" t="n">
        <f aca="false">AH839-AR839</f>
        <v>0</v>
      </c>
    </row>
    <row r="840" customFormat="false" ht="12" hidden="false" customHeight="false" outlineLevel="0" collapsed="false">
      <c r="A840" s="3" t="n">
        <f aca="false">A839+1</f>
        <v>831</v>
      </c>
      <c r="B840" s="3" t="n">
        <f aca="false">IF(A840&lt;$N$4/3,0.1,(IF(A840&gt;2*$N$4/3,0.05,0.12)))</f>
        <v>0.05</v>
      </c>
      <c r="C840" s="4" t="n">
        <f aca="true">RAND()</f>
        <v>0.284920762496934</v>
      </c>
      <c r="D840" s="0" t="n">
        <f aca="false">IF((C840&gt;$M$2),1,0)</f>
        <v>0</v>
      </c>
      <c r="E840" s="0" t="n">
        <f aca="false">1-D840</f>
        <v>1</v>
      </c>
      <c r="F840" s="0" t="n">
        <f aca="true">RAND()</f>
        <v>0.364357286411446</v>
      </c>
      <c r="G840" s="0" t="n">
        <f aca="false">7.75+F840*10</f>
        <v>11.3935728641145</v>
      </c>
      <c r="H840" s="0" t="n">
        <f aca="false">LOGINV(F840,2.64,1.139)</f>
        <v>9.43997999647625</v>
      </c>
      <c r="I840" s="0" t="n">
        <v>19.5</v>
      </c>
      <c r="J840" s="4" t="n">
        <f aca="true">-LN(RAND())/B840</f>
        <v>6.85105224714284</v>
      </c>
      <c r="K840" s="4" t="n">
        <f aca="false">K839+J840</f>
        <v>9718.62952401212</v>
      </c>
      <c r="L840" s="4" t="n">
        <f aca="false">(1/$J$4)*(1+AB839)</f>
        <v>10</v>
      </c>
      <c r="M840" s="4" t="n">
        <f aca="false">L840+MAX(K840,Y$10:Y839)</f>
        <v>9731.77847176498</v>
      </c>
      <c r="N840" s="4" t="n">
        <f aca="false">K840</f>
        <v>9718.62952401212</v>
      </c>
      <c r="O840" s="4" t="n">
        <f aca="false">M840-K840</f>
        <v>13.1489477528576</v>
      </c>
      <c r="P840" s="4" t="n">
        <f aca="false">N840-K840</f>
        <v>0</v>
      </c>
      <c r="Q840" s="4" t="n">
        <f aca="false">A840-MATCH(K840,$M$9:M839,1)</f>
        <v>1</v>
      </c>
      <c r="R840" s="0" t="n">
        <f aca="false">-G840*(O840/3600)</f>
        <v>-0.0416148595301713</v>
      </c>
      <c r="S840" s="0" t="n">
        <f aca="false">-1*I840-(H840*(P840/3600))</f>
        <v>-19.5</v>
      </c>
      <c r="T840" s="0" t="n">
        <f aca="false">-H840*(O840/3600)</f>
        <v>-0.0344793899338019</v>
      </c>
      <c r="U840" s="0" t="n">
        <f aca="false">T840-S840</f>
        <v>19.4655206100662</v>
      </c>
      <c r="V840" s="0" t="n">
        <f aca="false">1/(1+EXP(U840))</f>
        <v>3.51748140428003E-009</v>
      </c>
      <c r="W840" s="0" t="n">
        <f aca="true">RAND()</f>
        <v>0.171373172175955</v>
      </c>
      <c r="X840" s="0" t="n">
        <f aca="false">IF(W840&lt;V840,1,0)</f>
        <v>0</v>
      </c>
      <c r="Y840" s="0" t="n">
        <f aca="false">(M840*(1-X840)+N840*X840)*D840+M840*E840</f>
        <v>9731.77847176498</v>
      </c>
      <c r="Z840" s="0" t="n">
        <f aca="false">((1-X840)*O840+X840*P840)*D840+E840*O840</f>
        <v>13.1489477528576</v>
      </c>
      <c r="AA840" s="0" t="n">
        <f aca="false">IF(D840*X840&gt;0,AA839,Q840)</f>
        <v>1</v>
      </c>
      <c r="AB840" s="0" t="n">
        <f aca="false">(X840*D840)</f>
        <v>0</v>
      </c>
      <c r="AC840" s="0" t="n">
        <f aca="false">SUM(AB$10:AB839)/K840</f>
        <v>0.000102895166188738</v>
      </c>
      <c r="AD840" s="0" t="n">
        <f aca="false">R840*E840+D840*(X840*S840+(1-X840)*T840)</f>
        <v>-0.0416148595301713</v>
      </c>
      <c r="AE840" s="0" t="n">
        <f aca="false">Z840</f>
        <v>13.1489477528576</v>
      </c>
      <c r="AF840" s="0" t="n">
        <f aca="false">E840*O840</f>
        <v>13.1489477528576</v>
      </c>
      <c r="AG840" s="0" t="n">
        <f aca="false">((1-X840)*O840+X840*P840)*D840</f>
        <v>0</v>
      </c>
      <c r="AH840" s="0" t="n">
        <f aca="false">D840*(LN(EXP(S840)+EXP(T840)))</f>
        <v>-0</v>
      </c>
      <c r="AJ840" s="0" t="n">
        <f aca="false">$J$5</f>
        <v>10</v>
      </c>
      <c r="AK840" s="4" t="n">
        <f aca="false">AJ840+MAX(K840,AK$10:AK839)</f>
        <v>9731.77847176498</v>
      </c>
      <c r="AL840" s="5" t="n">
        <f aca="false">AK840-K840</f>
        <v>13.1489477528576</v>
      </c>
      <c r="AM840" s="0" t="n">
        <f aca="false">-G840*AL840/3600</f>
        <v>-0.0416148595301713</v>
      </c>
      <c r="AN840" s="0" t="n">
        <f aca="false">-H840*AL840/3600</f>
        <v>-0.0344793899338019</v>
      </c>
      <c r="AO840" s="0" t="n">
        <f aca="false">AM840*E840+AN840*D840</f>
        <v>-0.0416148595301713</v>
      </c>
      <c r="AP840" s="0" t="n">
        <f aca="false">AL840*D840</f>
        <v>0</v>
      </c>
      <c r="AR840" s="0" t="n">
        <f aca="false">AN840*D840</f>
        <v>-0</v>
      </c>
      <c r="AS840" s="0" t="n">
        <f aca="false">AH840-AR840</f>
        <v>0</v>
      </c>
    </row>
    <row r="841" customFormat="false" ht="12" hidden="false" customHeight="false" outlineLevel="0" collapsed="false">
      <c r="A841" s="3" t="n">
        <f aca="false">A840+1</f>
        <v>832</v>
      </c>
      <c r="B841" s="3" t="n">
        <f aca="false">IF(A841&lt;$N$4/3,0.1,(IF(A841&gt;2*$N$4/3,0.05,0.12)))</f>
        <v>0.05</v>
      </c>
      <c r="C841" s="4" t="n">
        <f aca="true">RAND()</f>
        <v>0.859536648037729</v>
      </c>
      <c r="D841" s="0" t="n">
        <f aca="false">IF((C841&gt;$M$2),1,0)</f>
        <v>0</v>
      </c>
      <c r="E841" s="0" t="n">
        <f aca="false">1-D841</f>
        <v>1</v>
      </c>
      <c r="F841" s="0" t="n">
        <f aca="true">RAND()</f>
        <v>0.362795683012871</v>
      </c>
      <c r="G841" s="0" t="n">
        <f aca="false">7.75+F841*10</f>
        <v>11.3779568301287</v>
      </c>
      <c r="H841" s="0" t="n">
        <f aca="false">LOGINV(F841,2.64,1.139)</f>
        <v>9.39535653358953</v>
      </c>
      <c r="I841" s="0" t="n">
        <v>19.5</v>
      </c>
      <c r="J841" s="4" t="n">
        <f aca="true">-LN(RAND())/B841</f>
        <v>0.795656302802186</v>
      </c>
      <c r="K841" s="4" t="n">
        <f aca="false">K840+J841</f>
        <v>9719.42518031492</v>
      </c>
      <c r="L841" s="4" t="n">
        <f aca="false">(1/$J$4)*(1+AB840)</f>
        <v>10</v>
      </c>
      <c r="M841" s="4" t="n">
        <f aca="false">L841+MAX(K841,Y$10:Y840)</f>
        <v>9741.77847176498</v>
      </c>
      <c r="N841" s="4" t="n">
        <f aca="false">K841</f>
        <v>9719.42518031492</v>
      </c>
      <c r="O841" s="4" t="n">
        <f aca="false">M841-K841</f>
        <v>22.3532914500556</v>
      </c>
      <c r="P841" s="4" t="n">
        <f aca="false">N841-K841</f>
        <v>0</v>
      </c>
      <c r="Q841" s="4" t="n">
        <f aca="false">A841-MATCH(K841,$M$9:M840,1)</f>
        <v>2</v>
      </c>
      <c r="R841" s="0" t="n">
        <f aca="false">-G841*(O841/3600)</f>
        <v>-0.070648551425005</v>
      </c>
      <c r="S841" s="0" t="n">
        <f aca="false">-1*I841-(H841*(P841/3600))</f>
        <v>-19.5</v>
      </c>
      <c r="T841" s="0" t="n">
        <f aca="false">-H841*(O841/3600)</f>
        <v>-0.0583380952423642</v>
      </c>
      <c r="U841" s="0" t="n">
        <f aca="false">T841-S841</f>
        <v>19.4416619047576</v>
      </c>
      <c r="V841" s="0" t="n">
        <f aca="false">1/(1+EXP(U841))</f>
        <v>3.60241310764853E-009</v>
      </c>
      <c r="W841" s="0" t="n">
        <f aca="true">RAND()</f>
        <v>0.0386335432642324</v>
      </c>
      <c r="X841" s="0" t="n">
        <f aca="false">IF(W841&lt;V841,1,0)</f>
        <v>0</v>
      </c>
      <c r="Y841" s="0" t="n">
        <f aca="false">(M841*(1-X841)+N841*X841)*D841+M841*E841</f>
        <v>9741.77847176498</v>
      </c>
      <c r="Z841" s="0" t="n">
        <f aca="false">((1-X841)*O841+X841*P841)*D841+E841*O841</f>
        <v>22.3532914500556</v>
      </c>
      <c r="AA841" s="0" t="n">
        <f aca="false">IF(D841*X841&gt;0,AA840,Q841)</f>
        <v>2</v>
      </c>
      <c r="AB841" s="0" t="n">
        <f aca="false">(X841*D841)</f>
        <v>0</v>
      </c>
      <c r="AC841" s="0" t="n">
        <f aca="false">SUM(AB$10:AB840)/K841</f>
        <v>0.000102886742934689</v>
      </c>
      <c r="AD841" s="0" t="n">
        <f aca="false">R841*E841+D841*(X841*S841+(1-X841)*T841)</f>
        <v>-0.070648551425005</v>
      </c>
      <c r="AE841" s="0" t="n">
        <f aca="false">Z841</f>
        <v>22.3532914500556</v>
      </c>
      <c r="AF841" s="0" t="n">
        <f aca="false">E841*O841</f>
        <v>22.3532914500556</v>
      </c>
      <c r="AG841" s="0" t="n">
        <f aca="false">((1-X841)*O841+X841*P841)*D841</f>
        <v>0</v>
      </c>
      <c r="AH841" s="0" t="n">
        <f aca="false">D841*(LN(EXP(S841)+EXP(T841)))</f>
        <v>-0</v>
      </c>
      <c r="AJ841" s="0" t="n">
        <f aca="false">$J$5</f>
        <v>10</v>
      </c>
      <c r="AK841" s="4" t="n">
        <f aca="false">AJ841+MAX(K841,AK$10:AK840)</f>
        <v>9741.77847176498</v>
      </c>
      <c r="AL841" s="5" t="n">
        <f aca="false">AK841-K841</f>
        <v>22.3532914500556</v>
      </c>
      <c r="AM841" s="0" t="n">
        <f aca="false">-G841*AL841/3600</f>
        <v>-0.070648551425005</v>
      </c>
      <c r="AN841" s="0" t="n">
        <f aca="false">-H841*AL841/3600</f>
        <v>-0.0583380952423642</v>
      </c>
      <c r="AO841" s="0" t="n">
        <f aca="false">AM841*E841+AN841*D841</f>
        <v>-0.070648551425005</v>
      </c>
      <c r="AP841" s="0" t="n">
        <f aca="false">AL841*D841</f>
        <v>0</v>
      </c>
      <c r="AR841" s="0" t="n">
        <f aca="false">AN841*D841</f>
        <v>-0</v>
      </c>
      <c r="AS841" s="0" t="n">
        <f aca="false">AH841-AR841</f>
        <v>0</v>
      </c>
    </row>
    <row r="842" customFormat="false" ht="12" hidden="false" customHeight="false" outlineLevel="0" collapsed="false">
      <c r="A842" s="3" t="n">
        <f aca="false">A841+1</f>
        <v>833</v>
      </c>
      <c r="B842" s="3" t="n">
        <f aca="false">IF(A842&lt;$N$4/3,0.1,(IF(A842&gt;2*$N$4/3,0.05,0.12)))</f>
        <v>0.05</v>
      </c>
      <c r="C842" s="4" t="n">
        <f aca="true">RAND()</f>
        <v>0.221717312435626</v>
      </c>
      <c r="D842" s="0" t="n">
        <f aca="false">IF((C842&gt;$M$2),1,0)</f>
        <v>0</v>
      </c>
      <c r="E842" s="0" t="n">
        <f aca="false">1-D842</f>
        <v>1</v>
      </c>
      <c r="F842" s="0" t="n">
        <f aca="true">RAND()</f>
        <v>0.210675450157081</v>
      </c>
      <c r="G842" s="0" t="n">
        <f aca="false">7.75+F842*10</f>
        <v>9.85675450157081</v>
      </c>
      <c r="H842" s="0" t="n">
        <f aca="false">LOGINV(F842,2.64,1.139)</f>
        <v>5.60776995785859</v>
      </c>
      <c r="I842" s="0" t="n">
        <v>19.5</v>
      </c>
      <c r="J842" s="4" t="n">
        <f aca="true">-LN(RAND())/B842</f>
        <v>56.3714495523465</v>
      </c>
      <c r="K842" s="4" t="n">
        <f aca="false">K841+J842</f>
        <v>9775.79662986727</v>
      </c>
      <c r="L842" s="4" t="n">
        <f aca="false">(1/$J$4)*(1+AB841)</f>
        <v>10</v>
      </c>
      <c r="M842" s="4" t="n">
        <f aca="false">L842+MAX(K842,Y$10:Y841)</f>
        <v>9785.79662986727</v>
      </c>
      <c r="N842" s="4" t="n">
        <f aca="false">K842</f>
        <v>9775.79662986727</v>
      </c>
      <c r="O842" s="4" t="n">
        <f aca="false">M842-K842</f>
        <v>10</v>
      </c>
      <c r="P842" s="4" t="n">
        <f aca="false">N842-K842</f>
        <v>0</v>
      </c>
      <c r="Q842" s="4" t="n">
        <f aca="false">A842-MATCH(K842,$M$9:M841,1)</f>
        <v>0</v>
      </c>
      <c r="R842" s="0" t="n">
        <f aca="false">-G842*(O842/3600)</f>
        <v>-0.0273798736154745</v>
      </c>
      <c r="S842" s="0" t="n">
        <f aca="false">-1*I842-(H842*(P842/3600))</f>
        <v>-19.5</v>
      </c>
      <c r="T842" s="0" t="n">
        <f aca="false">-H842*(O842/3600)</f>
        <v>-0.0155771387718294</v>
      </c>
      <c r="U842" s="0" t="n">
        <f aca="false">T842-S842</f>
        <v>19.4844228612282</v>
      </c>
      <c r="V842" s="0" t="n">
        <f aca="false">1/(1+EXP(U842))</f>
        <v>3.45161753629392E-009</v>
      </c>
      <c r="W842" s="0" t="n">
        <f aca="true">RAND()</f>
        <v>0.308977433613544</v>
      </c>
      <c r="X842" s="0" t="n">
        <f aca="false">IF(W842&lt;V842,1,0)</f>
        <v>0</v>
      </c>
      <c r="Y842" s="0" t="n">
        <f aca="false">(M842*(1-X842)+N842*X842)*D842+M842*E842</f>
        <v>9785.79662986727</v>
      </c>
      <c r="Z842" s="0" t="n">
        <f aca="false">((1-X842)*O842+X842*P842)*D842+E842*O842</f>
        <v>10</v>
      </c>
      <c r="AA842" s="0" t="n">
        <f aca="false">IF(D842*X842&gt;0,AA841,Q842)</f>
        <v>0</v>
      </c>
      <c r="AB842" s="0" t="n">
        <f aca="false">(X842*D842)</f>
        <v>0</v>
      </c>
      <c r="AC842" s="0" t="n">
        <f aca="false">SUM(AB$10:AB841)/K842</f>
        <v>0.000102293453706348</v>
      </c>
      <c r="AD842" s="0" t="n">
        <f aca="false">R842*E842+D842*(X842*S842+(1-X842)*T842)</f>
        <v>-0.0273798736154745</v>
      </c>
      <c r="AE842" s="0" t="n">
        <f aca="false">Z842</f>
        <v>10</v>
      </c>
      <c r="AF842" s="0" t="n">
        <f aca="false">E842*O842</f>
        <v>10</v>
      </c>
      <c r="AG842" s="0" t="n">
        <f aca="false">((1-X842)*O842+X842*P842)*D842</f>
        <v>0</v>
      </c>
      <c r="AH842" s="0" t="n">
        <f aca="false">D842*(LN(EXP(S842)+EXP(T842)))</f>
        <v>-0</v>
      </c>
      <c r="AJ842" s="0" t="n">
        <f aca="false">$J$5</f>
        <v>10</v>
      </c>
      <c r="AK842" s="4" t="n">
        <f aca="false">AJ842+MAX(K842,AK$10:AK841)</f>
        <v>9785.79662986727</v>
      </c>
      <c r="AL842" s="5" t="n">
        <f aca="false">AK842-K842</f>
        <v>10</v>
      </c>
      <c r="AM842" s="0" t="n">
        <f aca="false">-G842*AL842/3600</f>
        <v>-0.0273798736154745</v>
      </c>
      <c r="AN842" s="0" t="n">
        <f aca="false">-H842*AL842/3600</f>
        <v>-0.0155771387718294</v>
      </c>
      <c r="AO842" s="0" t="n">
        <f aca="false">AM842*E842+AN842*D842</f>
        <v>-0.0273798736154745</v>
      </c>
      <c r="AP842" s="0" t="n">
        <f aca="false">AL842*D842</f>
        <v>0</v>
      </c>
      <c r="AR842" s="0" t="n">
        <f aca="false">AN842*D842</f>
        <v>-0</v>
      </c>
      <c r="AS842" s="0" t="n">
        <f aca="false">AH842-AR842</f>
        <v>0</v>
      </c>
    </row>
    <row r="843" customFormat="false" ht="12" hidden="false" customHeight="false" outlineLevel="0" collapsed="false">
      <c r="A843" s="3" t="n">
        <f aca="false">A842+1</f>
        <v>834</v>
      </c>
      <c r="B843" s="3" t="n">
        <f aca="false">IF(A843&lt;$N$4/3,0.1,(IF(A843&gt;2*$N$4/3,0.05,0.12)))</f>
        <v>0.05</v>
      </c>
      <c r="C843" s="4" t="n">
        <f aca="true">RAND()</f>
        <v>0.827707885048139</v>
      </c>
      <c r="D843" s="0" t="n">
        <f aca="false">IF((C843&gt;$M$2),1,0)</f>
        <v>0</v>
      </c>
      <c r="E843" s="0" t="n">
        <f aca="false">1-D843</f>
        <v>1</v>
      </c>
      <c r="F843" s="0" t="n">
        <f aca="true">RAND()</f>
        <v>0.987165844392162</v>
      </c>
      <c r="G843" s="0" t="n">
        <f aca="false">7.75+F843*10</f>
        <v>17.6216584439216</v>
      </c>
      <c r="H843" s="0" t="n">
        <f aca="false">LOGINV(F843,2.64,1.139)</f>
        <v>177.919188586245</v>
      </c>
      <c r="I843" s="0" t="n">
        <v>19.5</v>
      </c>
      <c r="J843" s="4" t="n">
        <f aca="true">-LN(RAND())/B843</f>
        <v>59.1360971948134</v>
      </c>
      <c r="K843" s="4" t="n">
        <f aca="false">K842+J843</f>
        <v>9834.93272706208</v>
      </c>
      <c r="L843" s="4" t="n">
        <f aca="false">(1/$J$4)*(1+AB842)</f>
        <v>10</v>
      </c>
      <c r="M843" s="4" t="n">
        <f aca="false">L843+MAX(K843,Y$10:Y842)</f>
        <v>9844.93272706208</v>
      </c>
      <c r="N843" s="4" t="n">
        <f aca="false">K843</f>
        <v>9834.93272706208</v>
      </c>
      <c r="O843" s="4" t="n">
        <f aca="false">M843-K843</f>
        <v>10</v>
      </c>
      <c r="P843" s="4" t="n">
        <f aca="false">N843-K843</f>
        <v>0</v>
      </c>
      <c r="Q843" s="4" t="n">
        <f aca="false">A843-MATCH(K843,$M$9:M842,1)</f>
        <v>0</v>
      </c>
      <c r="R843" s="0" t="n">
        <f aca="false">-G843*(O843/3600)</f>
        <v>-0.0489490512331156</v>
      </c>
      <c r="S843" s="0" t="n">
        <f aca="false">-1*I843-(H843*(P843/3600))</f>
        <v>-19.5</v>
      </c>
      <c r="T843" s="0" t="n">
        <f aca="false">-H843*(O843/3600)</f>
        <v>-0.494219968295124</v>
      </c>
      <c r="U843" s="0" t="n">
        <f aca="false">T843-S843</f>
        <v>19.0057800317049</v>
      </c>
      <c r="V843" s="0" t="n">
        <f aca="false">1/(1+EXP(U843))</f>
        <v>5.57050547666091E-009</v>
      </c>
      <c r="W843" s="0" t="n">
        <f aca="true">RAND()</f>
        <v>0.00939183643712559</v>
      </c>
      <c r="X843" s="0" t="n">
        <f aca="false">IF(W843&lt;V843,1,0)</f>
        <v>0</v>
      </c>
      <c r="Y843" s="0" t="n">
        <f aca="false">(M843*(1-X843)+N843*X843)*D843+M843*E843</f>
        <v>9844.93272706208</v>
      </c>
      <c r="Z843" s="0" t="n">
        <f aca="false">((1-X843)*O843+X843*P843)*D843+E843*O843</f>
        <v>10</v>
      </c>
      <c r="AA843" s="0" t="n">
        <f aca="false">IF(D843*X843&gt;0,AA842,Q843)</f>
        <v>0</v>
      </c>
      <c r="AB843" s="0" t="n">
        <f aca="false">(X843*D843)</f>
        <v>0</v>
      </c>
      <c r="AC843" s="0" t="n">
        <f aca="false">SUM(AB$10:AB842)/K843</f>
        <v>0.000101678377244856</v>
      </c>
      <c r="AD843" s="0" t="n">
        <f aca="false">R843*E843+D843*(X843*S843+(1-X843)*T843)</f>
        <v>-0.0489490512331156</v>
      </c>
      <c r="AE843" s="0" t="n">
        <f aca="false">Z843</f>
        <v>10</v>
      </c>
      <c r="AF843" s="0" t="n">
        <f aca="false">E843*O843</f>
        <v>10</v>
      </c>
      <c r="AG843" s="0" t="n">
        <f aca="false">((1-X843)*O843+X843*P843)*D843</f>
        <v>0</v>
      </c>
      <c r="AH843" s="0" t="n">
        <f aca="false">D843*(LN(EXP(S843)+EXP(T843)))</f>
        <v>-0</v>
      </c>
      <c r="AJ843" s="0" t="n">
        <f aca="false">$J$5</f>
        <v>10</v>
      </c>
      <c r="AK843" s="4" t="n">
        <f aca="false">AJ843+MAX(K843,AK$10:AK842)</f>
        <v>9844.93272706208</v>
      </c>
      <c r="AL843" s="5" t="n">
        <f aca="false">AK843-K843</f>
        <v>10</v>
      </c>
      <c r="AM843" s="0" t="n">
        <f aca="false">-G843*AL843/3600</f>
        <v>-0.0489490512331156</v>
      </c>
      <c r="AN843" s="0" t="n">
        <f aca="false">-H843*AL843/3600</f>
        <v>-0.494219968295124</v>
      </c>
      <c r="AO843" s="0" t="n">
        <f aca="false">AM843*E843+AN843*D843</f>
        <v>-0.0489490512331156</v>
      </c>
      <c r="AP843" s="0" t="n">
        <f aca="false">AL843*D843</f>
        <v>0</v>
      </c>
      <c r="AR843" s="0" t="n">
        <f aca="false">AN843*D843</f>
        <v>-0</v>
      </c>
      <c r="AS843" s="0" t="n">
        <f aca="false">AH843-AR843</f>
        <v>0</v>
      </c>
    </row>
    <row r="844" customFormat="false" ht="12" hidden="false" customHeight="false" outlineLevel="0" collapsed="false">
      <c r="A844" s="3" t="n">
        <f aca="false">A843+1</f>
        <v>835</v>
      </c>
      <c r="B844" s="3" t="n">
        <f aca="false">IF(A844&lt;$N$4/3,0.1,(IF(A844&gt;2*$N$4/3,0.05,0.12)))</f>
        <v>0.05</v>
      </c>
      <c r="C844" s="4" t="n">
        <f aca="true">RAND()</f>
        <v>0.883831108789164</v>
      </c>
      <c r="D844" s="0" t="n">
        <f aca="false">IF((C844&gt;$M$2),1,0)</f>
        <v>0</v>
      </c>
      <c r="E844" s="0" t="n">
        <f aca="false">1-D844</f>
        <v>1</v>
      </c>
      <c r="F844" s="0" t="n">
        <f aca="true">RAND()</f>
        <v>0.515175955350403</v>
      </c>
      <c r="G844" s="0" t="n">
        <f aca="false">7.75+F844*10</f>
        <v>12.901759553504</v>
      </c>
      <c r="H844" s="0" t="n">
        <f aca="false">LOGINV(F844,2.64,1.139)</f>
        <v>14.6338678851074</v>
      </c>
      <c r="I844" s="0" t="n">
        <v>19.5</v>
      </c>
      <c r="J844" s="4" t="n">
        <f aca="true">-LN(RAND())/B844</f>
        <v>8.8854680216525</v>
      </c>
      <c r="K844" s="4" t="n">
        <f aca="false">K843+J844</f>
        <v>9843.81819508373</v>
      </c>
      <c r="L844" s="4" t="n">
        <f aca="false">(1/$J$4)*(1+AB843)</f>
        <v>10</v>
      </c>
      <c r="M844" s="4" t="n">
        <f aca="false">L844+MAX(K844,Y$10:Y843)</f>
        <v>9854.93272706208</v>
      </c>
      <c r="N844" s="4" t="n">
        <f aca="false">K844</f>
        <v>9843.81819508373</v>
      </c>
      <c r="O844" s="4" t="n">
        <f aca="false">M844-K844</f>
        <v>11.1145319783482</v>
      </c>
      <c r="P844" s="4" t="n">
        <f aca="false">N844-K844</f>
        <v>0</v>
      </c>
      <c r="Q844" s="4" t="n">
        <f aca="false">A844-MATCH(K844,$M$9:M843,1)</f>
        <v>1</v>
      </c>
      <c r="R844" s="0" t="n">
        <f aca="false">-G844*(O844/3600)</f>
        <v>-0.0398325053151054</v>
      </c>
      <c r="S844" s="0" t="n">
        <f aca="false">-1*I844-(H844*(P844/3600))</f>
        <v>-19.5</v>
      </c>
      <c r="T844" s="0" t="n">
        <f aca="false">-H844*(O844/3600)</f>
        <v>-0.0451801646044301</v>
      </c>
      <c r="U844" s="0" t="n">
        <f aca="false">T844-S844</f>
        <v>19.4548198353956</v>
      </c>
      <c r="V844" s="0" t="n">
        <f aca="false">1/(1+EXP(U844))</f>
        <v>3.55532328770064E-009</v>
      </c>
      <c r="W844" s="0" t="n">
        <f aca="true">RAND()</f>
        <v>0.577547105303757</v>
      </c>
      <c r="X844" s="0" t="n">
        <f aca="false">IF(W844&lt;V844,1,0)</f>
        <v>0</v>
      </c>
      <c r="Y844" s="0" t="n">
        <f aca="false">(M844*(1-X844)+N844*X844)*D844+M844*E844</f>
        <v>9854.93272706208</v>
      </c>
      <c r="Z844" s="0" t="n">
        <f aca="false">((1-X844)*O844+X844*P844)*D844+E844*O844</f>
        <v>11.1145319783482</v>
      </c>
      <c r="AA844" s="0" t="n">
        <f aca="false">IF(D844*X844&gt;0,AA843,Q844)</f>
        <v>1</v>
      </c>
      <c r="AB844" s="0" t="n">
        <f aca="false">(X844*D844)</f>
        <v>0</v>
      </c>
      <c r="AC844" s="0" t="n">
        <f aca="false">SUM(AB$10:AB843)/K844</f>
        <v>0.000101586597820288</v>
      </c>
      <c r="AD844" s="0" t="n">
        <f aca="false">R844*E844+D844*(X844*S844+(1-X844)*T844)</f>
        <v>-0.0398325053151054</v>
      </c>
      <c r="AE844" s="0" t="n">
        <f aca="false">Z844</f>
        <v>11.1145319783482</v>
      </c>
      <c r="AF844" s="0" t="n">
        <f aca="false">E844*O844</f>
        <v>11.1145319783482</v>
      </c>
      <c r="AG844" s="0" t="n">
        <f aca="false">((1-X844)*O844+X844*P844)*D844</f>
        <v>0</v>
      </c>
      <c r="AH844" s="0" t="n">
        <f aca="false">D844*(LN(EXP(S844)+EXP(T844)))</f>
        <v>-0</v>
      </c>
      <c r="AJ844" s="0" t="n">
        <f aca="false">$J$5</f>
        <v>10</v>
      </c>
      <c r="AK844" s="4" t="n">
        <f aca="false">AJ844+MAX(K844,AK$10:AK843)</f>
        <v>9854.93272706208</v>
      </c>
      <c r="AL844" s="5" t="n">
        <f aca="false">AK844-K844</f>
        <v>11.1145319783482</v>
      </c>
      <c r="AM844" s="0" t="n">
        <f aca="false">-G844*AL844/3600</f>
        <v>-0.0398325053151054</v>
      </c>
      <c r="AN844" s="0" t="n">
        <f aca="false">-H844*AL844/3600</f>
        <v>-0.0451801646044301</v>
      </c>
      <c r="AO844" s="0" t="n">
        <f aca="false">AM844*E844+AN844*D844</f>
        <v>-0.0398325053151054</v>
      </c>
      <c r="AP844" s="0" t="n">
        <f aca="false">AL844*D844</f>
        <v>0</v>
      </c>
      <c r="AR844" s="0" t="n">
        <f aca="false">AN844*D844</f>
        <v>-0</v>
      </c>
      <c r="AS844" s="0" t="n">
        <f aca="false">AH844-AR844</f>
        <v>0</v>
      </c>
    </row>
    <row r="845" customFormat="false" ht="12" hidden="false" customHeight="false" outlineLevel="0" collapsed="false">
      <c r="A845" s="3" t="n">
        <f aca="false">A844+1</f>
        <v>836</v>
      </c>
      <c r="B845" s="3" t="n">
        <f aca="false">IF(A845&lt;$N$4/3,0.1,(IF(A845&gt;2*$N$4/3,0.05,0.12)))</f>
        <v>0.05</v>
      </c>
      <c r="C845" s="4" t="n">
        <f aca="true">RAND()</f>
        <v>0.760861580370485</v>
      </c>
      <c r="D845" s="0" t="n">
        <f aca="false">IF((C845&gt;$M$2),1,0)</f>
        <v>0</v>
      </c>
      <c r="E845" s="0" t="n">
        <f aca="false">1-D845</f>
        <v>1</v>
      </c>
      <c r="F845" s="0" t="n">
        <f aca="true">RAND()</f>
        <v>0.430966076803646</v>
      </c>
      <c r="G845" s="0" t="n">
        <f aca="false">7.75+F845*10</f>
        <v>12.0596607680365</v>
      </c>
      <c r="H845" s="0" t="n">
        <f aca="false">LOGINV(F845,2.64,1.139)</f>
        <v>11.4949827209749</v>
      </c>
      <c r="I845" s="0" t="n">
        <v>19.5</v>
      </c>
      <c r="J845" s="4" t="n">
        <f aca="true">-LN(RAND())/B845</f>
        <v>12.3996375647196</v>
      </c>
      <c r="K845" s="4" t="n">
        <f aca="false">K844+J845</f>
        <v>9856.21783264845</v>
      </c>
      <c r="L845" s="4" t="n">
        <f aca="false">(1/$J$4)*(1+AB844)</f>
        <v>10</v>
      </c>
      <c r="M845" s="4" t="n">
        <f aca="false">L845+MAX(K845,Y$10:Y844)</f>
        <v>9866.21783264845</v>
      </c>
      <c r="N845" s="4" t="n">
        <f aca="false">K845</f>
        <v>9856.21783264845</v>
      </c>
      <c r="O845" s="4" t="n">
        <f aca="false">M845-K845</f>
        <v>10</v>
      </c>
      <c r="P845" s="4" t="n">
        <f aca="false">N845-K845</f>
        <v>0</v>
      </c>
      <c r="Q845" s="4" t="n">
        <f aca="false">A845-MATCH(K845,$M$9:M844,1)</f>
        <v>0</v>
      </c>
      <c r="R845" s="0" t="n">
        <f aca="false">-G845*(O845/3600)</f>
        <v>-0.0334990576889902</v>
      </c>
      <c r="S845" s="0" t="n">
        <f aca="false">-1*I845-(H845*(P845/3600))</f>
        <v>-19.5</v>
      </c>
      <c r="T845" s="0" t="n">
        <f aca="false">-H845*(O845/3600)</f>
        <v>-0.0319305075582636</v>
      </c>
      <c r="U845" s="0" t="n">
        <f aca="false">T845-S845</f>
        <v>19.4680694924417</v>
      </c>
      <c r="V845" s="0" t="n">
        <f aca="false">1/(1+EXP(U845))</f>
        <v>3.50852717444097E-009</v>
      </c>
      <c r="W845" s="0" t="n">
        <f aca="true">RAND()</f>
        <v>0.469751129321228</v>
      </c>
      <c r="X845" s="0" t="n">
        <f aca="false">IF(W845&lt;V845,1,0)</f>
        <v>0</v>
      </c>
      <c r="Y845" s="0" t="n">
        <f aca="false">(M845*(1-X845)+N845*X845)*D845+M845*E845</f>
        <v>9866.21783264845</v>
      </c>
      <c r="Z845" s="0" t="n">
        <f aca="false">((1-X845)*O845+X845*P845)*D845+E845*O845</f>
        <v>10</v>
      </c>
      <c r="AA845" s="0" t="n">
        <f aca="false">IF(D845*X845&gt;0,AA844,Q845)</f>
        <v>0</v>
      </c>
      <c r="AB845" s="0" t="n">
        <f aca="false">(X845*D845)</f>
        <v>0</v>
      </c>
      <c r="AC845" s="0" t="n">
        <f aca="false">SUM(AB$10:AB844)/K845</f>
        <v>0.000101458796566724</v>
      </c>
      <c r="AD845" s="0" t="n">
        <f aca="false">R845*E845+D845*(X845*S845+(1-X845)*T845)</f>
        <v>-0.0334990576889902</v>
      </c>
      <c r="AE845" s="0" t="n">
        <f aca="false">Z845</f>
        <v>10</v>
      </c>
      <c r="AF845" s="0" t="n">
        <f aca="false">E845*O845</f>
        <v>10</v>
      </c>
      <c r="AG845" s="0" t="n">
        <f aca="false">((1-X845)*O845+X845*P845)*D845</f>
        <v>0</v>
      </c>
      <c r="AH845" s="0" t="n">
        <f aca="false">D845*(LN(EXP(S845)+EXP(T845)))</f>
        <v>-0</v>
      </c>
      <c r="AJ845" s="0" t="n">
        <f aca="false">$J$5</f>
        <v>10</v>
      </c>
      <c r="AK845" s="4" t="n">
        <f aca="false">AJ845+MAX(K845,AK$10:AK844)</f>
        <v>9866.21783264845</v>
      </c>
      <c r="AL845" s="5" t="n">
        <f aca="false">AK845-K845</f>
        <v>10</v>
      </c>
      <c r="AM845" s="0" t="n">
        <f aca="false">-G845*AL845/3600</f>
        <v>-0.0334990576889902</v>
      </c>
      <c r="AN845" s="0" t="n">
        <f aca="false">-H845*AL845/3600</f>
        <v>-0.0319305075582636</v>
      </c>
      <c r="AO845" s="0" t="n">
        <f aca="false">AM845*E845+AN845*D845</f>
        <v>-0.0334990576889902</v>
      </c>
      <c r="AP845" s="0" t="n">
        <f aca="false">AL845*D845</f>
        <v>0</v>
      </c>
      <c r="AR845" s="0" t="n">
        <f aca="false">AN845*D845</f>
        <v>-0</v>
      </c>
      <c r="AS845" s="0" t="n">
        <f aca="false">AH845-AR845</f>
        <v>0</v>
      </c>
    </row>
    <row r="846" customFormat="false" ht="12" hidden="false" customHeight="false" outlineLevel="0" collapsed="false">
      <c r="A846" s="3" t="n">
        <f aca="false">A845+1</f>
        <v>837</v>
      </c>
      <c r="B846" s="3" t="n">
        <f aca="false">IF(A846&lt;$N$4/3,0.1,(IF(A846&gt;2*$N$4/3,0.05,0.12)))</f>
        <v>0.05</v>
      </c>
      <c r="C846" s="4" t="n">
        <f aca="true">RAND()</f>
        <v>0.0233585573857372</v>
      </c>
      <c r="D846" s="0" t="n">
        <f aca="false">IF((C846&gt;$M$2),1,0)</f>
        <v>0</v>
      </c>
      <c r="E846" s="0" t="n">
        <f aca="false">1-D846</f>
        <v>1</v>
      </c>
      <c r="F846" s="0" t="n">
        <f aca="true">RAND()</f>
        <v>0.169919550577507</v>
      </c>
      <c r="G846" s="0" t="n">
        <f aca="false">7.75+F846*10</f>
        <v>9.44919550577507</v>
      </c>
      <c r="H846" s="0" t="n">
        <f aca="false">LOGINV(F846,2.64,1.139)</f>
        <v>4.7248868660345</v>
      </c>
      <c r="I846" s="0" t="n">
        <v>19.5</v>
      </c>
      <c r="J846" s="4" t="n">
        <f aca="true">-LN(RAND())/B846</f>
        <v>2.66443655652655</v>
      </c>
      <c r="K846" s="4" t="n">
        <f aca="false">K845+J846</f>
        <v>9858.88226920498</v>
      </c>
      <c r="L846" s="4" t="n">
        <f aca="false">(1/$J$4)*(1+AB845)</f>
        <v>10</v>
      </c>
      <c r="M846" s="4" t="n">
        <f aca="false">L846+MAX(K846,Y$10:Y845)</f>
        <v>9876.21783264845</v>
      </c>
      <c r="N846" s="4" t="n">
        <f aca="false">K846</f>
        <v>9858.88226920498</v>
      </c>
      <c r="O846" s="4" t="n">
        <f aca="false">M846-K846</f>
        <v>17.3355634434738</v>
      </c>
      <c r="P846" s="4" t="n">
        <f aca="false">N846-K846</f>
        <v>0</v>
      </c>
      <c r="Q846" s="4" t="n">
        <f aca="false">A846-MATCH(K846,$M$9:M845,1)</f>
        <v>1</v>
      </c>
      <c r="R846" s="0" t="n">
        <f aca="false">-G846*(O846/3600)</f>
        <v>-0.045501980050042</v>
      </c>
      <c r="S846" s="0" t="n">
        <f aca="false">-1*I846-(H846*(P846/3600))</f>
        <v>-19.5</v>
      </c>
      <c r="T846" s="0" t="n">
        <f aca="false">-H846*(O846/3600)</f>
        <v>-0.0227523822303826</v>
      </c>
      <c r="U846" s="0" t="n">
        <f aca="false">T846-S846</f>
        <v>19.4772476177696</v>
      </c>
      <c r="V846" s="0" t="n">
        <f aca="false">1/(1+EXP(U846))</f>
        <v>3.47647279699241E-009</v>
      </c>
      <c r="W846" s="0" t="n">
        <f aca="true">RAND()</f>
        <v>0.437763158425771</v>
      </c>
      <c r="X846" s="0" t="n">
        <f aca="false">IF(W846&lt;V846,1,0)</f>
        <v>0</v>
      </c>
      <c r="Y846" s="0" t="n">
        <f aca="false">(M846*(1-X846)+N846*X846)*D846+M846*E846</f>
        <v>9876.21783264845</v>
      </c>
      <c r="Z846" s="0" t="n">
        <f aca="false">((1-X846)*O846+X846*P846)*D846+E846*O846</f>
        <v>17.3355634434738</v>
      </c>
      <c r="AA846" s="0" t="n">
        <f aca="false">IF(D846*X846&gt;0,AA845,Q846)</f>
        <v>1</v>
      </c>
      <c r="AB846" s="0" t="n">
        <f aca="false">(X846*D846)</f>
        <v>0</v>
      </c>
      <c r="AC846" s="0" t="n">
        <f aca="false">SUM(AB$10:AB845)/K846</f>
        <v>0.000101431376569287</v>
      </c>
      <c r="AD846" s="0" t="n">
        <f aca="false">R846*E846+D846*(X846*S846+(1-X846)*T846)</f>
        <v>-0.045501980050042</v>
      </c>
      <c r="AE846" s="0" t="n">
        <f aca="false">Z846</f>
        <v>17.3355634434738</v>
      </c>
      <c r="AF846" s="0" t="n">
        <f aca="false">E846*O846</f>
        <v>17.3355634434738</v>
      </c>
      <c r="AG846" s="0" t="n">
        <f aca="false">((1-X846)*O846+X846*P846)*D846</f>
        <v>0</v>
      </c>
      <c r="AH846" s="0" t="n">
        <f aca="false">D846*(LN(EXP(S846)+EXP(T846)))</f>
        <v>-0</v>
      </c>
      <c r="AJ846" s="0" t="n">
        <f aca="false">$J$5</f>
        <v>10</v>
      </c>
      <c r="AK846" s="4" t="n">
        <f aca="false">AJ846+MAX(K846,AK$10:AK845)</f>
        <v>9876.21783264845</v>
      </c>
      <c r="AL846" s="5" t="n">
        <f aca="false">AK846-K846</f>
        <v>17.3355634434738</v>
      </c>
      <c r="AM846" s="0" t="n">
        <f aca="false">-G846*AL846/3600</f>
        <v>-0.045501980050042</v>
      </c>
      <c r="AN846" s="0" t="n">
        <f aca="false">-H846*AL846/3600</f>
        <v>-0.0227523822303826</v>
      </c>
      <c r="AO846" s="0" t="n">
        <f aca="false">AM846*E846+AN846*D846</f>
        <v>-0.045501980050042</v>
      </c>
      <c r="AP846" s="0" t="n">
        <f aca="false">AL846*D846</f>
        <v>0</v>
      </c>
      <c r="AR846" s="0" t="n">
        <f aca="false">AN846*D846</f>
        <v>-0</v>
      </c>
      <c r="AS846" s="0" t="n">
        <f aca="false">AH846-AR846</f>
        <v>0</v>
      </c>
    </row>
    <row r="847" customFormat="false" ht="12" hidden="false" customHeight="false" outlineLevel="0" collapsed="false">
      <c r="A847" s="3" t="n">
        <f aca="false">A846+1</f>
        <v>838</v>
      </c>
      <c r="B847" s="3" t="n">
        <f aca="false">IF(A847&lt;$N$4/3,0.1,(IF(A847&gt;2*$N$4/3,0.05,0.12)))</f>
        <v>0.05</v>
      </c>
      <c r="C847" s="4" t="n">
        <f aca="true">RAND()</f>
        <v>0.84288379827803</v>
      </c>
      <c r="D847" s="0" t="n">
        <f aca="false">IF((C847&gt;$M$2),1,0)</f>
        <v>0</v>
      </c>
      <c r="E847" s="0" t="n">
        <f aca="false">1-D847</f>
        <v>1</v>
      </c>
      <c r="F847" s="0" t="n">
        <f aca="true">RAND()</f>
        <v>0.734098381862659</v>
      </c>
      <c r="G847" s="0" t="n">
        <f aca="false">7.75+F847*10</f>
        <v>15.0909838186266</v>
      </c>
      <c r="H847" s="0" t="n">
        <f aca="false">LOGINV(F847,2.64,1.139)</f>
        <v>28.5645450753738</v>
      </c>
      <c r="I847" s="0" t="n">
        <v>19.5</v>
      </c>
      <c r="J847" s="4" t="n">
        <f aca="true">-LN(RAND())/B847</f>
        <v>32.2010131344002</v>
      </c>
      <c r="K847" s="4" t="n">
        <f aca="false">K846+J847</f>
        <v>9891.08328233938</v>
      </c>
      <c r="L847" s="4" t="n">
        <f aca="false">(1/$J$4)*(1+AB846)</f>
        <v>10</v>
      </c>
      <c r="M847" s="4" t="n">
        <f aca="false">L847+MAX(K847,Y$10:Y846)</f>
        <v>9901.08328233938</v>
      </c>
      <c r="N847" s="4" t="n">
        <f aca="false">K847</f>
        <v>9891.08328233938</v>
      </c>
      <c r="O847" s="4" t="n">
        <f aca="false">M847-K847</f>
        <v>10</v>
      </c>
      <c r="P847" s="4" t="n">
        <f aca="false">N847-K847</f>
        <v>0</v>
      </c>
      <c r="Q847" s="4" t="n">
        <f aca="false">A847-MATCH(K847,$M$9:M846,1)</f>
        <v>0</v>
      </c>
      <c r="R847" s="0" t="n">
        <f aca="false">-G847*(O847/3600)</f>
        <v>-0.041919399496185</v>
      </c>
      <c r="S847" s="0" t="n">
        <f aca="false">-1*I847-(H847*(P847/3600))</f>
        <v>-19.5</v>
      </c>
      <c r="T847" s="0" t="n">
        <f aca="false">-H847*(O847/3600)</f>
        <v>-0.079345958542705</v>
      </c>
      <c r="U847" s="0" t="n">
        <f aca="false">T847-S847</f>
        <v>19.4206540414573</v>
      </c>
      <c r="V847" s="0" t="n">
        <f aca="false">1/(1+EXP(U847))</f>
        <v>3.67889263248137E-009</v>
      </c>
      <c r="W847" s="0" t="n">
        <f aca="true">RAND()</f>
        <v>0.979122276273829</v>
      </c>
      <c r="X847" s="0" t="n">
        <f aca="false">IF(W847&lt;V847,1,0)</f>
        <v>0</v>
      </c>
      <c r="Y847" s="0" t="n">
        <f aca="false">(M847*(1-X847)+N847*X847)*D847+M847*E847</f>
        <v>9901.08328233938</v>
      </c>
      <c r="Z847" s="0" t="n">
        <f aca="false">((1-X847)*O847+X847*P847)*D847+E847*O847</f>
        <v>10</v>
      </c>
      <c r="AA847" s="0" t="n">
        <f aca="false">IF(D847*X847&gt;0,AA846,Q847)</f>
        <v>0</v>
      </c>
      <c r="AB847" s="0" t="n">
        <f aca="false">(X847*D847)</f>
        <v>0</v>
      </c>
      <c r="AC847" s="0" t="n">
        <f aca="false">SUM(AB$10:AB846)/K847</f>
        <v>0.000101101160657044</v>
      </c>
      <c r="AD847" s="0" t="n">
        <f aca="false">R847*E847+D847*(X847*S847+(1-X847)*T847)</f>
        <v>-0.041919399496185</v>
      </c>
      <c r="AE847" s="0" t="n">
        <f aca="false">Z847</f>
        <v>10</v>
      </c>
      <c r="AF847" s="0" t="n">
        <f aca="false">E847*O847</f>
        <v>10</v>
      </c>
      <c r="AG847" s="0" t="n">
        <f aca="false">((1-X847)*O847+X847*P847)*D847</f>
        <v>0</v>
      </c>
      <c r="AH847" s="0" t="n">
        <f aca="false">D847*(LN(EXP(S847)+EXP(T847)))</f>
        <v>-0</v>
      </c>
      <c r="AJ847" s="0" t="n">
        <f aca="false">$J$5</f>
        <v>10</v>
      </c>
      <c r="AK847" s="4" t="n">
        <f aca="false">AJ847+MAX(K847,AK$10:AK846)</f>
        <v>9901.08328233938</v>
      </c>
      <c r="AL847" s="5" t="n">
        <f aca="false">AK847-K847</f>
        <v>10</v>
      </c>
      <c r="AM847" s="0" t="n">
        <f aca="false">-G847*AL847/3600</f>
        <v>-0.041919399496185</v>
      </c>
      <c r="AN847" s="0" t="n">
        <f aca="false">-H847*AL847/3600</f>
        <v>-0.079345958542705</v>
      </c>
      <c r="AO847" s="0" t="n">
        <f aca="false">AM847*E847+AN847*D847</f>
        <v>-0.041919399496185</v>
      </c>
      <c r="AP847" s="0" t="n">
        <f aca="false">AL847*D847</f>
        <v>0</v>
      </c>
      <c r="AR847" s="0" t="n">
        <f aca="false">AN847*D847</f>
        <v>-0</v>
      </c>
      <c r="AS847" s="0" t="n">
        <f aca="false">AH847-AR847</f>
        <v>0</v>
      </c>
    </row>
    <row r="848" customFormat="false" ht="12" hidden="false" customHeight="false" outlineLevel="0" collapsed="false">
      <c r="A848" s="3" t="n">
        <f aca="false">A847+1</f>
        <v>839</v>
      </c>
      <c r="B848" s="3" t="n">
        <f aca="false">IF(A848&lt;$N$4/3,0.1,(IF(A848&gt;2*$N$4/3,0.05,0.12)))</f>
        <v>0.05</v>
      </c>
      <c r="C848" s="4" t="n">
        <f aca="true">RAND()</f>
        <v>0.299011723596531</v>
      </c>
      <c r="D848" s="0" t="n">
        <f aca="false">IF((C848&gt;$M$2),1,0)</f>
        <v>0</v>
      </c>
      <c r="E848" s="0" t="n">
        <f aca="false">1-D848</f>
        <v>1</v>
      </c>
      <c r="F848" s="0" t="n">
        <f aca="true">RAND()</f>
        <v>0.993739763595519</v>
      </c>
      <c r="G848" s="0" t="n">
        <f aca="false">7.75+F848*10</f>
        <v>17.6873976359552</v>
      </c>
      <c r="H848" s="0" t="n">
        <f aca="false">LOGINV(F848,2.64,1.139)</f>
        <v>240.862359850593</v>
      </c>
      <c r="I848" s="0" t="n">
        <v>19.5</v>
      </c>
      <c r="J848" s="4" t="n">
        <f aca="true">-LN(RAND())/B848</f>
        <v>0.394110083651088</v>
      </c>
      <c r="K848" s="4" t="n">
        <f aca="false">K847+J848</f>
        <v>9891.47739242303</v>
      </c>
      <c r="L848" s="4" t="n">
        <f aca="false">(1/$J$4)*(1+AB847)</f>
        <v>10</v>
      </c>
      <c r="M848" s="4" t="n">
        <f aca="false">L848+MAX(K848,Y$10:Y847)</f>
        <v>9911.08328233938</v>
      </c>
      <c r="N848" s="4" t="n">
        <f aca="false">K848</f>
        <v>9891.47739242303</v>
      </c>
      <c r="O848" s="4" t="n">
        <f aca="false">M848-K848</f>
        <v>19.605889916349</v>
      </c>
      <c r="P848" s="4" t="n">
        <f aca="false">N848-K848</f>
        <v>0</v>
      </c>
      <c r="Q848" s="4" t="n">
        <f aca="false">A848-MATCH(K848,$M$9:M847,1)</f>
        <v>1</v>
      </c>
      <c r="R848" s="0" t="n">
        <f aca="false">-G848*(O848/3600)</f>
        <v>-0.0963269919325638</v>
      </c>
      <c r="S848" s="0" t="n">
        <f aca="false">-1*I848-(H848*(P848/3600))</f>
        <v>-19.5</v>
      </c>
      <c r="T848" s="0" t="n">
        <f aca="false">-H848*(O848/3600)</f>
        <v>-1.31175580895077</v>
      </c>
      <c r="U848" s="0" t="n">
        <f aca="false">T848-S848</f>
        <v>18.1882441910492</v>
      </c>
      <c r="V848" s="0" t="n">
        <f aca="false">1/(1+EXP(U848))</f>
        <v>1.26167037857763E-008</v>
      </c>
      <c r="W848" s="0" t="n">
        <f aca="true">RAND()</f>
        <v>0.710267709846391</v>
      </c>
      <c r="X848" s="0" t="n">
        <f aca="false">IF(W848&lt;V848,1,0)</f>
        <v>0</v>
      </c>
      <c r="Y848" s="0" t="n">
        <f aca="false">(M848*(1-X848)+N848*X848)*D848+M848*E848</f>
        <v>9911.08328233938</v>
      </c>
      <c r="Z848" s="0" t="n">
        <f aca="false">((1-X848)*O848+X848*P848)*D848+E848*O848</f>
        <v>19.605889916349</v>
      </c>
      <c r="AA848" s="0" t="n">
        <f aca="false">IF(D848*X848&gt;0,AA847,Q848)</f>
        <v>1</v>
      </c>
      <c r="AB848" s="0" t="n">
        <f aca="false">(X848*D848)</f>
        <v>0</v>
      </c>
      <c r="AC848" s="0" t="n">
        <f aca="false">SUM(AB$10:AB847)/K848</f>
        <v>0.000101097132443128</v>
      </c>
      <c r="AD848" s="0" t="n">
        <f aca="false">R848*E848+D848*(X848*S848+(1-X848)*T848)</f>
        <v>-0.0963269919325638</v>
      </c>
      <c r="AE848" s="0" t="n">
        <f aca="false">Z848</f>
        <v>19.605889916349</v>
      </c>
      <c r="AF848" s="0" t="n">
        <f aca="false">E848*O848</f>
        <v>19.605889916349</v>
      </c>
      <c r="AG848" s="0" t="n">
        <f aca="false">((1-X848)*O848+X848*P848)*D848</f>
        <v>0</v>
      </c>
      <c r="AH848" s="0" t="n">
        <f aca="false">D848*(LN(EXP(S848)+EXP(T848)))</f>
        <v>-0</v>
      </c>
      <c r="AJ848" s="0" t="n">
        <f aca="false">$J$5</f>
        <v>10</v>
      </c>
      <c r="AK848" s="4" t="n">
        <f aca="false">AJ848+MAX(K848,AK$10:AK847)</f>
        <v>9911.08328233938</v>
      </c>
      <c r="AL848" s="5" t="n">
        <f aca="false">AK848-K848</f>
        <v>19.605889916349</v>
      </c>
      <c r="AM848" s="0" t="n">
        <f aca="false">-G848*AL848/3600</f>
        <v>-0.0963269919325639</v>
      </c>
      <c r="AN848" s="0" t="n">
        <f aca="false">-H848*AL848/3600</f>
        <v>-1.31175580895077</v>
      </c>
      <c r="AO848" s="0" t="n">
        <f aca="false">AM848*E848+AN848*D848</f>
        <v>-0.0963269919325639</v>
      </c>
      <c r="AP848" s="0" t="n">
        <f aca="false">AL848*D848</f>
        <v>0</v>
      </c>
      <c r="AR848" s="0" t="n">
        <f aca="false">AN848*D848</f>
        <v>-0</v>
      </c>
      <c r="AS848" s="0" t="n">
        <f aca="false">AH848-AR848</f>
        <v>0</v>
      </c>
    </row>
    <row r="849" customFormat="false" ht="12" hidden="false" customHeight="false" outlineLevel="0" collapsed="false">
      <c r="A849" s="3" t="n">
        <f aca="false">A848+1</f>
        <v>840</v>
      </c>
      <c r="B849" s="3" t="n">
        <f aca="false">IF(A849&lt;$N$4/3,0.1,(IF(A849&gt;2*$N$4/3,0.05,0.12)))</f>
        <v>0.05</v>
      </c>
      <c r="C849" s="4" t="n">
        <f aca="true">RAND()</f>
        <v>0.48951384136494</v>
      </c>
      <c r="D849" s="0" t="n">
        <f aca="false">IF((C849&gt;$M$2),1,0)</f>
        <v>0</v>
      </c>
      <c r="E849" s="0" t="n">
        <f aca="false">1-D849</f>
        <v>1</v>
      </c>
      <c r="F849" s="0" t="n">
        <f aca="true">RAND()</f>
        <v>0.132928777108938</v>
      </c>
      <c r="G849" s="0" t="n">
        <f aca="false">7.75+F849*10</f>
        <v>9.07928777108938</v>
      </c>
      <c r="H849" s="0" t="n">
        <f aca="false">LOGINV(F849,2.64,1.139)</f>
        <v>3.945944755279</v>
      </c>
      <c r="I849" s="0" t="n">
        <v>19.5</v>
      </c>
      <c r="J849" s="4" t="n">
        <f aca="true">-LN(RAND())/B849</f>
        <v>3.98776756511201</v>
      </c>
      <c r="K849" s="4" t="n">
        <f aca="false">K848+J849</f>
        <v>9895.46515998814</v>
      </c>
      <c r="L849" s="4" t="n">
        <f aca="false">(1/$J$4)*(1+AB848)</f>
        <v>10</v>
      </c>
      <c r="M849" s="4" t="n">
        <f aca="false">L849+MAX(K849,Y$10:Y848)</f>
        <v>9921.08328233938</v>
      </c>
      <c r="N849" s="4" t="n">
        <f aca="false">K849</f>
        <v>9895.46515998814</v>
      </c>
      <c r="O849" s="4" t="n">
        <f aca="false">M849-K849</f>
        <v>25.6181223512376</v>
      </c>
      <c r="P849" s="4" t="n">
        <f aca="false">N849-K849</f>
        <v>0</v>
      </c>
      <c r="Q849" s="4" t="n">
        <f aca="false">A849-MATCH(K849,$M$9:M848,1)</f>
        <v>2</v>
      </c>
      <c r="R849" s="0" t="n">
        <f aca="false">-G849*(O849/3600)</f>
        <v>-0.0646095291616287</v>
      </c>
      <c r="S849" s="0" t="n">
        <f aca="false">-1*I849-(H849*(P849/3600))</f>
        <v>-19.5</v>
      </c>
      <c r="T849" s="0" t="n">
        <f aca="false">-H849*(O849/3600)</f>
        <v>-0.0280799154255449</v>
      </c>
      <c r="U849" s="0" t="n">
        <f aca="false">T849-S849</f>
        <v>19.4719200845745</v>
      </c>
      <c r="V849" s="0" t="n">
        <f aca="false">1/(1+EXP(U849))</f>
        <v>3.49504324457056E-009</v>
      </c>
      <c r="W849" s="0" t="n">
        <f aca="true">RAND()</f>
        <v>0.821011041110513</v>
      </c>
      <c r="X849" s="0" t="n">
        <f aca="false">IF(W849&lt;V849,1,0)</f>
        <v>0</v>
      </c>
      <c r="Y849" s="0" t="n">
        <f aca="false">(M849*(1-X849)+N849*X849)*D849+M849*E849</f>
        <v>9921.08328233938</v>
      </c>
      <c r="Z849" s="0" t="n">
        <f aca="false">((1-X849)*O849+X849*P849)*D849+E849*O849</f>
        <v>25.6181223512376</v>
      </c>
      <c r="AA849" s="0" t="n">
        <f aca="false">IF(D849*X849&gt;0,AA848,Q849)</f>
        <v>2</v>
      </c>
      <c r="AB849" s="0" t="n">
        <f aca="false">(X849*D849)</f>
        <v>0</v>
      </c>
      <c r="AC849" s="0" t="n">
        <f aca="false">SUM(AB$10:AB848)/K849</f>
        <v>0.000101056391370408</v>
      </c>
      <c r="AD849" s="0" t="n">
        <f aca="false">R849*E849+D849*(X849*S849+(1-X849)*T849)</f>
        <v>-0.0646095291616287</v>
      </c>
      <c r="AE849" s="0" t="n">
        <f aca="false">Z849</f>
        <v>25.6181223512376</v>
      </c>
      <c r="AF849" s="0" t="n">
        <f aca="false">E849*O849</f>
        <v>25.6181223512376</v>
      </c>
      <c r="AG849" s="0" t="n">
        <f aca="false">((1-X849)*O849+X849*P849)*D849</f>
        <v>0</v>
      </c>
      <c r="AH849" s="0" t="n">
        <f aca="false">D849*(LN(EXP(S849)+EXP(T849)))</f>
        <v>-0</v>
      </c>
      <c r="AJ849" s="0" t="n">
        <f aca="false">$J$5</f>
        <v>10</v>
      </c>
      <c r="AK849" s="4" t="n">
        <f aca="false">AJ849+MAX(K849,AK$10:AK848)</f>
        <v>9921.08328233938</v>
      </c>
      <c r="AL849" s="5" t="n">
        <f aca="false">AK849-K849</f>
        <v>25.6181223512376</v>
      </c>
      <c r="AM849" s="0" t="n">
        <f aca="false">-G849*AL849/3600</f>
        <v>-0.0646095291616287</v>
      </c>
      <c r="AN849" s="0" t="n">
        <f aca="false">-H849*AL849/3600</f>
        <v>-0.0280799154255449</v>
      </c>
      <c r="AO849" s="0" t="n">
        <f aca="false">AM849*E849+AN849*D849</f>
        <v>-0.0646095291616287</v>
      </c>
      <c r="AP849" s="0" t="n">
        <f aca="false">AL849*D849</f>
        <v>0</v>
      </c>
      <c r="AR849" s="0" t="n">
        <f aca="false">AN849*D849</f>
        <v>-0</v>
      </c>
      <c r="AS849" s="0" t="n">
        <f aca="false">AH849-AR849</f>
        <v>0</v>
      </c>
    </row>
    <row r="850" customFormat="false" ht="12" hidden="false" customHeight="false" outlineLevel="0" collapsed="false">
      <c r="A850" s="3" t="n">
        <f aca="false">A849+1</f>
        <v>841</v>
      </c>
      <c r="B850" s="3" t="n">
        <f aca="false">IF(A850&lt;$N$4/3,0.1,(IF(A850&gt;2*$N$4/3,0.05,0.12)))</f>
        <v>0.05</v>
      </c>
      <c r="C850" s="4" t="n">
        <f aca="true">RAND()</f>
        <v>0.854700662110795</v>
      </c>
      <c r="D850" s="0" t="n">
        <f aca="false">IF((C850&gt;$M$2),1,0)</f>
        <v>0</v>
      </c>
      <c r="E850" s="0" t="n">
        <f aca="false">1-D850</f>
        <v>1</v>
      </c>
      <c r="F850" s="0" t="n">
        <f aca="true">RAND()</f>
        <v>0.128232442889244</v>
      </c>
      <c r="G850" s="0" t="n">
        <f aca="false">7.75+F850*10</f>
        <v>9.03232442889244</v>
      </c>
      <c r="H850" s="0" t="n">
        <f aca="false">LOGINV(F850,2.64,1.139)</f>
        <v>3.84771110447764</v>
      </c>
      <c r="I850" s="0" t="n">
        <v>19.5</v>
      </c>
      <c r="J850" s="4" t="n">
        <f aca="true">-LN(RAND())/B850</f>
        <v>7.80267994497119</v>
      </c>
      <c r="K850" s="4" t="n">
        <f aca="false">K849+J850</f>
        <v>9903.26783993311</v>
      </c>
      <c r="L850" s="4" t="n">
        <f aca="false">(1/$J$4)*(1+AB849)</f>
        <v>10</v>
      </c>
      <c r="M850" s="4" t="n">
        <f aca="false">L850+MAX(K850,Y$10:Y849)</f>
        <v>9931.08328233938</v>
      </c>
      <c r="N850" s="4" t="n">
        <f aca="false">K850</f>
        <v>9903.26783993311</v>
      </c>
      <c r="O850" s="4" t="n">
        <f aca="false">M850-K850</f>
        <v>27.8154424062668</v>
      </c>
      <c r="P850" s="4" t="n">
        <f aca="false">N850-K850</f>
        <v>0</v>
      </c>
      <c r="Q850" s="4" t="n">
        <f aca="false">A850-MATCH(K850,$M$9:M849,1)</f>
        <v>2</v>
      </c>
      <c r="R850" s="0" t="n">
        <f aca="false">-G850*(O850/3600)</f>
        <v>-0.0697883610962707</v>
      </c>
      <c r="S850" s="0" t="n">
        <f aca="false">-1*I850-(H850*(P850/3600))</f>
        <v>-19.5</v>
      </c>
      <c r="T850" s="0" t="n">
        <f aca="false">-H850*(O850/3600)</f>
        <v>-0.0297293851729309</v>
      </c>
      <c r="U850" s="0" t="n">
        <f aca="false">T850-S850</f>
        <v>19.4702706148271</v>
      </c>
      <c r="V850" s="0" t="n">
        <f aca="false">1/(1+EXP(U850))</f>
        <v>3.50081296983358E-009</v>
      </c>
      <c r="W850" s="0" t="n">
        <f aca="true">RAND()</f>
        <v>0.151611492105521</v>
      </c>
      <c r="X850" s="0" t="n">
        <f aca="false">IF(W850&lt;V850,1,0)</f>
        <v>0</v>
      </c>
      <c r="Y850" s="0" t="n">
        <f aca="false">(M850*(1-X850)+N850*X850)*D850+M850*E850</f>
        <v>9931.08328233938</v>
      </c>
      <c r="Z850" s="0" t="n">
        <f aca="false">((1-X850)*O850+X850*P850)*D850+E850*O850</f>
        <v>27.8154424062668</v>
      </c>
      <c r="AA850" s="0" t="n">
        <f aca="false">IF(D850*X850&gt;0,AA849,Q850)</f>
        <v>2</v>
      </c>
      <c r="AB850" s="0" t="n">
        <f aca="false">(X850*D850)</f>
        <v>0</v>
      </c>
      <c r="AC850" s="0" t="n">
        <f aca="false">SUM(AB$10:AB849)/K850</f>
        <v>0.000100976770108921</v>
      </c>
      <c r="AD850" s="0" t="n">
        <f aca="false">R850*E850+D850*(X850*S850+(1-X850)*T850)</f>
        <v>-0.0697883610962707</v>
      </c>
      <c r="AE850" s="0" t="n">
        <f aca="false">Z850</f>
        <v>27.8154424062668</v>
      </c>
      <c r="AF850" s="0" t="n">
        <f aca="false">E850*O850</f>
        <v>27.8154424062668</v>
      </c>
      <c r="AG850" s="0" t="n">
        <f aca="false">((1-X850)*O850+X850*P850)*D850</f>
        <v>0</v>
      </c>
      <c r="AH850" s="0" t="n">
        <f aca="false">D850*(LN(EXP(S850)+EXP(T850)))</f>
        <v>-0</v>
      </c>
      <c r="AJ850" s="0" t="n">
        <f aca="false">$J$5</f>
        <v>10</v>
      </c>
      <c r="AK850" s="4" t="n">
        <f aca="false">AJ850+MAX(K850,AK$10:AK849)</f>
        <v>9931.08328233938</v>
      </c>
      <c r="AL850" s="5" t="n">
        <f aca="false">AK850-K850</f>
        <v>27.8154424062668</v>
      </c>
      <c r="AM850" s="0" t="n">
        <f aca="false">-G850*AL850/3600</f>
        <v>-0.0697883610962707</v>
      </c>
      <c r="AN850" s="0" t="n">
        <f aca="false">-H850*AL850/3600</f>
        <v>-0.0297293851729309</v>
      </c>
      <c r="AO850" s="0" t="n">
        <f aca="false">AM850*E850+AN850*D850</f>
        <v>-0.0697883610962707</v>
      </c>
      <c r="AP850" s="0" t="n">
        <f aca="false">AL850*D850</f>
        <v>0</v>
      </c>
      <c r="AR850" s="0" t="n">
        <f aca="false">AN850*D850</f>
        <v>-0</v>
      </c>
      <c r="AS850" s="0" t="n">
        <f aca="false">AH850-AR850</f>
        <v>0</v>
      </c>
    </row>
    <row r="851" customFormat="false" ht="12" hidden="false" customHeight="false" outlineLevel="0" collapsed="false">
      <c r="A851" s="3" t="n">
        <f aca="false">A850+1</f>
        <v>842</v>
      </c>
      <c r="B851" s="3" t="n">
        <f aca="false">IF(A851&lt;$N$4/3,0.1,(IF(A851&gt;2*$N$4/3,0.05,0.12)))</f>
        <v>0.05</v>
      </c>
      <c r="C851" s="4" t="n">
        <f aca="true">RAND()</f>
        <v>0.124932824226781</v>
      </c>
      <c r="D851" s="0" t="n">
        <f aca="false">IF((C851&gt;$M$2),1,0)</f>
        <v>0</v>
      </c>
      <c r="E851" s="0" t="n">
        <f aca="false">1-D851</f>
        <v>1</v>
      </c>
      <c r="F851" s="0" t="n">
        <f aca="true">RAND()</f>
        <v>0.136437670008218</v>
      </c>
      <c r="G851" s="0" t="n">
        <f aca="false">7.75+F851*10</f>
        <v>9.11437670008218</v>
      </c>
      <c r="H851" s="0" t="n">
        <f aca="false">LOGINV(F851,2.64,1.139)</f>
        <v>4.01937487109202</v>
      </c>
      <c r="I851" s="0" t="n">
        <v>19.5</v>
      </c>
      <c r="J851" s="4" t="n">
        <f aca="true">-LN(RAND())/B851</f>
        <v>5.37327400651284</v>
      </c>
      <c r="K851" s="4" t="n">
        <f aca="false">K850+J851</f>
        <v>9908.64111393963</v>
      </c>
      <c r="L851" s="4" t="n">
        <f aca="false">(1/$J$4)*(1+AB850)</f>
        <v>10</v>
      </c>
      <c r="M851" s="4" t="n">
        <f aca="false">L851+MAX(K851,Y$10:Y850)</f>
        <v>9941.08328233938</v>
      </c>
      <c r="N851" s="4" t="n">
        <f aca="false">K851</f>
        <v>9908.64111393963</v>
      </c>
      <c r="O851" s="4" t="n">
        <f aca="false">M851-K851</f>
        <v>32.4421683997534</v>
      </c>
      <c r="P851" s="4" t="n">
        <f aca="false">N851-K851</f>
        <v>0</v>
      </c>
      <c r="Q851" s="4" t="n">
        <f aca="false">A851-MATCH(K851,$M$9:M850,1)</f>
        <v>3</v>
      </c>
      <c r="R851" s="0" t="n">
        <f aca="false">-G851*(O851/3600)</f>
        <v>-0.0821361510452375</v>
      </c>
      <c r="S851" s="0" t="n">
        <f aca="false">-1*I851-(H851*(P851/3600))</f>
        <v>-19.5</v>
      </c>
      <c r="T851" s="0" t="n">
        <f aca="false">-H851*(O851/3600)</f>
        <v>-0.0362214545638068</v>
      </c>
      <c r="U851" s="0" t="n">
        <f aca="false">T851-S851</f>
        <v>19.4637785454362</v>
      </c>
      <c r="V851" s="0" t="n">
        <f aca="false">1/(1+EXP(U851))</f>
        <v>3.52361442470748E-009</v>
      </c>
      <c r="W851" s="0" t="n">
        <f aca="true">RAND()</f>
        <v>0.498653430230688</v>
      </c>
      <c r="X851" s="0" t="n">
        <f aca="false">IF(W851&lt;V851,1,0)</f>
        <v>0</v>
      </c>
      <c r="Y851" s="0" t="n">
        <f aca="false">(M851*(1-X851)+N851*X851)*D851+M851*E851</f>
        <v>9941.08328233938</v>
      </c>
      <c r="Z851" s="0" t="n">
        <f aca="false">((1-X851)*O851+X851*P851)*D851+E851*O851</f>
        <v>32.4421683997534</v>
      </c>
      <c r="AA851" s="0" t="n">
        <f aca="false">IF(D851*X851&gt;0,AA850,Q851)</f>
        <v>3</v>
      </c>
      <c r="AB851" s="0" t="n">
        <f aca="false">(X851*D851)</f>
        <v>0</v>
      </c>
      <c r="AC851" s="0" t="n">
        <f aca="false">SUM(AB$10:AB850)/K851</f>
        <v>0.000100922012261922</v>
      </c>
      <c r="AD851" s="0" t="n">
        <f aca="false">R851*E851+D851*(X851*S851+(1-X851)*T851)</f>
        <v>-0.0821361510452375</v>
      </c>
      <c r="AE851" s="0" t="n">
        <f aca="false">Z851</f>
        <v>32.4421683997534</v>
      </c>
      <c r="AF851" s="0" t="n">
        <f aca="false">E851*O851</f>
        <v>32.4421683997534</v>
      </c>
      <c r="AG851" s="0" t="n">
        <f aca="false">((1-X851)*O851+X851*P851)*D851</f>
        <v>0</v>
      </c>
      <c r="AH851" s="0" t="n">
        <f aca="false">D851*(LN(EXP(S851)+EXP(T851)))</f>
        <v>-0</v>
      </c>
      <c r="AJ851" s="0" t="n">
        <f aca="false">$J$5</f>
        <v>10</v>
      </c>
      <c r="AK851" s="4" t="n">
        <f aca="false">AJ851+MAX(K851,AK$10:AK850)</f>
        <v>9941.08328233938</v>
      </c>
      <c r="AL851" s="5" t="n">
        <f aca="false">AK851-K851</f>
        <v>32.4421683997534</v>
      </c>
      <c r="AM851" s="0" t="n">
        <f aca="false">-G851*AL851/3600</f>
        <v>-0.0821361510452375</v>
      </c>
      <c r="AN851" s="0" t="n">
        <f aca="false">-H851*AL851/3600</f>
        <v>-0.0362214545638068</v>
      </c>
      <c r="AO851" s="0" t="n">
        <f aca="false">AM851*E851+AN851*D851</f>
        <v>-0.0821361510452375</v>
      </c>
      <c r="AP851" s="0" t="n">
        <f aca="false">AL851*D851</f>
        <v>0</v>
      </c>
      <c r="AR851" s="0" t="n">
        <f aca="false">AN851*D851</f>
        <v>-0</v>
      </c>
      <c r="AS851" s="0" t="n">
        <f aca="false">AH851-AR851</f>
        <v>0</v>
      </c>
    </row>
    <row r="852" customFormat="false" ht="12" hidden="false" customHeight="false" outlineLevel="0" collapsed="false">
      <c r="A852" s="3" t="n">
        <f aca="false">A851+1</f>
        <v>843</v>
      </c>
      <c r="B852" s="3" t="n">
        <f aca="false">IF(A852&lt;$N$4/3,0.1,(IF(A852&gt;2*$N$4/3,0.05,0.12)))</f>
        <v>0.05</v>
      </c>
      <c r="C852" s="4" t="n">
        <f aca="true">RAND()</f>
        <v>0.528912049693261</v>
      </c>
      <c r="D852" s="0" t="n">
        <f aca="false">IF((C852&gt;$M$2),1,0)</f>
        <v>0</v>
      </c>
      <c r="E852" s="0" t="n">
        <f aca="false">1-D852</f>
        <v>1</v>
      </c>
      <c r="F852" s="0" t="n">
        <f aca="true">RAND()</f>
        <v>0.917337800924299</v>
      </c>
      <c r="G852" s="0" t="n">
        <f aca="false">7.75+F852*10</f>
        <v>16.923378009243</v>
      </c>
      <c r="H852" s="0" t="n">
        <f aca="false">LOGINV(F852,2.64,1.139)</f>
        <v>68.0492364538203</v>
      </c>
      <c r="I852" s="0" t="n">
        <v>19.5</v>
      </c>
      <c r="J852" s="4" t="n">
        <f aca="true">-LN(RAND())/B852</f>
        <v>5.1530468683903</v>
      </c>
      <c r="K852" s="4" t="n">
        <f aca="false">K851+J852</f>
        <v>9913.79416080802</v>
      </c>
      <c r="L852" s="4" t="n">
        <f aca="false">(1/$J$4)*(1+AB851)</f>
        <v>10</v>
      </c>
      <c r="M852" s="4" t="n">
        <f aca="false">L852+MAX(K852,Y$10:Y851)</f>
        <v>9951.08328233938</v>
      </c>
      <c r="N852" s="4" t="n">
        <f aca="false">K852</f>
        <v>9913.79416080802</v>
      </c>
      <c r="O852" s="4" t="n">
        <f aca="false">M852-K852</f>
        <v>37.289121531363</v>
      </c>
      <c r="P852" s="4" t="n">
        <f aca="false">N852-K852</f>
        <v>0</v>
      </c>
      <c r="Q852" s="4" t="n">
        <f aca="false">A852-MATCH(K852,$M$9:M851,1)</f>
        <v>3</v>
      </c>
      <c r="R852" s="0" t="n">
        <f aca="false">-G852*(O852/3600)</f>
        <v>-0.175293860918849</v>
      </c>
      <c r="S852" s="0" t="n">
        <f aca="false">-1*I852-(H852*(P852/3600))</f>
        <v>-19.5</v>
      </c>
      <c r="T852" s="0" t="n">
        <f aca="false">-H852*(O852/3600)</f>
        <v>-0.704860068956378</v>
      </c>
      <c r="U852" s="0" t="n">
        <f aca="false">T852-S852</f>
        <v>18.7951399310436</v>
      </c>
      <c r="V852" s="0" t="n">
        <f aca="false">1/(1+EXP(U852))</f>
        <v>6.87661069503031E-009</v>
      </c>
      <c r="W852" s="0" t="n">
        <f aca="true">RAND()</f>
        <v>0.717863871388211</v>
      </c>
      <c r="X852" s="0" t="n">
        <f aca="false">IF(W852&lt;V852,1,0)</f>
        <v>0</v>
      </c>
      <c r="Y852" s="0" t="n">
        <f aca="false">(M852*(1-X852)+N852*X852)*D852+M852*E852</f>
        <v>9951.08328233938</v>
      </c>
      <c r="Z852" s="0" t="n">
        <f aca="false">((1-X852)*O852+X852*P852)*D852+E852*O852</f>
        <v>37.289121531363</v>
      </c>
      <c r="AA852" s="0" t="n">
        <f aca="false">IF(D852*X852&gt;0,AA851,Q852)</f>
        <v>3</v>
      </c>
      <c r="AB852" s="0" t="n">
        <f aca="false">(X852*D852)</f>
        <v>0</v>
      </c>
      <c r="AC852" s="0" t="n">
        <f aca="false">SUM(AB$10:AB851)/K852</f>
        <v>0.000100869554459107</v>
      </c>
      <c r="AD852" s="0" t="n">
        <f aca="false">R852*E852+D852*(X852*S852+(1-X852)*T852)</f>
        <v>-0.175293860918849</v>
      </c>
      <c r="AE852" s="0" t="n">
        <f aca="false">Z852</f>
        <v>37.289121531363</v>
      </c>
      <c r="AF852" s="0" t="n">
        <f aca="false">E852*O852</f>
        <v>37.289121531363</v>
      </c>
      <c r="AG852" s="0" t="n">
        <f aca="false">((1-X852)*O852+X852*P852)*D852</f>
        <v>0</v>
      </c>
      <c r="AH852" s="0" t="n">
        <f aca="false">D852*(LN(EXP(S852)+EXP(T852)))</f>
        <v>-0</v>
      </c>
      <c r="AJ852" s="0" t="n">
        <f aca="false">$J$5</f>
        <v>10</v>
      </c>
      <c r="AK852" s="4" t="n">
        <f aca="false">AJ852+MAX(K852,AK$10:AK851)</f>
        <v>9951.08328233938</v>
      </c>
      <c r="AL852" s="5" t="n">
        <f aca="false">AK852-K852</f>
        <v>37.289121531363</v>
      </c>
      <c r="AM852" s="0" t="n">
        <f aca="false">-G852*AL852/3600</f>
        <v>-0.175293860918849</v>
      </c>
      <c r="AN852" s="0" t="n">
        <f aca="false">-H852*AL852/3600</f>
        <v>-0.704860068956378</v>
      </c>
      <c r="AO852" s="0" t="n">
        <f aca="false">AM852*E852+AN852*D852</f>
        <v>-0.175293860918849</v>
      </c>
      <c r="AP852" s="0" t="n">
        <f aca="false">AL852*D852</f>
        <v>0</v>
      </c>
      <c r="AR852" s="0" t="n">
        <f aca="false">AN852*D852</f>
        <v>-0</v>
      </c>
      <c r="AS852" s="0" t="n">
        <f aca="false">AH852-AR852</f>
        <v>0</v>
      </c>
    </row>
    <row r="853" customFormat="false" ht="12" hidden="false" customHeight="false" outlineLevel="0" collapsed="false">
      <c r="A853" s="3" t="n">
        <f aca="false">A852+1</f>
        <v>844</v>
      </c>
      <c r="B853" s="3" t="n">
        <f aca="false">IF(A853&lt;$N$4/3,0.1,(IF(A853&gt;2*$N$4/3,0.05,0.12)))</f>
        <v>0.05</v>
      </c>
      <c r="C853" s="4" t="n">
        <f aca="true">RAND()</f>
        <v>0.154031793173467</v>
      </c>
      <c r="D853" s="0" t="n">
        <f aca="false">IF((C853&gt;$M$2),1,0)</f>
        <v>0</v>
      </c>
      <c r="E853" s="0" t="n">
        <f aca="false">1-D853</f>
        <v>1</v>
      </c>
      <c r="F853" s="0" t="n">
        <f aca="true">RAND()</f>
        <v>0.840025011257724</v>
      </c>
      <c r="G853" s="0" t="n">
        <f aca="false">7.75+F853*10</f>
        <v>16.1502501125772</v>
      </c>
      <c r="H853" s="0" t="n">
        <f aca="false">LOGINV(F853,2.64,1.139)</f>
        <v>43.5019001432181</v>
      </c>
      <c r="I853" s="0" t="n">
        <v>19.5</v>
      </c>
      <c r="J853" s="4" t="n">
        <f aca="true">-LN(RAND())/B853</f>
        <v>27.5162737099038</v>
      </c>
      <c r="K853" s="4" t="n">
        <f aca="false">K852+J853</f>
        <v>9941.31043451792</v>
      </c>
      <c r="L853" s="4" t="n">
        <f aca="false">(1/$J$4)*(1+AB852)</f>
        <v>10</v>
      </c>
      <c r="M853" s="4" t="n">
        <f aca="false">L853+MAX(K853,Y$10:Y852)</f>
        <v>9961.08328233938</v>
      </c>
      <c r="N853" s="4" t="n">
        <f aca="false">K853</f>
        <v>9941.31043451792</v>
      </c>
      <c r="O853" s="4" t="n">
        <f aca="false">M853-K853</f>
        <v>19.7728478214594</v>
      </c>
      <c r="P853" s="4" t="n">
        <f aca="false">N853-K853</f>
        <v>0</v>
      </c>
      <c r="Q853" s="4" t="n">
        <f aca="false">A853-MATCH(K853,$M$9:M852,1)</f>
        <v>1</v>
      </c>
      <c r="R853" s="0" t="n">
        <f aca="false">-G853*(O853/3600)</f>
        <v>-0.0887045660429161</v>
      </c>
      <c r="S853" s="0" t="n">
        <f aca="false">-1*I853-(H853*(P853/3600))</f>
        <v>-19.5</v>
      </c>
      <c r="T853" s="0" t="n">
        <f aca="false">-H853*(O853/3600)</f>
        <v>-0.238932347632271</v>
      </c>
      <c r="U853" s="0" t="n">
        <f aca="false">T853-S853</f>
        <v>19.2610676523677</v>
      </c>
      <c r="V853" s="0" t="n">
        <f aca="false">1/(1+EXP(U853))</f>
        <v>4.31543521441226E-009</v>
      </c>
      <c r="W853" s="0" t="n">
        <f aca="true">RAND()</f>
        <v>0.192520173962815</v>
      </c>
      <c r="X853" s="0" t="n">
        <f aca="false">IF(W853&lt;V853,1,0)</f>
        <v>0</v>
      </c>
      <c r="Y853" s="0" t="n">
        <f aca="false">(M853*(1-X853)+N853*X853)*D853+M853*E853</f>
        <v>9961.08328233938</v>
      </c>
      <c r="Z853" s="0" t="n">
        <f aca="false">((1-X853)*O853+X853*P853)*D853+E853*O853</f>
        <v>19.7728478214594</v>
      </c>
      <c r="AA853" s="0" t="n">
        <f aca="false">IF(D853*X853&gt;0,AA852,Q853)</f>
        <v>1</v>
      </c>
      <c r="AB853" s="0" t="n">
        <f aca="false">(X853*D853)</f>
        <v>0</v>
      </c>
      <c r="AC853" s="0" t="n">
        <f aca="false">SUM(AB$10:AB852)/K853</f>
        <v>0.000100590360454677</v>
      </c>
      <c r="AD853" s="0" t="n">
        <f aca="false">R853*E853+D853*(X853*S853+(1-X853)*T853)</f>
        <v>-0.0887045660429161</v>
      </c>
      <c r="AE853" s="0" t="n">
        <f aca="false">Z853</f>
        <v>19.7728478214594</v>
      </c>
      <c r="AF853" s="0" t="n">
        <f aca="false">E853*O853</f>
        <v>19.7728478214594</v>
      </c>
      <c r="AG853" s="0" t="n">
        <f aca="false">((1-X853)*O853+X853*P853)*D853</f>
        <v>0</v>
      </c>
      <c r="AH853" s="0" t="n">
        <f aca="false">D853*(LN(EXP(S853)+EXP(T853)))</f>
        <v>-0</v>
      </c>
      <c r="AJ853" s="0" t="n">
        <f aca="false">$J$5</f>
        <v>10</v>
      </c>
      <c r="AK853" s="4" t="n">
        <f aca="false">AJ853+MAX(K853,AK$10:AK852)</f>
        <v>9961.08328233938</v>
      </c>
      <c r="AL853" s="5" t="n">
        <f aca="false">AK853-K853</f>
        <v>19.7728478214594</v>
      </c>
      <c r="AM853" s="0" t="n">
        <f aca="false">-G853*AL853/3600</f>
        <v>-0.0887045660429161</v>
      </c>
      <c r="AN853" s="0" t="n">
        <f aca="false">-H853*AL853/3600</f>
        <v>-0.238932347632271</v>
      </c>
      <c r="AO853" s="0" t="n">
        <f aca="false">AM853*E853+AN853*D853</f>
        <v>-0.0887045660429161</v>
      </c>
      <c r="AP853" s="0" t="n">
        <f aca="false">AL853*D853</f>
        <v>0</v>
      </c>
      <c r="AR853" s="0" t="n">
        <f aca="false">AN853*D853</f>
        <v>-0</v>
      </c>
      <c r="AS853" s="0" t="n">
        <f aca="false">AH853-AR853</f>
        <v>0</v>
      </c>
    </row>
    <row r="854" customFormat="false" ht="12" hidden="false" customHeight="false" outlineLevel="0" collapsed="false">
      <c r="A854" s="3" t="n">
        <f aca="false">A853+1</f>
        <v>845</v>
      </c>
      <c r="B854" s="3" t="n">
        <f aca="false">IF(A854&lt;$N$4/3,0.1,(IF(A854&gt;2*$N$4/3,0.05,0.12)))</f>
        <v>0.05</v>
      </c>
      <c r="C854" s="4" t="n">
        <f aca="true">RAND()</f>
        <v>0.349877622569665</v>
      </c>
      <c r="D854" s="0" t="n">
        <f aca="false">IF((C854&gt;$M$2),1,0)</f>
        <v>0</v>
      </c>
      <c r="E854" s="0" t="n">
        <f aca="false">1-D854</f>
        <v>1</v>
      </c>
      <c r="F854" s="0" t="n">
        <f aca="true">RAND()</f>
        <v>0.145118907156488</v>
      </c>
      <c r="G854" s="0" t="n">
        <f aca="false">7.75+F854*10</f>
        <v>9.20118907156488</v>
      </c>
      <c r="H854" s="0" t="n">
        <f aca="false">LOGINV(F854,2.64,1.139)</f>
        <v>4.20129801835974</v>
      </c>
      <c r="I854" s="0" t="n">
        <v>19.5</v>
      </c>
      <c r="J854" s="4" t="n">
        <f aca="true">-LN(RAND())/B854</f>
        <v>2.33466636787199</v>
      </c>
      <c r="K854" s="4" t="n">
        <f aca="false">K853+J854</f>
        <v>9943.64510088579</v>
      </c>
      <c r="L854" s="4" t="n">
        <f aca="false">(1/$J$4)*(1+AB853)</f>
        <v>10</v>
      </c>
      <c r="M854" s="4" t="n">
        <f aca="false">L854+MAX(K854,Y$10:Y853)</f>
        <v>9971.08328233938</v>
      </c>
      <c r="N854" s="4" t="n">
        <f aca="false">K854</f>
        <v>9943.64510088579</v>
      </c>
      <c r="O854" s="4" t="n">
        <f aca="false">M854-K854</f>
        <v>27.4381814535882</v>
      </c>
      <c r="P854" s="4" t="n">
        <f aca="false">N854-K854</f>
        <v>0</v>
      </c>
      <c r="Q854" s="4" t="n">
        <f aca="false">A854-MATCH(K854,$M$9:M853,1)</f>
        <v>2</v>
      </c>
      <c r="R854" s="0" t="n">
        <f aca="false">-G854*(O854/3600)</f>
        <v>-0.0701288598151027</v>
      </c>
      <c r="S854" s="0" t="n">
        <f aca="false">-1*I854-(H854*(P854/3600))</f>
        <v>-19.5</v>
      </c>
      <c r="T854" s="0" t="n">
        <f aca="false">-H854*(O854/3600)</f>
        <v>-0.0320211048245431</v>
      </c>
      <c r="U854" s="0" t="n">
        <f aca="false">T854-S854</f>
        <v>19.4679788951755</v>
      </c>
      <c r="V854" s="0" t="n">
        <f aca="false">1/(1+EXP(U854))</f>
        <v>3.50884505180971E-009</v>
      </c>
      <c r="W854" s="0" t="n">
        <f aca="true">RAND()</f>
        <v>0.474238896785408</v>
      </c>
      <c r="X854" s="0" t="n">
        <f aca="false">IF(W854&lt;V854,1,0)</f>
        <v>0</v>
      </c>
      <c r="Y854" s="0" t="n">
        <f aca="false">(M854*(1-X854)+N854*X854)*D854+M854*E854</f>
        <v>9971.08328233938</v>
      </c>
      <c r="Z854" s="0" t="n">
        <f aca="false">((1-X854)*O854+X854*P854)*D854+E854*O854</f>
        <v>27.4381814535882</v>
      </c>
      <c r="AA854" s="0" t="n">
        <f aca="false">IF(D854*X854&gt;0,AA853,Q854)</f>
        <v>2</v>
      </c>
      <c r="AB854" s="0" t="n">
        <f aca="false">(X854*D854)</f>
        <v>0</v>
      </c>
      <c r="AC854" s="0" t="n">
        <f aca="false">SUM(AB$10:AB853)/K854</f>
        <v>0.000100566742864839</v>
      </c>
      <c r="AD854" s="0" t="n">
        <f aca="false">R854*E854+D854*(X854*S854+(1-X854)*T854)</f>
        <v>-0.0701288598151027</v>
      </c>
      <c r="AE854" s="0" t="n">
        <f aca="false">Z854</f>
        <v>27.4381814535882</v>
      </c>
      <c r="AF854" s="0" t="n">
        <f aca="false">E854*O854</f>
        <v>27.4381814535882</v>
      </c>
      <c r="AG854" s="0" t="n">
        <f aca="false">((1-X854)*O854+X854*P854)*D854</f>
        <v>0</v>
      </c>
      <c r="AH854" s="0" t="n">
        <f aca="false">D854*(LN(EXP(S854)+EXP(T854)))</f>
        <v>-0</v>
      </c>
      <c r="AJ854" s="0" t="n">
        <f aca="false">$J$5</f>
        <v>10</v>
      </c>
      <c r="AK854" s="4" t="n">
        <f aca="false">AJ854+MAX(K854,AK$10:AK853)</f>
        <v>9971.08328233938</v>
      </c>
      <c r="AL854" s="5" t="n">
        <f aca="false">AK854-K854</f>
        <v>27.4381814535882</v>
      </c>
      <c r="AM854" s="0" t="n">
        <f aca="false">-G854*AL854/3600</f>
        <v>-0.0701288598151027</v>
      </c>
      <c r="AN854" s="0" t="n">
        <f aca="false">-H854*AL854/3600</f>
        <v>-0.0320211048245431</v>
      </c>
      <c r="AO854" s="0" t="n">
        <f aca="false">AM854*E854+AN854*D854</f>
        <v>-0.0701288598151027</v>
      </c>
      <c r="AP854" s="0" t="n">
        <f aca="false">AL854*D854</f>
        <v>0</v>
      </c>
      <c r="AR854" s="0" t="n">
        <f aca="false">AN854*D854</f>
        <v>-0</v>
      </c>
      <c r="AS854" s="0" t="n">
        <f aca="false">AH854-AR854</f>
        <v>0</v>
      </c>
    </row>
    <row r="855" customFormat="false" ht="12" hidden="false" customHeight="false" outlineLevel="0" collapsed="false">
      <c r="A855" s="3" t="n">
        <f aca="false">A854+1</f>
        <v>846</v>
      </c>
      <c r="B855" s="3" t="n">
        <f aca="false">IF(A855&lt;$N$4/3,0.1,(IF(A855&gt;2*$N$4/3,0.05,0.12)))</f>
        <v>0.05</v>
      </c>
      <c r="C855" s="4" t="n">
        <f aca="true">RAND()</f>
        <v>0.866193141996801</v>
      </c>
      <c r="D855" s="0" t="n">
        <f aca="false">IF((C855&gt;$M$2),1,0)</f>
        <v>0</v>
      </c>
      <c r="E855" s="0" t="n">
        <f aca="false">1-D855</f>
        <v>1</v>
      </c>
      <c r="F855" s="0" t="n">
        <f aca="true">RAND()</f>
        <v>0.603653257011047</v>
      </c>
      <c r="G855" s="0" t="n">
        <f aca="false">7.75+F855*10</f>
        <v>13.7865325701105</v>
      </c>
      <c r="H855" s="0" t="n">
        <f aca="false">LOGINV(F855,2.64,1.139)</f>
        <v>18.9034760527524</v>
      </c>
      <c r="I855" s="0" t="n">
        <v>19.5</v>
      </c>
      <c r="J855" s="4" t="n">
        <f aca="true">-LN(RAND())/B855</f>
        <v>4.60613400650718</v>
      </c>
      <c r="K855" s="4" t="n">
        <f aca="false">K854+J855</f>
        <v>9948.2512348923</v>
      </c>
      <c r="L855" s="4" t="n">
        <f aca="false">(1/$J$4)*(1+AB854)</f>
        <v>10</v>
      </c>
      <c r="M855" s="4" t="n">
        <f aca="false">L855+MAX(K855,Y$10:Y854)</f>
        <v>9981.08328233938</v>
      </c>
      <c r="N855" s="4" t="n">
        <f aca="false">K855</f>
        <v>9948.2512348923</v>
      </c>
      <c r="O855" s="4" t="n">
        <f aca="false">M855-K855</f>
        <v>32.8320474470802</v>
      </c>
      <c r="P855" s="4" t="n">
        <f aca="false">N855-K855</f>
        <v>0</v>
      </c>
      <c r="Q855" s="4" t="n">
        <f aca="false">A855-MATCH(K855,$M$9:M854,1)</f>
        <v>3</v>
      </c>
      <c r="R855" s="0" t="n">
        <f aca="false">-G855*(O855/3600)</f>
        <v>-0.125733358742384</v>
      </c>
      <c r="S855" s="0" t="n">
        <f aca="false">-1*I855-(H855*(P855/3600))</f>
        <v>-19.5</v>
      </c>
      <c r="T855" s="0" t="n">
        <f aca="false">-H855*(O855/3600)</f>
        <v>-0.172399950744086</v>
      </c>
      <c r="U855" s="0" t="n">
        <f aca="false">T855-S855</f>
        <v>19.3276000492559</v>
      </c>
      <c r="V855" s="0" t="n">
        <f aca="false">1/(1+EXP(U855))</f>
        <v>4.03766188722807E-009</v>
      </c>
      <c r="W855" s="0" t="n">
        <f aca="true">RAND()</f>
        <v>0.902284221783829</v>
      </c>
      <c r="X855" s="0" t="n">
        <f aca="false">IF(W855&lt;V855,1,0)</f>
        <v>0</v>
      </c>
      <c r="Y855" s="0" t="n">
        <f aca="false">(M855*(1-X855)+N855*X855)*D855+M855*E855</f>
        <v>9981.08328233938</v>
      </c>
      <c r="Z855" s="0" t="n">
        <f aca="false">((1-X855)*O855+X855*P855)*D855+E855*O855</f>
        <v>32.8320474470802</v>
      </c>
      <c r="AA855" s="0" t="n">
        <f aca="false">IF(D855*X855&gt;0,AA854,Q855)</f>
        <v>3</v>
      </c>
      <c r="AB855" s="0" t="n">
        <f aca="false">(X855*D855)</f>
        <v>0</v>
      </c>
      <c r="AC855" s="0" t="n">
        <f aca="false">SUM(AB$10:AB854)/K855</f>
        <v>0.000100520179515835</v>
      </c>
      <c r="AD855" s="0" t="n">
        <f aca="false">R855*E855+D855*(X855*S855+(1-X855)*T855)</f>
        <v>-0.125733358742384</v>
      </c>
      <c r="AE855" s="0" t="n">
        <f aca="false">Z855</f>
        <v>32.8320474470802</v>
      </c>
      <c r="AF855" s="0" t="n">
        <f aca="false">E855*O855</f>
        <v>32.8320474470802</v>
      </c>
      <c r="AG855" s="0" t="n">
        <f aca="false">((1-X855)*O855+X855*P855)*D855</f>
        <v>0</v>
      </c>
      <c r="AH855" s="0" t="n">
        <f aca="false">D855*(LN(EXP(S855)+EXP(T855)))</f>
        <v>-0</v>
      </c>
      <c r="AJ855" s="0" t="n">
        <f aca="false">$J$5</f>
        <v>10</v>
      </c>
      <c r="AK855" s="4" t="n">
        <f aca="false">AJ855+MAX(K855,AK$10:AK854)</f>
        <v>9981.08328233938</v>
      </c>
      <c r="AL855" s="5" t="n">
        <f aca="false">AK855-K855</f>
        <v>32.8320474470802</v>
      </c>
      <c r="AM855" s="0" t="n">
        <f aca="false">-G855*AL855/3600</f>
        <v>-0.125733358742384</v>
      </c>
      <c r="AN855" s="0" t="n">
        <f aca="false">-H855*AL855/3600</f>
        <v>-0.172399950744086</v>
      </c>
      <c r="AO855" s="0" t="n">
        <f aca="false">AM855*E855+AN855*D855</f>
        <v>-0.125733358742384</v>
      </c>
      <c r="AP855" s="0" t="n">
        <f aca="false">AL855*D855</f>
        <v>0</v>
      </c>
      <c r="AR855" s="0" t="n">
        <f aca="false">AN855*D855</f>
        <v>-0</v>
      </c>
      <c r="AS855" s="0" t="n">
        <f aca="false">AH855-AR855</f>
        <v>0</v>
      </c>
    </row>
    <row r="856" customFormat="false" ht="12" hidden="false" customHeight="false" outlineLevel="0" collapsed="false">
      <c r="A856" s="3" t="n">
        <f aca="false">A855+1</f>
        <v>847</v>
      </c>
      <c r="B856" s="3" t="n">
        <f aca="false">IF(A856&lt;$N$4/3,0.1,(IF(A856&gt;2*$N$4/3,0.05,0.12)))</f>
        <v>0.05</v>
      </c>
      <c r="C856" s="4" t="n">
        <f aca="true">RAND()</f>
        <v>0.772623958964562</v>
      </c>
      <c r="D856" s="0" t="n">
        <f aca="false">IF((C856&gt;$M$2),1,0)</f>
        <v>0</v>
      </c>
      <c r="E856" s="0" t="n">
        <f aca="false">1-D856</f>
        <v>1</v>
      </c>
      <c r="F856" s="0" t="n">
        <f aca="true">RAND()</f>
        <v>0.414601870142818</v>
      </c>
      <c r="G856" s="0" t="n">
        <f aca="false">7.75+F856*10</f>
        <v>11.8960187014282</v>
      </c>
      <c r="H856" s="0" t="n">
        <f aca="false">LOGINV(F856,2.64,1.139)</f>
        <v>10.960430970984</v>
      </c>
      <c r="I856" s="0" t="n">
        <v>19.5</v>
      </c>
      <c r="J856" s="4" t="n">
        <f aca="true">-LN(RAND())/B856</f>
        <v>3.88171433936649</v>
      </c>
      <c r="K856" s="4" t="n">
        <f aca="false">K855+J856</f>
        <v>9952.13294923167</v>
      </c>
      <c r="L856" s="4" t="n">
        <f aca="false">(1/$J$4)*(1+AB855)</f>
        <v>10</v>
      </c>
      <c r="M856" s="4" t="n">
        <f aca="false">L856+MAX(K856,Y$10:Y855)</f>
        <v>9991.08328233938</v>
      </c>
      <c r="N856" s="4" t="n">
        <f aca="false">K856</f>
        <v>9952.13294923167</v>
      </c>
      <c r="O856" s="4" t="n">
        <f aca="false">M856-K856</f>
        <v>38.950333107714</v>
      </c>
      <c r="P856" s="4" t="n">
        <f aca="false">N856-K856</f>
        <v>0</v>
      </c>
      <c r="Q856" s="4" t="n">
        <f aca="false">A856-MATCH(K856,$M$9:M855,1)</f>
        <v>3</v>
      </c>
      <c r="R856" s="0" t="n">
        <f aca="false">-G856*(O856/3600)</f>
        <v>-0.12870941418784</v>
      </c>
      <c r="S856" s="0" t="n">
        <f aca="false">-1*I856-(H856*(P856/3600))</f>
        <v>-19.5</v>
      </c>
      <c r="T856" s="0" t="n">
        <f aca="false">-H856*(O856/3600)</f>
        <v>-0.118586788145537</v>
      </c>
      <c r="U856" s="0" t="n">
        <f aca="false">T856-S856</f>
        <v>19.3814132118545</v>
      </c>
      <c r="V856" s="0" t="n">
        <f aca="false">1/(1+EXP(U856))</f>
        <v>3.8261253044998E-009</v>
      </c>
      <c r="W856" s="0" t="n">
        <f aca="true">RAND()</f>
        <v>0.0695486206345794</v>
      </c>
      <c r="X856" s="0" t="n">
        <f aca="false">IF(W856&lt;V856,1,0)</f>
        <v>0</v>
      </c>
      <c r="Y856" s="0" t="n">
        <f aca="false">(M856*(1-X856)+N856*X856)*D856+M856*E856</f>
        <v>9991.08328233938</v>
      </c>
      <c r="Z856" s="0" t="n">
        <f aca="false">((1-X856)*O856+X856*P856)*D856+E856*O856</f>
        <v>38.950333107714</v>
      </c>
      <c r="AA856" s="0" t="n">
        <f aca="false">IF(D856*X856&gt;0,AA855,Q856)</f>
        <v>3</v>
      </c>
      <c r="AB856" s="0" t="n">
        <f aca="false">(X856*D856)</f>
        <v>0</v>
      </c>
      <c r="AC856" s="0" t="n">
        <f aca="false">SUM(AB$10:AB855)/K856</f>
        <v>0.000100480972782543</v>
      </c>
      <c r="AD856" s="0" t="n">
        <f aca="false">R856*E856+D856*(X856*S856+(1-X856)*T856)</f>
        <v>-0.12870941418784</v>
      </c>
      <c r="AE856" s="0" t="n">
        <f aca="false">Z856</f>
        <v>38.950333107714</v>
      </c>
      <c r="AF856" s="0" t="n">
        <f aca="false">E856*O856</f>
        <v>38.950333107714</v>
      </c>
      <c r="AG856" s="0" t="n">
        <f aca="false">((1-X856)*O856+X856*P856)*D856</f>
        <v>0</v>
      </c>
      <c r="AH856" s="0" t="n">
        <f aca="false">D856*(LN(EXP(S856)+EXP(T856)))</f>
        <v>-0</v>
      </c>
      <c r="AJ856" s="0" t="n">
        <f aca="false">$J$5</f>
        <v>10</v>
      </c>
      <c r="AK856" s="4" t="n">
        <f aca="false">AJ856+MAX(K856,AK$10:AK855)</f>
        <v>9991.08328233938</v>
      </c>
      <c r="AL856" s="5" t="n">
        <f aca="false">AK856-K856</f>
        <v>38.950333107714</v>
      </c>
      <c r="AM856" s="0" t="n">
        <f aca="false">-G856*AL856/3600</f>
        <v>-0.12870941418784</v>
      </c>
      <c r="AN856" s="0" t="n">
        <f aca="false">-H856*AL856/3600</f>
        <v>-0.118586788145537</v>
      </c>
      <c r="AO856" s="0" t="n">
        <f aca="false">AM856*E856+AN856*D856</f>
        <v>-0.12870941418784</v>
      </c>
      <c r="AP856" s="0" t="n">
        <f aca="false">AL856*D856</f>
        <v>0</v>
      </c>
      <c r="AR856" s="0" t="n">
        <f aca="false">AN856*D856</f>
        <v>-0</v>
      </c>
      <c r="AS856" s="0" t="n">
        <f aca="false">AH856-AR856</f>
        <v>0</v>
      </c>
    </row>
    <row r="857" customFormat="false" ht="12" hidden="false" customHeight="false" outlineLevel="0" collapsed="false">
      <c r="A857" s="3" t="n">
        <f aca="false">A856+1</f>
        <v>848</v>
      </c>
      <c r="B857" s="3" t="n">
        <f aca="false">IF(A857&lt;$N$4/3,0.1,(IF(A857&gt;2*$N$4/3,0.05,0.12)))</f>
        <v>0.05</v>
      </c>
      <c r="C857" s="4" t="n">
        <f aca="true">RAND()</f>
        <v>0.809789856187317</v>
      </c>
      <c r="D857" s="0" t="n">
        <f aca="false">IF((C857&gt;$M$2),1,0)</f>
        <v>0</v>
      </c>
      <c r="E857" s="0" t="n">
        <f aca="false">1-D857</f>
        <v>1</v>
      </c>
      <c r="F857" s="0" t="n">
        <f aca="true">RAND()</f>
        <v>0.866132536991765</v>
      </c>
      <c r="G857" s="0" t="n">
        <f aca="false">7.75+F857*10</f>
        <v>16.4113253699176</v>
      </c>
      <c r="H857" s="0" t="n">
        <f aca="false">LOGINV(F857,2.64,1.139)</f>
        <v>49.5185183317217</v>
      </c>
      <c r="I857" s="0" t="n">
        <v>19.5</v>
      </c>
      <c r="J857" s="4" t="n">
        <f aca="true">-LN(RAND())/B857</f>
        <v>62.7403867342312</v>
      </c>
      <c r="K857" s="4" t="n">
        <f aca="false">K856+J857</f>
        <v>10014.8733359659</v>
      </c>
      <c r="L857" s="4" t="n">
        <f aca="false">(1/$J$4)*(1+AB856)</f>
        <v>10</v>
      </c>
      <c r="M857" s="4" t="n">
        <f aca="false">L857+MAX(K857,Y$10:Y856)</f>
        <v>10024.8733359659</v>
      </c>
      <c r="N857" s="4" t="n">
        <f aca="false">K857</f>
        <v>10014.8733359659</v>
      </c>
      <c r="O857" s="4" t="n">
        <f aca="false">M857-K857</f>
        <v>10</v>
      </c>
      <c r="P857" s="4" t="n">
        <f aca="false">N857-K857</f>
        <v>0</v>
      </c>
      <c r="Q857" s="4" t="n">
        <f aca="false">A857-MATCH(K857,$M$9:M856,1)</f>
        <v>0</v>
      </c>
      <c r="R857" s="0" t="n">
        <f aca="false">-G857*(O857/3600)</f>
        <v>-0.0455870149164379</v>
      </c>
      <c r="S857" s="0" t="n">
        <f aca="false">-1*I857-(H857*(P857/3600))</f>
        <v>-19.5</v>
      </c>
      <c r="T857" s="0" t="n">
        <f aca="false">-H857*(O857/3600)</f>
        <v>-0.137551439810338</v>
      </c>
      <c r="U857" s="0" t="n">
        <f aca="false">T857-S857</f>
        <v>19.3624485601897</v>
      </c>
      <c r="V857" s="0" t="n">
        <f aca="false">1/(1+EXP(U857))</f>
        <v>3.89937885638418E-009</v>
      </c>
      <c r="W857" s="0" t="n">
        <f aca="true">RAND()</f>
        <v>0.861404597273445</v>
      </c>
      <c r="X857" s="0" t="n">
        <f aca="false">IF(W857&lt;V857,1,0)</f>
        <v>0</v>
      </c>
      <c r="Y857" s="0" t="n">
        <f aca="false">(M857*(1-X857)+N857*X857)*D857+M857*E857</f>
        <v>10024.8733359659</v>
      </c>
      <c r="Z857" s="0" t="n">
        <f aca="false">((1-X857)*O857+X857*P857)*D857+E857*O857</f>
        <v>10</v>
      </c>
      <c r="AA857" s="0" t="n">
        <f aca="false">IF(D857*X857&gt;0,AA856,Q857)</f>
        <v>0</v>
      </c>
      <c r="AB857" s="0" t="n">
        <f aca="false">(X857*D857)</f>
        <v>0</v>
      </c>
      <c r="AC857" s="0" t="n">
        <f aca="false">SUM(AB$10:AB856)/K857</f>
        <v>9.98514875279303E-005</v>
      </c>
      <c r="AD857" s="0" t="n">
        <f aca="false">R857*E857+D857*(X857*S857+(1-X857)*T857)</f>
        <v>-0.0455870149164379</v>
      </c>
      <c r="AE857" s="0" t="n">
        <f aca="false">Z857</f>
        <v>10</v>
      </c>
      <c r="AF857" s="0" t="n">
        <f aca="false">E857*O857</f>
        <v>10</v>
      </c>
      <c r="AG857" s="0" t="n">
        <f aca="false">((1-X857)*O857+X857*P857)*D857</f>
        <v>0</v>
      </c>
      <c r="AH857" s="0" t="n">
        <f aca="false">D857*(LN(EXP(S857)+EXP(T857)))</f>
        <v>-0</v>
      </c>
      <c r="AJ857" s="0" t="n">
        <f aca="false">$J$5</f>
        <v>10</v>
      </c>
      <c r="AK857" s="4" t="n">
        <f aca="false">AJ857+MAX(K857,AK$10:AK856)</f>
        <v>10024.8733359659</v>
      </c>
      <c r="AL857" s="5" t="n">
        <f aca="false">AK857-K857</f>
        <v>10</v>
      </c>
      <c r="AM857" s="0" t="n">
        <f aca="false">-G857*AL857/3600</f>
        <v>-0.0455870149164379</v>
      </c>
      <c r="AN857" s="0" t="n">
        <f aca="false">-H857*AL857/3600</f>
        <v>-0.137551439810338</v>
      </c>
      <c r="AO857" s="0" t="n">
        <f aca="false">AM857*E857+AN857*D857</f>
        <v>-0.0455870149164379</v>
      </c>
      <c r="AP857" s="0" t="n">
        <f aca="false">AL857*D857</f>
        <v>0</v>
      </c>
      <c r="AR857" s="0" t="n">
        <f aca="false">AN857*D857</f>
        <v>-0</v>
      </c>
      <c r="AS857" s="0" t="n">
        <f aca="false">AH857-AR857</f>
        <v>0</v>
      </c>
    </row>
    <row r="858" customFormat="false" ht="12" hidden="false" customHeight="false" outlineLevel="0" collapsed="false">
      <c r="A858" s="3" t="n">
        <f aca="false">A857+1</f>
        <v>849</v>
      </c>
      <c r="B858" s="3" t="n">
        <f aca="false">IF(A858&lt;$N$4/3,0.1,(IF(A858&gt;2*$N$4/3,0.05,0.12)))</f>
        <v>0.05</v>
      </c>
      <c r="C858" s="4" t="n">
        <f aca="true">RAND()</f>
        <v>0.149233981021809</v>
      </c>
      <c r="D858" s="0" t="n">
        <f aca="false">IF((C858&gt;$M$2),1,0)</f>
        <v>0</v>
      </c>
      <c r="E858" s="0" t="n">
        <f aca="false">1-D858</f>
        <v>1</v>
      </c>
      <c r="F858" s="0" t="n">
        <f aca="true">RAND()</f>
        <v>0.447311591312853</v>
      </c>
      <c r="G858" s="0" t="n">
        <f aca="false">7.75+F858*10</f>
        <v>12.2231159131285</v>
      </c>
      <c r="H858" s="0" t="n">
        <f aca="false">LOGINV(F858,2.64,1.139)</f>
        <v>12.0508112520869</v>
      </c>
      <c r="I858" s="0" t="n">
        <v>19.5</v>
      </c>
      <c r="J858" s="4" t="n">
        <f aca="true">-LN(RAND())/B858</f>
        <v>38.2091051260717</v>
      </c>
      <c r="K858" s="4" t="n">
        <f aca="false">K857+J858</f>
        <v>10053.082441092</v>
      </c>
      <c r="L858" s="4" t="n">
        <f aca="false">(1/$J$4)*(1+AB857)</f>
        <v>10</v>
      </c>
      <c r="M858" s="4" t="n">
        <f aca="false">L858+MAX(K858,Y$10:Y857)</f>
        <v>10063.082441092</v>
      </c>
      <c r="N858" s="4" t="n">
        <f aca="false">K858</f>
        <v>10053.082441092</v>
      </c>
      <c r="O858" s="4" t="n">
        <f aca="false">M858-K858</f>
        <v>10</v>
      </c>
      <c r="P858" s="4" t="n">
        <f aca="false">N858-K858</f>
        <v>0</v>
      </c>
      <c r="Q858" s="4" t="n">
        <f aca="false">A858-MATCH(K858,$M$9:M857,1)</f>
        <v>0</v>
      </c>
      <c r="R858" s="0" t="n">
        <f aca="false">-G858*(O858/3600)</f>
        <v>-0.0339530997586904</v>
      </c>
      <c r="S858" s="0" t="n">
        <f aca="false">-1*I858-(H858*(P858/3600))</f>
        <v>-19.5</v>
      </c>
      <c r="T858" s="0" t="n">
        <f aca="false">-H858*(O858/3600)</f>
        <v>-0.0334744757002414</v>
      </c>
      <c r="U858" s="0" t="n">
        <f aca="false">T858-S858</f>
        <v>19.4665255242998</v>
      </c>
      <c r="V858" s="0" t="n">
        <f aca="false">1/(1+EXP(U858))</f>
        <v>3.51394841263711E-009</v>
      </c>
      <c r="W858" s="0" t="n">
        <f aca="true">RAND()</f>
        <v>0.0632686526611852</v>
      </c>
      <c r="X858" s="0" t="n">
        <f aca="false">IF(W858&lt;V858,1,0)</f>
        <v>0</v>
      </c>
      <c r="Y858" s="0" t="n">
        <f aca="false">(M858*(1-X858)+N858*X858)*D858+M858*E858</f>
        <v>10063.082441092</v>
      </c>
      <c r="Z858" s="0" t="n">
        <f aca="false">((1-X858)*O858+X858*P858)*D858+E858*O858</f>
        <v>10</v>
      </c>
      <c r="AA858" s="0" t="n">
        <f aca="false">IF(D858*X858&gt;0,AA857,Q858)</f>
        <v>0</v>
      </c>
      <c r="AB858" s="0" t="n">
        <f aca="false">(X858*D858)</f>
        <v>0</v>
      </c>
      <c r="AC858" s="0" t="n">
        <f aca="false">SUM(AB$10:AB857)/K858</f>
        <v>9.9471978456329E-005</v>
      </c>
      <c r="AD858" s="0" t="n">
        <f aca="false">R858*E858+D858*(X858*S858+(1-X858)*T858)</f>
        <v>-0.0339530997586904</v>
      </c>
      <c r="AE858" s="0" t="n">
        <f aca="false">Z858</f>
        <v>10</v>
      </c>
      <c r="AF858" s="0" t="n">
        <f aca="false">E858*O858</f>
        <v>10</v>
      </c>
      <c r="AG858" s="0" t="n">
        <f aca="false">((1-X858)*O858+X858*P858)*D858</f>
        <v>0</v>
      </c>
      <c r="AH858" s="0" t="n">
        <f aca="false">D858*(LN(EXP(S858)+EXP(T858)))</f>
        <v>-0</v>
      </c>
      <c r="AJ858" s="0" t="n">
        <f aca="false">$J$5</f>
        <v>10</v>
      </c>
      <c r="AK858" s="4" t="n">
        <f aca="false">AJ858+MAX(K858,AK$10:AK857)</f>
        <v>10063.082441092</v>
      </c>
      <c r="AL858" s="5" t="n">
        <f aca="false">AK858-K858</f>
        <v>10</v>
      </c>
      <c r="AM858" s="0" t="n">
        <f aca="false">-G858*AL858/3600</f>
        <v>-0.0339530997586904</v>
      </c>
      <c r="AN858" s="0" t="n">
        <f aca="false">-H858*AL858/3600</f>
        <v>-0.0334744757002414</v>
      </c>
      <c r="AO858" s="0" t="n">
        <f aca="false">AM858*E858+AN858*D858</f>
        <v>-0.0339530997586904</v>
      </c>
      <c r="AP858" s="0" t="n">
        <f aca="false">AL858*D858</f>
        <v>0</v>
      </c>
      <c r="AR858" s="0" t="n">
        <f aca="false">AN858*D858</f>
        <v>-0</v>
      </c>
      <c r="AS858" s="0" t="n">
        <f aca="false">AH858-AR858</f>
        <v>0</v>
      </c>
    </row>
    <row r="859" customFormat="false" ht="12" hidden="false" customHeight="false" outlineLevel="0" collapsed="false">
      <c r="A859" s="3" t="n">
        <f aca="false">A858+1</f>
        <v>850</v>
      </c>
      <c r="B859" s="3" t="n">
        <f aca="false">IF(A859&lt;$N$4/3,0.1,(IF(A859&gt;2*$N$4/3,0.05,0.12)))</f>
        <v>0.05</v>
      </c>
      <c r="C859" s="4" t="n">
        <f aca="true">RAND()</f>
        <v>0.777819259614925</v>
      </c>
      <c r="D859" s="0" t="n">
        <f aca="false">IF((C859&gt;$M$2),1,0)</f>
        <v>0</v>
      </c>
      <c r="E859" s="0" t="n">
        <f aca="false">1-D859</f>
        <v>1</v>
      </c>
      <c r="F859" s="0" t="n">
        <f aca="true">RAND()</f>
        <v>0.0124048832428155</v>
      </c>
      <c r="G859" s="0" t="n">
        <f aca="false">7.75+F859*10</f>
        <v>7.87404883242816</v>
      </c>
      <c r="H859" s="0" t="n">
        <f aca="false">LOGINV(F859,2.64,1.139)</f>
        <v>1.08728432938374</v>
      </c>
      <c r="I859" s="0" t="n">
        <v>19.5</v>
      </c>
      <c r="J859" s="4" t="n">
        <f aca="true">-LN(RAND())/B859</f>
        <v>2.71348924314785</v>
      </c>
      <c r="K859" s="4" t="n">
        <f aca="false">K858+J859</f>
        <v>10055.7959303351</v>
      </c>
      <c r="L859" s="4" t="n">
        <f aca="false">(1/$J$4)*(1+AB858)</f>
        <v>10</v>
      </c>
      <c r="M859" s="4" t="n">
        <f aca="false">L859+MAX(K859,Y$10:Y858)</f>
        <v>10073.082441092</v>
      </c>
      <c r="N859" s="4" t="n">
        <f aca="false">K859</f>
        <v>10055.7959303351</v>
      </c>
      <c r="O859" s="4" t="n">
        <f aca="false">M859-K859</f>
        <v>17.2865107568523</v>
      </c>
      <c r="P859" s="4" t="n">
        <f aca="false">N859-K859</f>
        <v>0</v>
      </c>
      <c r="Q859" s="4" t="n">
        <f aca="false">A859-MATCH(K859,$M$9:M858,1)</f>
        <v>1</v>
      </c>
      <c r="R859" s="0" t="n">
        <f aca="false">-G859*(O859/3600)</f>
        <v>-0.0378096749560415</v>
      </c>
      <c r="S859" s="0" t="n">
        <f aca="false">-1*I859-(H859*(P859/3600))</f>
        <v>-19.5</v>
      </c>
      <c r="T859" s="0" t="n">
        <f aca="false">-H859*(O859/3600)</f>
        <v>-0.00522093118212471</v>
      </c>
      <c r="U859" s="0" t="n">
        <f aca="false">T859-S859</f>
        <v>19.4947790688179</v>
      </c>
      <c r="V859" s="0" t="n">
        <f aca="false">1/(1+EXP(U859))</f>
        <v>3.41605632615788E-009</v>
      </c>
      <c r="W859" s="0" t="n">
        <f aca="true">RAND()</f>
        <v>0.768701193705056</v>
      </c>
      <c r="X859" s="0" t="n">
        <f aca="false">IF(W859&lt;V859,1,0)</f>
        <v>0</v>
      </c>
      <c r="Y859" s="0" t="n">
        <f aca="false">(M859*(1-X859)+N859*X859)*D859+M859*E859</f>
        <v>10073.082441092</v>
      </c>
      <c r="Z859" s="0" t="n">
        <f aca="false">((1-X859)*O859+X859*P859)*D859+E859*O859</f>
        <v>17.2865107568523</v>
      </c>
      <c r="AA859" s="0" t="n">
        <f aca="false">IF(D859*X859&gt;0,AA858,Q859)</f>
        <v>1</v>
      </c>
      <c r="AB859" s="0" t="n">
        <f aca="false">(X859*D859)</f>
        <v>0</v>
      </c>
      <c r="AC859" s="0" t="n">
        <f aca="false">SUM(AB$10:AB858)/K859</f>
        <v>9.94451366085623E-005</v>
      </c>
      <c r="AD859" s="0" t="n">
        <f aca="false">R859*E859+D859*(X859*S859+(1-X859)*T859)</f>
        <v>-0.0378096749560415</v>
      </c>
      <c r="AE859" s="0" t="n">
        <f aca="false">Z859</f>
        <v>17.2865107568523</v>
      </c>
      <c r="AF859" s="0" t="n">
        <f aca="false">E859*O859</f>
        <v>17.2865107568523</v>
      </c>
      <c r="AG859" s="0" t="n">
        <f aca="false">((1-X859)*O859+X859*P859)*D859</f>
        <v>0</v>
      </c>
      <c r="AH859" s="0" t="n">
        <f aca="false">D859*(LN(EXP(S859)+EXP(T859)))</f>
        <v>-0</v>
      </c>
      <c r="AJ859" s="0" t="n">
        <f aca="false">$J$5</f>
        <v>10</v>
      </c>
      <c r="AK859" s="4" t="n">
        <f aca="false">AJ859+MAX(K859,AK$10:AK858)</f>
        <v>10073.082441092</v>
      </c>
      <c r="AL859" s="5" t="n">
        <f aca="false">AK859-K859</f>
        <v>17.2865107568523</v>
      </c>
      <c r="AM859" s="0" t="n">
        <f aca="false">-G859*AL859/3600</f>
        <v>-0.0378096749560415</v>
      </c>
      <c r="AN859" s="0" t="n">
        <f aca="false">-H859*AL859/3600</f>
        <v>-0.00522093118212471</v>
      </c>
      <c r="AO859" s="0" t="n">
        <f aca="false">AM859*E859+AN859*D859</f>
        <v>-0.0378096749560415</v>
      </c>
      <c r="AP859" s="0" t="n">
        <f aca="false">AL859*D859</f>
        <v>0</v>
      </c>
      <c r="AR859" s="0" t="n">
        <f aca="false">AN859*D859</f>
        <v>-0</v>
      </c>
      <c r="AS859" s="0" t="n">
        <f aca="false">AH859-AR859</f>
        <v>0</v>
      </c>
    </row>
    <row r="860" customFormat="false" ht="12" hidden="false" customHeight="false" outlineLevel="0" collapsed="false">
      <c r="A860" s="3" t="n">
        <f aca="false">A859+1</f>
        <v>851</v>
      </c>
      <c r="B860" s="3" t="n">
        <f aca="false">IF(A860&lt;$N$4/3,0.1,(IF(A860&gt;2*$N$4/3,0.05,0.12)))</f>
        <v>0.05</v>
      </c>
      <c r="C860" s="4" t="n">
        <f aca="true">RAND()</f>
        <v>0.649562087327378</v>
      </c>
      <c r="D860" s="0" t="n">
        <f aca="false">IF((C860&gt;$M$2),1,0)</f>
        <v>0</v>
      </c>
      <c r="E860" s="0" t="n">
        <f aca="false">1-D860</f>
        <v>1</v>
      </c>
      <c r="F860" s="0" t="n">
        <f aca="true">RAND()</f>
        <v>0.727445418287307</v>
      </c>
      <c r="G860" s="0" t="n">
        <f aca="false">7.75+F860*10</f>
        <v>15.0244541828731</v>
      </c>
      <c r="H860" s="0" t="n">
        <f aca="false">LOGINV(F860,2.64,1.139)</f>
        <v>27.91641069793</v>
      </c>
      <c r="I860" s="0" t="n">
        <v>19.5</v>
      </c>
      <c r="J860" s="4" t="n">
        <f aca="true">-LN(RAND())/B860</f>
        <v>76.2167332491822</v>
      </c>
      <c r="K860" s="4" t="n">
        <f aca="false">K859+J860</f>
        <v>10132.0126635843</v>
      </c>
      <c r="L860" s="4" t="n">
        <f aca="false">(1/$J$4)*(1+AB859)</f>
        <v>10</v>
      </c>
      <c r="M860" s="4" t="n">
        <f aca="false">L860+MAX(K860,Y$10:Y859)</f>
        <v>10142.0126635843</v>
      </c>
      <c r="N860" s="4" t="n">
        <f aca="false">K860</f>
        <v>10132.0126635843</v>
      </c>
      <c r="O860" s="4" t="n">
        <f aca="false">M860-K860</f>
        <v>10</v>
      </c>
      <c r="P860" s="4" t="n">
        <f aca="false">N860-K860</f>
        <v>0</v>
      </c>
      <c r="Q860" s="4" t="n">
        <f aca="false">A860-MATCH(K860,$M$9:M859,1)</f>
        <v>0</v>
      </c>
      <c r="R860" s="0" t="n">
        <f aca="false">-G860*(O860/3600)</f>
        <v>-0.0417345949524252</v>
      </c>
      <c r="S860" s="0" t="n">
        <f aca="false">-1*I860-(H860*(P860/3600))</f>
        <v>-19.5</v>
      </c>
      <c r="T860" s="0" t="n">
        <f aca="false">-H860*(O860/3600)</f>
        <v>-0.0775455852720277</v>
      </c>
      <c r="U860" s="0" t="n">
        <f aca="false">T860-S860</f>
        <v>19.422454414728</v>
      </c>
      <c r="V860" s="0" t="n">
        <f aca="false">1/(1+EXP(U860))</f>
        <v>3.67227521124607E-009</v>
      </c>
      <c r="W860" s="0" t="n">
        <f aca="true">RAND()</f>
        <v>0.0257231660740655</v>
      </c>
      <c r="X860" s="0" t="n">
        <f aca="false">IF(W860&lt;V860,1,0)</f>
        <v>0</v>
      </c>
      <c r="Y860" s="0" t="n">
        <f aca="false">(M860*(1-X860)+N860*X860)*D860+M860*E860</f>
        <v>10142.0126635843</v>
      </c>
      <c r="Z860" s="0" t="n">
        <f aca="false">((1-X860)*O860+X860*P860)*D860+E860*O860</f>
        <v>10</v>
      </c>
      <c r="AA860" s="0" t="n">
        <f aca="false">IF(D860*X860&gt;0,AA859,Q860)</f>
        <v>0</v>
      </c>
      <c r="AB860" s="0" t="n">
        <f aca="false">(X860*D860)</f>
        <v>0</v>
      </c>
      <c r="AC860" s="0" t="n">
        <f aca="false">SUM(AB$10:AB859)/K860</f>
        <v>9.86970736420537E-005</v>
      </c>
      <c r="AD860" s="0" t="n">
        <f aca="false">R860*E860+D860*(X860*S860+(1-X860)*T860)</f>
        <v>-0.0417345949524252</v>
      </c>
      <c r="AE860" s="0" t="n">
        <f aca="false">Z860</f>
        <v>10</v>
      </c>
      <c r="AF860" s="0" t="n">
        <f aca="false">E860*O860</f>
        <v>10</v>
      </c>
      <c r="AG860" s="0" t="n">
        <f aca="false">((1-X860)*O860+X860*P860)*D860</f>
        <v>0</v>
      </c>
      <c r="AH860" s="0" t="n">
        <f aca="false">D860*(LN(EXP(S860)+EXP(T860)))</f>
        <v>-0</v>
      </c>
      <c r="AJ860" s="0" t="n">
        <f aca="false">$J$5</f>
        <v>10</v>
      </c>
      <c r="AK860" s="4" t="n">
        <f aca="false">AJ860+MAX(K860,AK$10:AK859)</f>
        <v>10142.0126635843</v>
      </c>
      <c r="AL860" s="5" t="n">
        <f aca="false">AK860-K860</f>
        <v>10</v>
      </c>
      <c r="AM860" s="0" t="n">
        <f aca="false">-G860*AL860/3600</f>
        <v>-0.0417345949524252</v>
      </c>
      <c r="AN860" s="0" t="n">
        <f aca="false">-H860*AL860/3600</f>
        <v>-0.0775455852720277</v>
      </c>
      <c r="AO860" s="0" t="n">
        <f aca="false">AM860*E860+AN860*D860</f>
        <v>-0.0417345949524252</v>
      </c>
      <c r="AP860" s="0" t="n">
        <f aca="false">AL860*D860</f>
        <v>0</v>
      </c>
      <c r="AR860" s="0" t="n">
        <f aca="false">AN860*D860</f>
        <v>-0</v>
      </c>
      <c r="AS860" s="0" t="n">
        <f aca="false">AH860-AR860</f>
        <v>0</v>
      </c>
    </row>
    <row r="861" customFormat="false" ht="12" hidden="false" customHeight="false" outlineLevel="0" collapsed="false">
      <c r="A861" s="3" t="n">
        <f aca="false">A860+1</f>
        <v>852</v>
      </c>
      <c r="B861" s="3" t="n">
        <f aca="false">IF(A861&lt;$N$4/3,0.1,(IF(A861&gt;2*$N$4/3,0.05,0.12)))</f>
        <v>0.05</v>
      </c>
      <c r="C861" s="4" t="n">
        <f aca="true">RAND()</f>
        <v>0.296533930079535</v>
      </c>
      <c r="D861" s="0" t="n">
        <f aca="false">IF((C861&gt;$M$2),1,0)</f>
        <v>0</v>
      </c>
      <c r="E861" s="0" t="n">
        <f aca="false">1-D861</f>
        <v>1</v>
      </c>
      <c r="F861" s="0" t="n">
        <f aca="true">RAND()</f>
        <v>0.39560230955857</v>
      </c>
      <c r="G861" s="0" t="n">
        <f aca="false">7.75+F861*10</f>
        <v>11.7060230955857</v>
      </c>
      <c r="H861" s="0" t="n">
        <f aca="false">LOGINV(F861,2.64,1.139)</f>
        <v>10.3651947823742</v>
      </c>
      <c r="I861" s="0" t="n">
        <v>19.5</v>
      </c>
      <c r="J861" s="4" t="n">
        <f aca="true">-LN(RAND())/B861</f>
        <v>26.8225586226264</v>
      </c>
      <c r="K861" s="4" t="n">
        <f aca="false">K860+J861</f>
        <v>10158.8352222069</v>
      </c>
      <c r="L861" s="4" t="n">
        <f aca="false">(1/$J$4)*(1+AB860)</f>
        <v>10</v>
      </c>
      <c r="M861" s="4" t="n">
        <f aca="false">L861+MAX(K861,Y$10:Y860)</f>
        <v>10168.8352222069</v>
      </c>
      <c r="N861" s="4" t="n">
        <f aca="false">K861</f>
        <v>10158.8352222069</v>
      </c>
      <c r="O861" s="4" t="n">
        <f aca="false">M861-K861</f>
        <v>10</v>
      </c>
      <c r="P861" s="4" t="n">
        <f aca="false">N861-K861</f>
        <v>0</v>
      </c>
      <c r="Q861" s="4" t="n">
        <f aca="false">A861-MATCH(K861,$M$9:M860,1)</f>
        <v>0</v>
      </c>
      <c r="R861" s="0" t="n">
        <f aca="false">-G861*(O861/3600)</f>
        <v>-0.0325167308210714</v>
      </c>
      <c r="S861" s="0" t="n">
        <f aca="false">-1*I861-(H861*(P861/3600))</f>
        <v>-19.5</v>
      </c>
      <c r="T861" s="0" t="n">
        <f aca="false">-H861*(O861/3600)</f>
        <v>-0.0287922077288173</v>
      </c>
      <c r="U861" s="0" t="n">
        <f aca="false">T861-S861</f>
        <v>19.4712077922712</v>
      </c>
      <c r="V861" s="0" t="n">
        <f aca="false">1/(1+EXP(U861))</f>
        <v>3.49753362379825E-009</v>
      </c>
      <c r="W861" s="0" t="n">
        <f aca="true">RAND()</f>
        <v>0.659152012280257</v>
      </c>
      <c r="X861" s="0" t="n">
        <f aca="false">IF(W861&lt;V861,1,0)</f>
        <v>0</v>
      </c>
      <c r="Y861" s="0" t="n">
        <f aca="false">(M861*(1-X861)+N861*X861)*D861+M861*E861</f>
        <v>10168.8352222069</v>
      </c>
      <c r="Z861" s="0" t="n">
        <f aca="false">((1-X861)*O861+X861*P861)*D861+E861*O861</f>
        <v>10</v>
      </c>
      <c r="AA861" s="0" t="n">
        <f aca="false">IF(D861*X861&gt;0,AA860,Q861)</f>
        <v>0</v>
      </c>
      <c r="AB861" s="0" t="n">
        <f aca="false">(X861*D861)</f>
        <v>0</v>
      </c>
      <c r="AC861" s="0" t="n">
        <f aca="false">SUM(AB$10:AB860)/K861</f>
        <v>9.8436481951595E-005</v>
      </c>
      <c r="AD861" s="0" t="n">
        <f aca="false">R861*E861+D861*(X861*S861+(1-X861)*T861)</f>
        <v>-0.0325167308210714</v>
      </c>
      <c r="AE861" s="0" t="n">
        <f aca="false">Z861</f>
        <v>10</v>
      </c>
      <c r="AF861" s="0" t="n">
        <f aca="false">E861*O861</f>
        <v>10</v>
      </c>
      <c r="AG861" s="0" t="n">
        <f aca="false">((1-X861)*O861+X861*P861)*D861</f>
        <v>0</v>
      </c>
      <c r="AH861" s="0" t="n">
        <f aca="false">D861*(LN(EXP(S861)+EXP(T861)))</f>
        <v>-0</v>
      </c>
      <c r="AJ861" s="0" t="n">
        <f aca="false">$J$5</f>
        <v>10</v>
      </c>
      <c r="AK861" s="4" t="n">
        <f aca="false">AJ861+MAX(K861,AK$10:AK860)</f>
        <v>10168.8352222069</v>
      </c>
      <c r="AL861" s="5" t="n">
        <f aca="false">AK861-K861</f>
        <v>10</v>
      </c>
      <c r="AM861" s="0" t="n">
        <f aca="false">-G861*AL861/3600</f>
        <v>-0.0325167308210714</v>
      </c>
      <c r="AN861" s="0" t="n">
        <f aca="false">-H861*AL861/3600</f>
        <v>-0.0287922077288173</v>
      </c>
      <c r="AO861" s="0" t="n">
        <f aca="false">AM861*E861+AN861*D861</f>
        <v>-0.0325167308210714</v>
      </c>
      <c r="AP861" s="0" t="n">
        <f aca="false">AL861*D861</f>
        <v>0</v>
      </c>
      <c r="AR861" s="0" t="n">
        <f aca="false">AN861*D861</f>
        <v>-0</v>
      </c>
      <c r="AS861" s="0" t="n">
        <f aca="false">AH861-AR861</f>
        <v>0</v>
      </c>
    </row>
    <row r="862" customFormat="false" ht="12" hidden="false" customHeight="false" outlineLevel="0" collapsed="false">
      <c r="A862" s="3" t="n">
        <f aca="false">A861+1</f>
        <v>853</v>
      </c>
      <c r="B862" s="3" t="n">
        <f aca="false">IF(A862&lt;$N$4/3,0.1,(IF(A862&gt;2*$N$4/3,0.05,0.12)))</f>
        <v>0.05</v>
      </c>
      <c r="C862" s="4" t="n">
        <f aca="true">RAND()</f>
        <v>0.796143033103146</v>
      </c>
      <c r="D862" s="0" t="n">
        <f aca="false">IF((C862&gt;$M$2),1,0)</f>
        <v>0</v>
      </c>
      <c r="E862" s="0" t="n">
        <f aca="false">1-D862</f>
        <v>1</v>
      </c>
      <c r="F862" s="0" t="n">
        <f aca="true">RAND()</f>
        <v>0.581338690593082</v>
      </c>
      <c r="G862" s="0" t="n">
        <f aca="false">7.75+F862*10</f>
        <v>13.5633869059308</v>
      </c>
      <c r="H862" s="0" t="n">
        <f aca="false">LOGINV(F862,2.64,1.139)</f>
        <v>17.7052065476083</v>
      </c>
      <c r="I862" s="0" t="n">
        <v>19.5</v>
      </c>
      <c r="J862" s="4" t="n">
        <f aca="true">-LN(RAND())/B862</f>
        <v>34.867895593844</v>
      </c>
      <c r="K862" s="4" t="n">
        <f aca="false">K861+J862</f>
        <v>10193.7031178008</v>
      </c>
      <c r="L862" s="4" t="n">
        <f aca="false">(1/$J$4)*(1+AB861)</f>
        <v>10</v>
      </c>
      <c r="M862" s="4" t="n">
        <f aca="false">L862+MAX(K862,Y$10:Y861)</f>
        <v>10203.7031178008</v>
      </c>
      <c r="N862" s="4" t="n">
        <f aca="false">K862</f>
        <v>10193.7031178008</v>
      </c>
      <c r="O862" s="4" t="n">
        <f aca="false">M862-K862</f>
        <v>10</v>
      </c>
      <c r="P862" s="4" t="n">
        <f aca="false">N862-K862</f>
        <v>0</v>
      </c>
      <c r="Q862" s="4" t="n">
        <f aca="false">A862-MATCH(K862,$M$9:M861,1)</f>
        <v>0</v>
      </c>
      <c r="R862" s="0" t="n">
        <f aca="false">-G862*(O862/3600)</f>
        <v>-0.0376760747386967</v>
      </c>
      <c r="S862" s="0" t="n">
        <f aca="false">-1*I862-(H862*(P862/3600))</f>
        <v>-19.5</v>
      </c>
      <c r="T862" s="0" t="n">
        <f aca="false">-H862*(O862/3600)</f>
        <v>-0.0491811292989118</v>
      </c>
      <c r="U862" s="0" t="n">
        <f aca="false">T862-S862</f>
        <v>19.4508188707011</v>
      </c>
      <c r="V862" s="0" t="n">
        <f aca="false">1/(1+EXP(U862))</f>
        <v>3.56957650489736E-009</v>
      </c>
      <c r="W862" s="0" t="n">
        <f aca="true">RAND()</f>
        <v>0.291743166290029</v>
      </c>
      <c r="X862" s="0" t="n">
        <f aca="false">IF(W862&lt;V862,1,0)</f>
        <v>0</v>
      </c>
      <c r="Y862" s="0" t="n">
        <f aca="false">(M862*(1-X862)+N862*X862)*D862+M862*E862</f>
        <v>10203.7031178008</v>
      </c>
      <c r="Z862" s="0" t="n">
        <f aca="false">((1-X862)*O862+X862*P862)*D862+E862*O862</f>
        <v>10</v>
      </c>
      <c r="AA862" s="0" t="n">
        <f aca="false">IF(D862*X862&gt;0,AA861,Q862)</f>
        <v>0</v>
      </c>
      <c r="AB862" s="0" t="n">
        <f aca="false">(X862*D862)</f>
        <v>0</v>
      </c>
      <c r="AC862" s="0" t="n">
        <f aca="false">SUM(AB$10:AB861)/K862</f>
        <v>9.80997767390094E-005</v>
      </c>
      <c r="AD862" s="0" t="n">
        <f aca="false">R862*E862+D862*(X862*S862+(1-X862)*T862)</f>
        <v>-0.0376760747386967</v>
      </c>
      <c r="AE862" s="0" t="n">
        <f aca="false">Z862</f>
        <v>10</v>
      </c>
      <c r="AF862" s="0" t="n">
        <f aca="false">E862*O862</f>
        <v>10</v>
      </c>
      <c r="AG862" s="0" t="n">
        <f aca="false">((1-X862)*O862+X862*P862)*D862</f>
        <v>0</v>
      </c>
      <c r="AH862" s="0" t="n">
        <f aca="false">D862*(LN(EXP(S862)+EXP(T862)))</f>
        <v>-0</v>
      </c>
      <c r="AJ862" s="0" t="n">
        <f aca="false">$J$5</f>
        <v>10</v>
      </c>
      <c r="AK862" s="4" t="n">
        <f aca="false">AJ862+MAX(K862,AK$10:AK861)</f>
        <v>10203.7031178008</v>
      </c>
      <c r="AL862" s="5" t="n">
        <f aca="false">AK862-K862</f>
        <v>10</v>
      </c>
      <c r="AM862" s="0" t="n">
        <f aca="false">-G862*AL862/3600</f>
        <v>-0.0376760747386967</v>
      </c>
      <c r="AN862" s="0" t="n">
        <f aca="false">-H862*AL862/3600</f>
        <v>-0.0491811292989118</v>
      </c>
      <c r="AO862" s="0" t="n">
        <f aca="false">AM862*E862+AN862*D862</f>
        <v>-0.0376760747386967</v>
      </c>
      <c r="AP862" s="0" t="n">
        <f aca="false">AL862*D862</f>
        <v>0</v>
      </c>
      <c r="AR862" s="0" t="n">
        <f aca="false">AN862*D862</f>
        <v>-0</v>
      </c>
      <c r="AS862" s="0" t="n">
        <f aca="false">AH862-AR862</f>
        <v>0</v>
      </c>
    </row>
    <row r="863" customFormat="false" ht="12" hidden="false" customHeight="false" outlineLevel="0" collapsed="false">
      <c r="A863" s="3" t="n">
        <f aca="false">A862+1</f>
        <v>854</v>
      </c>
      <c r="B863" s="3" t="n">
        <f aca="false">IF(A863&lt;$N$4/3,0.1,(IF(A863&gt;2*$N$4/3,0.05,0.12)))</f>
        <v>0.05</v>
      </c>
      <c r="C863" s="4" t="n">
        <f aca="true">RAND()</f>
        <v>0.753368771770739</v>
      </c>
      <c r="D863" s="0" t="n">
        <f aca="false">IF((C863&gt;$M$2),1,0)</f>
        <v>0</v>
      </c>
      <c r="E863" s="0" t="n">
        <f aca="false">1-D863</f>
        <v>1</v>
      </c>
      <c r="F863" s="0" t="n">
        <f aca="true">RAND()</f>
        <v>0.298808421277685</v>
      </c>
      <c r="G863" s="0" t="n">
        <f aca="false">7.75+F863*10</f>
        <v>10.7380842127769</v>
      </c>
      <c r="H863" s="0" t="n">
        <f aca="false">LOGINV(F863,2.64,1.139)</f>
        <v>7.68139234133614</v>
      </c>
      <c r="I863" s="0" t="n">
        <v>19.5</v>
      </c>
      <c r="J863" s="4" t="n">
        <f aca="true">-LN(RAND())/B863</f>
        <v>8.73177588666407</v>
      </c>
      <c r="K863" s="4" t="n">
        <f aca="false">K862+J863</f>
        <v>10202.4348936874</v>
      </c>
      <c r="L863" s="4" t="n">
        <f aca="false">(1/$J$4)*(1+AB862)</f>
        <v>10</v>
      </c>
      <c r="M863" s="4" t="n">
        <f aca="false">L863+MAX(K863,Y$10:Y862)</f>
        <v>10213.7031178008</v>
      </c>
      <c r="N863" s="4" t="n">
        <f aca="false">K863</f>
        <v>10202.4348936874</v>
      </c>
      <c r="O863" s="4" t="n">
        <f aca="false">M863-K863</f>
        <v>11.2682241133352</v>
      </c>
      <c r="P863" s="4" t="n">
        <f aca="false">N863-K863</f>
        <v>0</v>
      </c>
      <c r="Q863" s="4" t="n">
        <f aca="false">A863-MATCH(K863,$M$9:M862,1)</f>
        <v>1</v>
      </c>
      <c r="R863" s="0" t="n">
        <f aca="false">-G863*(O863/3600)</f>
        <v>-0.0336108720715101</v>
      </c>
      <c r="S863" s="0" t="n">
        <f aca="false">-1*I863-(H863*(P863/3600))</f>
        <v>-19.5</v>
      </c>
      <c r="T863" s="0" t="n">
        <f aca="false">-H863*(O863/3600)</f>
        <v>-0.024043236223509</v>
      </c>
      <c r="U863" s="0" t="n">
        <f aca="false">T863-S863</f>
        <v>19.4759567637765</v>
      </c>
      <c r="V863" s="0" t="n">
        <f aca="false">1/(1+EXP(U863))</f>
        <v>3.48096331344578E-009</v>
      </c>
      <c r="W863" s="0" t="n">
        <f aca="true">RAND()</f>
        <v>0.17883437128</v>
      </c>
      <c r="X863" s="0" t="n">
        <f aca="false">IF(W863&lt;V863,1,0)</f>
        <v>0</v>
      </c>
      <c r="Y863" s="0" t="n">
        <f aca="false">(M863*(1-X863)+N863*X863)*D863+M863*E863</f>
        <v>10213.7031178008</v>
      </c>
      <c r="Z863" s="0" t="n">
        <f aca="false">((1-X863)*O863+X863*P863)*D863+E863*O863</f>
        <v>11.2682241133352</v>
      </c>
      <c r="AA863" s="0" t="n">
        <f aca="false">IF(D863*X863&gt;0,AA862,Q863)</f>
        <v>1</v>
      </c>
      <c r="AB863" s="0" t="n">
        <f aca="false">(X863*D863)</f>
        <v>0</v>
      </c>
      <c r="AC863" s="0" t="n">
        <f aca="false">SUM(AB$10:AB862)/K863</f>
        <v>9.80158178337145E-005</v>
      </c>
      <c r="AD863" s="0" t="n">
        <f aca="false">R863*E863+D863*(X863*S863+(1-X863)*T863)</f>
        <v>-0.0336108720715101</v>
      </c>
      <c r="AE863" s="0" t="n">
        <f aca="false">Z863</f>
        <v>11.2682241133352</v>
      </c>
      <c r="AF863" s="0" t="n">
        <f aca="false">E863*O863</f>
        <v>11.2682241133352</v>
      </c>
      <c r="AG863" s="0" t="n">
        <f aca="false">((1-X863)*O863+X863*P863)*D863</f>
        <v>0</v>
      </c>
      <c r="AH863" s="0" t="n">
        <f aca="false">D863*(LN(EXP(S863)+EXP(T863)))</f>
        <v>-0</v>
      </c>
      <c r="AJ863" s="0" t="n">
        <f aca="false">$J$5</f>
        <v>10</v>
      </c>
      <c r="AK863" s="4" t="n">
        <f aca="false">AJ863+MAX(K863,AK$10:AK862)</f>
        <v>10213.7031178008</v>
      </c>
      <c r="AL863" s="5" t="n">
        <f aca="false">AK863-K863</f>
        <v>11.2682241133352</v>
      </c>
      <c r="AM863" s="0" t="n">
        <f aca="false">-G863*AL863/3600</f>
        <v>-0.0336108720715101</v>
      </c>
      <c r="AN863" s="0" t="n">
        <f aca="false">-H863*AL863/3600</f>
        <v>-0.024043236223509</v>
      </c>
      <c r="AO863" s="0" t="n">
        <f aca="false">AM863*E863+AN863*D863</f>
        <v>-0.0336108720715101</v>
      </c>
      <c r="AP863" s="0" t="n">
        <f aca="false">AL863*D863</f>
        <v>0</v>
      </c>
      <c r="AR863" s="0" t="n">
        <f aca="false">AN863*D863</f>
        <v>-0</v>
      </c>
      <c r="AS863" s="0" t="n">
        <f aca="false">AH863-AR863</f>
        <v>0</v>
      </c>
    </row>
    <row r="864" customFormat="false" ht="12" hidden="false" customHeight="false" outlineLevel="0" collapsed="false">
      <c r="A864" s="3" t="n">
        <f aca="false">A863+1</f>
        <v>855</v>
      </c>
      <c r="B864" s="3" t="n">
        <f aca="false">IF(A864&lt;$N$4/3,0.1,(IF(A864&gt;2*$N$4/3,0.05,0.12)))</f>
        <v>0.05</v>
      </c>
      <c r="C864" s="4" t="n">
        <f aca="true">RAND()</f>
        <v>0.38321855339117</v>
      </c>
      <c r="D864" s="0" t="n">
        <f aca="false">IF((C864&gt;$M$2),1,0)</f>
        <v>0</v>
      </c>
      <c r="E864" s="0" t="n">
        <f aca="false">1-D864</f>
        <v>1</v>
      </c>
      <c r="F864" s="0" t="n">
        <f aca="true">RAND()</f>
        <v>0.229931861997251</v>
      </c>
      <c r="G864" s="0" t="n">
        <f aca="false">7.75+F864*10</f>
        <v>10.0493186199725</v>
      </c>
      <c r="H864" s="0" t="n">
        <f aca="false">LOGINV(F864,2.64,1.139)</f>
        <v>6.03875477938466</v>
      </c>
      <c r="I864" s="0" t="n">
        <v>19.5</v>
      </c>
      <c r="J864" s="4" t="n">
        <f aca="true">-LN(RAND())/B864</f>
        <v>5.2971082083745</v>
      </c>
      <c r="K864" s="4" t="n">
        <f aca="false">K863+J864</f>
        <v>10207.7320018958</v>
      </c>
      <c r="L864" s="4" t="n">
        <f aca="false">(1/$J$4)*(1+AB863)</f>
        <v>10</v>
      </c>
      <c r="M864" s="4" t="n">
        <f aca="false">L864+MAX(K864,Y$10:Y863)</f>
        <v>10223.7031178008</v>
      </c>
      <c r="N864" s="4" t="n">
        <f aca="false">K864</f>
        <v>10207.7320018958</v>
      </c>
      <c r="O864" s="4" t="n">
        <f aca="false">M864-K864</f>
        <v>15.9711159049602</v>
      </c>
      <c r="P864" s="4" t="n">
        <f aca="false">N864-K864</f>
        <v>0</v>
      </c>
      <c r="Q864" s="4" t="n">
        <f aca="false">A864-MATCH(K864,$M$9:M863,1)</f>
        <v>1</v>
      </c>
      <c r="R864" s="0" t="n">
        <f aca="false">-G864*(O864/3600)</f>
        <v>-0.0445830090126267</v>
      </c>
      <c r="S864" s="0" t="n">
        <f aca="false">-1*I864-(H864*(P864/3600))</f>
        <v>-19.5</v>
      </c>
      <c r="T864" s="0" t="n">
        <f aca="false">-H864*(O864/3600)</f>
        <v>-0.0267904590286625</v>
      </c>
      <c r="U864" s="0" t="n">
        <f aca="false">T864-S864</f>
        <v>19.4732095409713</v>
      </c>
      <c r="V864" s="0" t="n">
        <f aca="false">1/(1+EXP(U864))</f>
        <v>3.49053944306908E-009</v>
      </c>
      <c r="W864" s="0" t="n">
        <f aca="true">RAND()</f>
        <v>0.00297406171882677</v>
      </c>
      <c r="X864" s="0" t="n">
        <f aca="false">IF(W864&lt;V864,1,0)</f>
        <v>0</v>
      </c>
      <c r="Y864" s="0" t="n">
        <f aca="false">(M864*(1-X864)+N864*X864)*D864+M864*E864</f>
        <v>10223.7031178008</v>
      </c>
      <c r="Z864" s="0" t="n">
        <f aca="false">((1-X864)*O864+X864*P864)*D864+E864*O864</f>
        <v>15.9711159049602</v>
      </c>
      <c r="AA864" s="0" t="n">
        <f aca="false">IF(D864*X864&gt;0,AA863,Q864)</f>
        <v>1</v>
      </c>
      <c r="AB864" s="0" t="n">
        <f aca="false">(X864*D864)</f>
        <v>0</v>
      </c>
      <c r="AC864" s="0" t="n">
        <f aca="false">SUM(AB$10:AB863)/K864</f>
        <v>9.79649543908752E-005</v>
      </c>
      <c r="AD864" s="0" t="n">
        <f aca="false">R864*E864+D864*(X864*S864+(1-X864)*T864)</f>
        <v>-0.0445830090126267</v>
      </c>
      <c r="AE864" s="0" t="n">
        <f aca="false">Z864</f>
        <v>15.9711159049602</v>
      </c>
      <c r="AF864" s="0" t="n">
        <f aca="false">E864*O864</f>
        <v>15.9711159049602</v>
      </c>
      <c r="AG864" s="0" t="n">
        <f aca="false">((1-X864)*O864+X864*P864)*D864</f>
        <v>0</v>
      </c>
      <c r="AH864" s="0" t="n">
        <f aca="false">D864*(LN(EXP(S864)+EXP(T864)))</f>
        <v>-0</v>
      </c>
      <c r="AJ864" s="0" t="n">
        <f aca="false">$J$5</f>
        <v>10</v>
      </c>
      <c r="AK864" s="4" t="n">
        <f aca="false">AJ864+MAX(K864,AK$10:AK863)</f>
        <v>10223.7031178008</v>
      </c>
      <c r="AL864" s="5" t="n">
        <f aca="false">AK864-K864</f>
        <v>15.9711159049602</v>
      </c>
      <c r="AM864" s="0" t="n">
        <f aca="false">-G864*AL864/3600</f>
        <v>-0.0445830090126267</v>
      </c>
      <c r="AN864" s="0" t="n">
        <f aca="false">-H864*AL864/3600</f>
        <v>-0.0267904590286625</v>
      </c>
      <c r="AO864" s="0" t="n">
        <f aca="false">AM864*E864+AN864*D864</f>
        <v>-0.0445830090126267</v>
      </c>
      <c r="AP864" s="0" t="n">
        <f aca="false">AL864*D864</f>
        <v>0</v>
      </c>
      <c r="AR864" s="0" t="n">
        <f aca="false">AN864*D864</f>
        <v>-0</v>
      </c>
      <c r="AS864" s="0" t="n">
        <f aca="false">AH864-AR864</f>
        <v>0</v>
      </c>
    </row>
    <row r="865" customFormat="false" ht="12" hidden="false" customHeight="false" outlineLevel="0" collapsed="false">
      <c r="A865" s="3" t="n">
        <f aca="false">A864+1</f>
        <v>856</v>
      </c>
      <c r="B865" s="3" t="n">
        <f aca="false">IF(A865&lt;$N$4/3,0.1,(IF(A865&gt;2*$N$4/3,0.05,0.12)))</f>
        <v>0.05</v>
      </c>
      <c r="C865" s="4" t="n">
        <f aca="true">RAND()</f>
        <v>0.400712785571783</v>
      </c>
      <c r="D865" s="0" t="n">
        <f aca="false">IF((C865&gt;$M$2),1,0)</f>
        <v>0</v>
      </c>
      <c r="E865" s="0" t="n">
        <f aca="false">1-D865</f>
        <v>1</v>
      </c>
      <c r="F865" s="0" t="n">
        <f aca="true">RAND()</f>
        <v>0.594414950546991</v>
      </c>
      <c r="G865" s="0" t="n">
        <f aca="false">7.75+F865*10</f>
        <v>13.6941495054699</v>
      </c>
      <c r="H865" s="0" t="n">
        <f aca="false">LOGINV(F865,2.64,1.139)</f>
        <v>18.3958709440285</v>
      </c>
      <c r="I865" s="0" t="n">
        <v>19.5</v>
      </c>
      <c r="J865" s="4" t="n">
        <f aca="true">-LN(RAND())/B865</f>
        <v>19.1083361060796</v>
      </c>
      <c r="K865" s="4" t="n">
        <f aca="false">K864+J865</f>
        <v>10226.8403380019</v>
      </c>
      <c r="L865" s="4" t="n">
        <f aca="false">(1/$J$4)*(1+AB864)</f>
        <v>10</v>
      </c>
      <c r="M865" s="4" t="n">
        <f aca="false">L865+MAX(K865,Y$10:Y864)</f>
        <v>10236.8403380019</v>
      </c>
      <c r="N865" s="4" t="n">
        <f aca="false">K865</f>
        <v>10226.8403380019</v>
      </c>
      <c r="O865" s="4" t="n">
        <f aca="false">M865-K865</f>
        <v>10</v>
      </c>
      <c r="P865" s="4" t="n">
        <f aca="false">N865-K865</f>
        <v>0</v>
      </c>
      <c r="Q865" s="4" t="n">
        <f aca="false">A865-MATCH(K865,$M$9:M864,1)</f>
        <v>0</v>
      </c>
      <c r="R865" s="0" t="n">
        <f aca="false">-G865*(O865/3600)</f>
        <v>-0.0380393041818609</v>
      </c>
      <c r="S865" s="0" t="n">
        <f aca="false">-1*I865-(H865*(P865/3600))</f>
        <v>-19.5</v>
      </c>
      <c r="T865" s="0" t="n">
        <f aca="false">-H865*(O865/3600)</f>
        <v>-0.0510996415111904</v>
      </c>
      <c r="U865" s="0" t="n">
        <f aca="false">T865-S865</f>
        <v>19.4489003584888</v>
      </c>
      <c r="V865" s="0" t="n">
        <f aca="false">1/(1+EXP(U865))</f>
        <v>3.57643135444391E-009</v>
      </c>
      <c r="W865" s="0" t="n">
        <f aca="true">RAND()</f>
        <v>0.109286502377345</v>
      </c>
      <c r="X865" s="0" t="n">
        <f aca="false">IF(W865&lt;V865,1,0)</f>
        <v>0</v>
      </c>
      <c r="Y865" s="0" t="n">
        <f aca="false">(M865*(1-X865)+N865*X865)*D865+M865*E865</f>
        <v>10236.8403380019</v>
      </c>
      <c r="Z865" s="0" t="n">
        <f aca="false">((1-X865)*O865+X865*P865)*D865+E865*O865</f>
        <v>10</v>
      </c>
      <c r="AA865" s="0" t="n">
        <f aca="false">IF(D865*X865&gt;0,AA864,Q865)</f>
        <v>0</v>
      </c>
      <c r="AB865" s="0" t="n">
        <f aca="false">(X865*D865)</f>
        <v>0</v>
      </c>
      <c r="AC865" s="0" t="n">
        <f aca="false">SUM(AB$10:AB864)/K865</f>
        <v>9.77819118075113E-005</v>
      </c>
      <c r="AD865" s="0" t="n">
        <f aca="false">R865*E865+D865*(X865*S865+(1-X865)*T865)</f>
        <v>-0.0380393041818609</v>
      </c>
      <c r="AE865" s="0" t="n">
        <f aca="false">Z865</f>
        <v>10</v>
      </c>
      <c r="AF865" s="0" t="n">
        <f aca="false">E865*O865</f>
        <v>10</v>
      </c>
      <c r="AG865" s="0" t="n">
        <f aca="false">((1-X865)*O865+X865*P865)*D865</f>
        <v>0</v>
      </c>
      <c r="AH865" s="0" t="n">
        <f aca="false">D865*(LN(EXP(S865)+EXP(T865)))</f>
        <v>-0</v>
      </c>
      <c r="AJ865" s="0" t="n">
        <f aca="false">$J$5</f>
        <v>10</v>
      </c>
      <c r="AK865" s="4" t="n">
        <f aca="false">AJ865+MAX(K865,AK$10:AK864)</f>
        <v>10236.8403380019</v>
      </c>
      <c r="AL865" s="5" t="n">
        <f aca="false">AK865-K865</f>
        <v>10</v>
      </c>
      <c r="AM865" s="0" t="n">
        <f aca="false">-G865*AL865/3600</f>
        <v>-0.0380393041818609</v>
      </c>
      <c r="AN865" s="0" t="n">
        <f aca="false">-H865*AL865/3600</f>
        <v>-0.0510996415111904</v>
      </c>
      <c r="AO865" s="0" t="n">
        <f aca="false">AM865*E865+AN865*D865</f>
        <v>-0.0380393041818609</v>
      </c>
      <c r="AP865" s="0" t="n">
        <f aca="false">AL865*D865</f>
        <v>0</v>
      </c>
      <c r="AR865" s="0" t="n">
        <f aca="false">AN865*D865</f>
        <v>-0</v>
      </c>
      <c r="AS865" s="0" t="n">
        <f aca="false">AH865-AR865</f>
        <v>0</v>
      </c>
    </row>
    <row r="866" customFormat="false" ht="12" hidden="false" customHeight="false" outlineLevel="0" collapsed="false">
      <c r="A866" s="3" t="n">
        <f aca="false">A865+1</f>
        <v>857</v>
      </c>
      <c r="B866" s="3" t="n">
        <f aca="false">IF(A866&lt;$N$4/3,0.1,(IF(A866&gt;2*$N$4/3,0.05,0.12)))</f>
        <v>0.05</v>
      </c>
      <c r="C866" s="4" t="n">
        <f aca="true">RAND()</f>
        <v>0.254114105692841</v>
      </c>
      <c r="D866" s="0" t="n">
        <f aca="false">IF((C866&gt;$M$2),1,0)</f>
        <v>0</v>
      </c>
      <c r="E866" s="0" t="n">
        <f aca="false">1-D866</f>
        <v>1</v>
      </c>
      <c r="F866" s="0" t="n">
        <f aca="true">RAND()</f>
        <v>0.132676401920035</v>
      </c>
      <c r="G866" s="0" t="n">
        <f aca="false">7.75+F866*10</f>
        <v>9.07676401920035</v>
      </c>
      <c r="H866" s="0" t="n">
        <f aca="false">LOGINV(F866,2.64,1.139)</f>
        <v>3.94066477640129</v>
      </c>
      <c r="I866" s="0" t="n">
        <v>19.5</v>
      </c>
      <c r="J866" s="4" t="n">
        <f aca="true">-LN(RAND())/B866</f>
        <v>0.786992103215159</v>
      </c>
      <c r="K866" s="4" t="n">
        <f aca="false">K865+J866</f>
        <v>10227.6273301051</v>
      </c>
      <c r="L866" s="4" t="n">
        <f aca="false">(1/$J$4)*(1+AB865)</f>
        <v>10</v>
      </c>
      <c r="M866" s="4" t="n">
        <f aca="false">L866+MAX(K866,Y$10:Y865)</f>
        <v>10246.8403380019</v>
      </c>
      <c r="N866" s="4" t="n">
        <f aca="false">K866</f>
        <v>10227.6273301051</v>
      </c>
      <c r="O866" s="4" t="n">
        <f aca="false">M866-K866</f>
        <v>19.2130078967857</v>
      </c>
      <c r="P866" s="4" t="n">
        <f aca="false">N866-K866</f>
        <v>0</v>
      </c>
      <c r="Q866" s="4" t="n">
        <f aca="false">A866-MATCH(K866,$M$9:M865,1)</f>
        <v>1</v>
      </c>
      <c r="R866" s="0" t="n">
        <f aca="false">-G866*(O866/3600)</f>
        <v>-0.0484422052161546</v>
      </c>
      <c r="S866" s="0" t="n">
        <f aca="false">-1*I866-(H866*(P866/3600))</f>
        <v>-19.5</v>
      </c>
      <c r="T866" s="0" t="n">
        <f aca="false">-H866*(O866/3600)</f>
        <v>-0.0210311176298842</v>
      </c>
      <c r="U866" s="0" t="n">
        <f aca="false">T866-S866</f>
        <v>19.4789688823701</v>
      </c>
      <c r="V866" s="0" t="n">
        <f aca="false">1/(1+EXP(U866))</f>
        <v>3.47049401446262E-009</v>
      </c>
      <c r="W866" s="0" t="n">
        <f aca="true">RAND()</f>
        <v>0.62842676334748</v>
      </c>
      <c r="X866" s="0" t="n">
        <f aca="false">IF(W866&lt;V866,1,0)</f>
        <v>0</v>
      </c>
      <c r="Y866" s="0" t="n">
        <f aca="false">(M866*(1-X866)+N866*X866)*D866+M866*E866</f>
        <v>10246.8403380019</v>
      </c>
      <c r="Z866" s="0" t="n">
        <f aca="false">((1-X866)*O866+X866*P866)*D866+E866*O866</f>
        <v>19.2130078967857</v>
      </c>
      <c r="AA866" s="0" t="n">
        <f aca="false">IF(D866*X866&gt;0,AA865,Q866)</f>
        <v>1</v>
      </c>
      <c r="AB866" s="0" t="n">
        <f aca="false">(X866*D866)</f>
        <v>0</v>
      </c>
      <c r="AC866" s="0" t="n">
        <f aca="false">SUM(AB$10:AB865)/K866</f>
        <v>9.77743877171289E-005</v>
      </c>
      <c r="AD866" s="0" t="n">
        <f aca="false">R866*E866+D866*(X866*S866+(1-X866)*T866)</f>
        <v>-0.0484422052161546</v>
      </c>
      <c r="AE866" s="0" t="n">
        <f aca="false">Z866</f>
        <v>19.2130078967857</v>
      </c>
      <c r="AF866" s="0" t="n">
        <f aca="false">E866*O866</f>
        <v>19.2130078967857</v>
      </c>
      <c r="AG866" s="0" t="n">
        <f aca="false">((1-X866)*O866+X866*P866)*D866</f>
        <v>0</v>
      </c>
      <c r="AH866" s="0" t="n">
        <f aca="false">D866*(LN(EXP(S866)+EXP(T866)))</f>
        <v>-0</v>
      </c>
      <c r="AJ866" s="0" t="n">
        <f aca="false">$J$5</f>
        <v>10</v>
      </c>
      <c r="AK866" s="4" t="n">
        <f aca="false">AJ866+MAX(K866,AK$10:AK865)</f>
        <v>10246.8403380019</v>
      </c>
      <c r="AL866" s="5" t="n">
        <f aca="false">AK866-K866</f>
        <v>19.2130078967857</v>
      </c>
      <c r="AM866" s="0" t="n">
        <f aca="false">-G866*AL866/3600</f>
        <v>-0.0484422052161546</v>
      </c>
      <c r="AN866" s="0" t="n">
        <f aca="false">-H866*AL866/3600</f>
        <v>-0.0210311176298842</v>
      </c>
      <c r="AO866" s="0" t="n">
        <f aca="false">AM866*E866+AN866*D866</f>
        <v>-0.0484422052161546</v>
      </c>
      <c r="AP866" s="0" t="n">
        <f aca="false">AL866*D866</f>
        <v>0</v>
      </c>
      <c r="AR866" s="0" t="n">
        <f aca="false">AN866*D866</f>
        <v>-0</v>
      </c>
      <c r="AS866" s="0" t="n">
        <f aca="false">AH866-AR866</f>
        <v>0</v>
      </c>
    </row>
    <row r="867" customFormat="false" ht="12" hidden="false" customHeight="false" outlineLevel="0" collapsed="false">
      <c r="A867" s="3" t="n">
        <f aca="false">A866+1</f>
        <v>858</v>
      </c>
      <c r="B867" s="3" t="n">
        <f aca="false">IF(A867&lt;$N$4/3,0.1,(IF(A867&gt;2*$N$4/3,0.05,0.12)))</f>
        <v>0.05</v>
      </c>
      <c r="C867" s="4" t="n">
        <f aca="true">RAND()</f>
        <v>0.747168837291342</v>
      </c>
      <c r="D867" s="0" t="n">
        <f aca="false">IF((C867&gt;$M$2),1,0)</f>
        <v>0</v>
      </c>
      <c r="E867" s="0" t="n">
        <f aca="false">1-D867</f>
        <v>1</v>
      </c>
      <c r="F867" s="0" t="n">
        <f aca="true">RAND()</f>
        <v>0.343472133083925</v>
      </c>
      <c r="G867" s="0" t="n">
        <f aca="false">7.75+F867*10</f>
        <v>11.1847213308393</v>
      </c>
      <c r="H867" s="0" t="n">
        <f aca="false">LOGINV(F867,2.64,1.139)</f>
        <v>8.85495218449131</v>
      </c>
      <c r="I867" s="0" t="n">
        <v>19.5</v>
      </c>
      <c r="J867" s="4" t="n">
        <f aca="true">-LN(RAND())/B867</f>
        <v>11.3613173526018</v>
      </c>
      <c r="K867" s="4" t="n">
        <f aca="false">K866+J867</f>
        <v>10238.9886474577</v>
      </c>
      <c r="L867" s="4" t="n">
        <f aca="false">(1/$J$4)*(1+AB866)</f>
        <v>10</v>
      </c>
      <c r="M867" s="4" t="n">
        <f aca="false">L867+MAX(K867,Y$10:Y866)</f>
        <v>10256.8403380019</v>
      </c>
      <c r="N867" s="4" t="n">
        <f aca="false">K867</f>
        <v>10238.9886474577</v>
      </c>
      <c r="O867" s="4" t="n">
        <f aca="false">M867-K867</f>
        <v>17.8516905441848</v>
      </c>
      <c r="P867" s="4" t="n">
        <f aca="false">N867-K867</f>
        <v>0</v>
      </c>
      <c r="Q867" s="4" t="n">
        <f aca="false">A867-MATCH(K867,$M$9:M866,1)</f>
        <v>1</v>
      </c>
      <c r="R867" s="0" t="n">
        <f aca="false">-G867*(O867/3600)</f>
        <v>-0.0554628288947457</v>
      </c>
      <c r="S867" s="0" t="n">
        <f aca="false">-1*I867-(H867*(P867/3600))</f>
        <v>-19.5</v>
      </c>
      <c r="T867" s="0" t="n">
        <f aca="false">-H867*(O867/3600)</f>
        <v>-0.043909962828081</v>
      </c>
      <c r="U867" s="0" t="n">
        <f aca="false">T867-S867</f>
        <v>19.4560900371719</v>
      </c>
      <c r="V867" s="0" t="n">
        <f aca="false">1/(1+EXP(U867))</f>
        <v>3.55081017664877E-009</v>
      </c>
      <c r="W867" s="0" t="n">
        <f aca="true">RAND()</f>
        <v>0.401454359295727</v>
      </c>
      <c r="X867" s="0" t="n">
        <f aca="false">IF(W867&lt;V867,1,0)</f>
        <v>0</v>
      </c>
      <c r="Y867" s="0" t="n">
        <f aca="false">(M867*(1-X867)+N867*X867)*D867+M867*E867</f>
        <v>10256.8403380019</v>
      </c>
      <c r="Z867" s="0" t="n">
        <f aca="false">((1-X867)*O867+X867*P867)*D867+E867*O867</f>
        <v>17.8516905441848</v>
      </c>
      <c r="AA867" s="0" t="n">
        <f aca="false">IF(D867*X867&gt;0,AA866,Q867)</f>
        <v>1</v>
      </c>
      <c r="AB867" s="0" t="n">
        <f aca="false">(X867*D867)</f>
        <v>0</v>
      </c>
      <c r="AC867" s="0" t="n">
        <f aca="false">SUM(AB$10:AB866)/K867</f>
        <v>9.76658959621266E-005</v>
      </c>
      <c r="AD867" s="0" t="n">
        <f aca="false">R867*E867+D867*(X867*S867+(1-X867)*T867)</f>
        <v>-0.0554628288947457</v>
      </c>
      <c r="AE867" s="0" t="n">
        <f aca="false">Z867</f>
        <v>17.8516905441848</v>
      </c>
      <c r="AF867" s="0" t="n">
        <f aca="false">E867*O867</f>
        <v>17.8516905441848</v>
      </c>
      <c r="AG867" s="0" t="n">
        <f aca="false">((1-X867)*O867+X867*P867)*D867</f>
        <v>0</v>
      </c>
      <c r="AH867" s="0" t="n">
        <f aca="false">D867*(LN(EXP(S867)+EXP(T867)))</f>
        <v>-0</v>
      </c>
      <c r="AJ867" s="0" t="n">
        <f aca="false">$J$5</f>
        <v>10</v>
      </c>
      <c r="AK867" s="4" t="n">
        <f aca="false">AJ867+MAX(K867,AK$10:AK866)</f>
        <v>10256.8403380019</v>
      </c>
      <c r="AL867" s="5" t="n">
        <f aca="false">AK867-K867</f>
        <v>17.8516905441848</v>
      </c>
      <c r="AM867" s="0" t="n">
        <f aca="false">-G867*AL867/3600</f>
        <v>-0.0554628288947457</v>
      </c>
      <c r="AN867" s="0" t="n">
        <f aca="false">-H867*AL867/3600</f>
        <v>-0.043909962828081</v>
      </c>
      <c r="AO867" s="0" t="n">
        <f aca="false">AM867*E867+AN867*D867</f>
        <v>-0.0554628288947457</v>
      </c>
      <c r="AP867" s="0" t="n">
        <f aca="false">AL867*D867</f>
        <v>0</v>
      </c>
      <c r="AR867" s="0" t="n">
        <f aca="false">AN867*D867</f>
        <v>-0</v>
      </c>
      <c r="AS867" s="0" t="n">
        <f aca="false">AH867-AR867</f>
        <v>0</v>
      </c>
    </row>
    <row r="868" customFormat="false" ht="12" hidden="false" customHeight="false" outlineLevel="0" collapsed="false">
      <c r="A868" s="3" t="n">
        <f aca="false">A867+1</f>
        <v>859</v>
      </c>
      <c r="B868" s="3" t="n">
        <f aca="false">IF(A868&lt;$N$4/3,0.1,(IF(A868&gt;2*$N$4/3,0.05,0.12)))</f>
        <v>0.05</v>
      </c>
      <c r="C868" s="4" t="n">
        <f aca="true">RAND()</f>
        <v>0.025704489343746</v>
      </c>
      <c r="D868" s="0" t="n">
        <f aca="false">IF((C868&gt;$M$2),1,0)</f>
        <v>0</v>
      </c>
      <c r="E868" s="0" t="n">
        <f aca="false">1-D868</f>
        <v>1</v>
      </c>
      <c r="F868" s="0" t="n">
        <f aca="true">RAND()</f>
        <v>0.224169916261408</v>
      </c>
      <c r="G868" s="0" t="n">
        <f aca="false">7.75+F868*10</f>
        <v>9.99169916261408</v>
      </c>
      <c r="H868" s="0" t="n">
        <f aca="false">LOGINV(F868,2.64,1.139)</f>
        <v>5.90870395351183</v>
      </c>
      <c r="I868" s="0" t="n">
        <v>19.5</v>
      </c>
      <c r="J868" s="4" t="n">
        <f aca="true">-LN(RAND())/B868</f>
        <v>17.3965769929906</v>
      </c>
      <c r="K868" s="4" t="n">
        <f aca="false">K867+J868</f>
        <v>10256.3852244507</v>
      </c>
      <c r="L868" s="4" t="n">
        <f aca="false">(1/$J$4)*(1+AB867)</f>
        <v>10</v>
      </c>
      <c r="M868" s="4" t="n">
        <f aca="false">L868+MAX(K868,Y$10:Y867)</f>
        <v>10266.8403380019</v>
      </c>
      <c r="N868" s="4" t="n">
        <f aca="false">K868</f>
        <v>10256.3852244507</v>
      </c>
      <c r="O868" s="4" t="n">
        <f aca="false">M868-K868</f>
        <v>10.4551135511938</v>
      </c>
      <c r="P868" s="4" t="n">
        <f aca="false">N868-K868</f>
        <v>0</v>
      </c>
      <c r="Q868" s="4" t="n">
        <f aca="false">A868-MATCH(K868,$M$9:M867,1)</f>
        <v>1</v>
      </c>
      <c r="R868" s="0" t="n">
        <f aca="false">-G868*(O868/3600)</f>
        <v>-0.0290178748095828</v>
      </c>
      <c r="S868" s="0" t="n">
        <f aca="false">-1*I868-(H868*(P868/3600))</f>
        <v>-19.5</v>
      </c>
      <c r="T868" s="0" t="n">
        <f aca="false">-H868*(O868/3600)</f>
        <v>-0.0171600474373205</v>
      </c>
      <c r="U868" s="0" t="n">
        <f aca="false">T868-S868</f>
        <v>19.4828399525627</v>
      </c>
      <c r="V868" s="0" t="n">
        <f aca="false">1/(1+EXP(U868))</f>
        <v>3.45708545805187E-009</v>
      </c>
      <c r="W868" s="0" t="n">
        <f aca="true">RAND()</f>
        <v>0.24747593416374</v>
      </c>
      <c r="X868" s="0" t="n">
        <f aca="false">IF(W868&lt;V868,1,0)</f>
        <v>0</v>
      </c>
      <c r="Y868" s="0" t="n">
        <f aca="false">(M868*(1-X868)+N868*X868)*D868+M868*E868</f>
        <v>10266.8403380019</v>
      </c>
      <c r="Z868" s="0" t="n">
        <f aca="false">((1-X868)*O868+X868*P868)*D868+E868*O868</f>
        <v>10.4551135511938</v>
      </c>
      <c r="AA868" s="0" t="n">
        <f aca="false">IF(D868*X868&gt;0,AA867,Q868)</f>
        <v>1</v>
      </c>
      <c r="AB868" s="0" t="n">
        <f aca="false">(X868*D868)</f>
        <v>0</v>
      </c>
      <c r="AC868" s="0" t="n">
        <f aca="false">SUM(AB$10:AB867)/K868</f>
        <v>9.75002379606463E-005</v>
      </c>
      <c r="AD868" s="0" t="n">
        <f aca="false">R868*E868+D868*(X868*S868+(1-X868)*T868)</f>
        <v>-0.0290178748095828</v>
      </c>
      <c r="AE868" s="0" t="n">
        <f aca="false">Z868</f>
        <v>10.4551135511938</v>
      </c>
      <c r="AF868" s="0" t="n">
        <f aca="false">E868*O868</f>
        <v>10.4551135511938</v>
      </c>
      <c r="AG868" s="0" t="n">
        <f aca="false">((1-X868)*O868+X868*P868)*D868</f>
        <v>0</v>
      </c>
      <c r="AH868" s="0" t="n">
        <f aca="false">D868*(LN(EXP(S868)+EXP(T868)))</f>
        <v>-0</v>
      </c>
      <c r="AJ868" s="0" t="n">
        <f aca="false">$J$5</f>
        <v>10</v>
      </c>
      <c r="AK868" s="4" t="n">
        <f aca="false">AJ868+MAX(K868,AK$10:AK867)</f>
        <v>10266.8403380019</v>
      </c>
      <c r="AL868" s="5" t="n">
        <f aca="false">AK868-K868</f>
        <v>10.4551135511938</v>
      </c>
      <c r="AM868" s="0" t="n">
        <f aca="false">-G868*AL868/3600</f>
        <v>-0.0290178748095828</v>
      </c>
      <c r="AN868" s="0" t="n">
        <f aca="false">-H868*AL868/3600</f>
        <v>-0.0171600474373205</v>
      </c>
      <c r="AO868" s="0" t="n">
        <f aca="false">AM868*E868+AN868*D868</f>
        <v>-0.0290178748095828</v>
      </c>
      <c r="AP868" s="0" t="n">
        <f aca="false">AL868*D868</f>
        <v>0</v>
      </c>
      <c r="AR868" s="0" t="n">
        <f aca="false">AN868*D868</f>
        <v>-0</v>
      </c>
      <c r="AS868" s="0" t="n">
        <f aca="false">AH868-AR868</f>
        <v>0</v>
      </c>
    </row>
    <row r="869" customFormat="false" ht="12" hidden="false" customHeight="false" outlineLevel="0" collapsed="false">
      <c r="A869" s="3" t="n">
        <f aca="false">A868+1</f>
        <v>860</v>
      </c>
      <c r="B869" s="3" t="n">
        <f aca="false">IF(A869&lt;$N$4/3,0.1,(IF(A869&gt;2*$N$4/3,0.05,0.12)))</f>
        <v>0.05</v>
      </c>
      <c r="C869" s="4" t="n">
        <f aca="true">RAND()</f>
        <v>0.802306553554355</v>
      </c>
      <c r="D869" s="0" t="n">
        <f aca="false">IF((C869&gt;$M$2),1,0)</f>
        <v>0</v>
      </c>
      <c r="E869" s="0" t="n">
        <f aca="false">1-D869</f>
        <v>1</v>
      </c>
      <c r="F869" s="0" t="n">
        <f aca="true">RAND()</f>
        <v>0.614601305620495</v>
      </c>
      <c r="G869" s="0" t="n">
        <f aca="false">7.75+F869*10</f>
        <v>13.8960130562049</v>
      </c>
      <c r="H869" s="0" t="n">
        <f aca="false">LOGINV(F869,2.64,1.139)</f>
        <v>19.5275675630166</v>
      </c>
      <c r="I869" s="0" t="n">
        <v>19.5</v>
      </c>
      <c r="J869" s="4" t="n">
        <f aca="true">-LN(RAND())/B869</f>
        <v>9.25197112227176</v>
      </c>
      <c r="K869" s="4" t="n">
        <f aca="false">K868+J869</f>
        <v>10265.637195573</v>
      </c>
      <c r="L869" s="4" t="n">
        <f aca="false">(1/$J$4)*(1+AB868)</f>
        <v>10</v>
      </c>
      <c r="M869" s="4" t="n">
        <f aca="false">L869+MAX(K869,Y$10:Y868)</f>
        <v>10276.8403380019</v>
      </c>
      <c r="N869" s="4" t="n">
        <f aca="false">K869</f>
        <v>10265.637195573</v>
      </c>
      <c r="O869" s="4" t="n">
        <f aca="false">M869-K869</f>
        <v>11.2031424289216</v>
      </c>
      <c r="P869" s="4" t="n">
        <f aca="false">N869-K869</f>
        <v>0</v>
      </c>
      <c r="Q869" s="4" t="n">
        <f aca="false">A869-MATCH(K869,$M$9:M868,1)</f>
        <v>1</v>
      </c>
      <c r="R869" s="0" t="n">
        <f aca="false">-G869*(O869/3600)</f>
        <v>-0.0432441704063385</v>
      </c>
      <c r="S869" s="0" t="n">
        <f aca="false">-1*I869-(H869*(P869/3600))</f>
        <v>-19.5</v>
      </c>
      <c r="T869" s="0" t="n">
        <f aca="false">-H869*(O869/3600)</f>
        <v>-0.0607694779719071</v>
      </c>
      <c r="U869" s="0" t="n">
        <f aca="false">T869-S869</f>
        <v>19.4392305220281</v>
      </c>
      <c r="V869" s="0" t="n">
        <f aca="false">1/(1+EXP(U869))</f>
        <v>3.61118260931881E-009</v>
      </c>
      <c r="W869" s="0" t="n">
        <f aca="true">RAND()</f>
        <v>0.382850030316385</v>
      </c>
      <c r="X869" s="0" t="n">
        <f aca="false">IF(W869&lt;V869,1,0)</f>
        <v>0</v>
      </c>
      <c r="Y869" s="0" t="n">
        <f aca="false">(M869*(1-X869)+N869*X869)*D869+M869*E869</f>
        <v>10276.8403380019</v>
      </c>
      <c r="Z869" s="0" t="n">
        <f aca="false">((1-X869)*O869+X869*P869)*D869+E869*O869</f>
        <v>11.2031424289216</v>
      </c>
      <c r="AA869" s="0" t="n">
        <f aca="false">IF(D869*X869&gt;0,AA868,Q869)</f>
        <v>1</v>
      </c>
      <c r="AB869" s="0" t="n">
        <f aca="false">(X869*D869)</f>
        <v>0</v>
      </c>
      <c r="AC869" s="0" t="n">
        <f aca="false">SUM(AB$10:AB868)/K869</f>
        <v>9.74123652481356E-005</v>
      </c>
      <c r="AD869" s="0" t="n">
        <f aca="false">R869*E869+D869*(X869*S869+(1-X869)*T869)</f>
        <v>-0.0432441704063385</v>
      </c>
      <c r="AE869" s="0" t="n">
        <f aca="false">Z869</f>
        <v>11.2031424289216</v>
      </c>
      <c r="AF869" s="0" t="n">
        <f aca="false">E869*O869</f>
        <v>11.2031424289216</v>
      </c>
      <c r="AG869" s="0" t="n">
        <f aca="false">((1-X869)*O869+X869*P869)*D869</f>
        <v>0</v>
      </c>
      <c r="AH869" s="0" t="n">
        <f aca="false">D869*(LN(EXP(S869)+EXP(T869)))</f>
        <v>-0</v>
      </c>
      <c r="AJ869" s="0" t="n">
        <f aca="false">$J$5</f>
        <v>10</v>
      </c>
      <c r="AK869" s="4" t="n">
        <f aca="false">AJ869+MAX(K869,AK$10:AK868)</f>
        <v>10276.8403380019</v>
      </c>
      <c r="AL869" s="5" t="n">
        <f aca="false">AK869-K869</f>
        <v>11.2031424289216</v>
      </c>
      <c r="AM869" s="0" t="n">
        <f aca="false">-G869*AL869/3600</f>
        <v>-0.0432441704063385</v>
      </c>
      <c r="AN869" s="0" t="n">
        <f aca="false">-H869*AL869/3600</f>
        <v>-0.0607694779719071</v>
      </c>
      <c r="AO869" s="0" t="n">
        <f aca="false">AM869*E869+AN869*D869</f>
        <v>-0.0432441704063385</v>
      </c>
      <c r="AP869" s="0" t="n">
        <f aca="false">AL869*D869</f>
        <v>0</v>
      </c>
      <c r="AR869" s="0" t="n">
        <f aca="false">AN869*D869</f>
        <v>-0</v>
      </c>
      <c r="AS869" s="0" t="n">
        <f aca="false">AH869-AR869</f>
        <v>0</v>
      </c>
    </row>
    <row r="870" customFormat="false" ht="12" hidden="false" customHeight="false" outlineLevel="0" collapsed="false">
      <c r="A870" s="3" t="n">
        <f aca="false">A869+1</f>
        <v>861</v>
      </c>
      <c r="B870" s="3" t="n">
        <f aca="false">IF(A870&lt;$N$4/3,0.1,(IF(A870&gt;2*$N$4/3,0.05,0.12)))</f>
        <v>0.05</v>
      </c>
      <c r="C870" s="4" t="n">
        <f aca="true">RAND()</f>
        <v>0.76310986247239</v>
      </c>
      <c r="D870" s="0" t="n">
        <f aca="false">IF((C870&gt;$M$2),1,0)</f>
        <v>0</v>
      </c>
      <c r="E870" s="0" t="n">
        <f aca="false">1-D870</f>
        <v>1</v>
      </c>
      <c r="F870" s="0" t="n">
        <f aca="true">RAND()</f>
        <v>0.450209972638928</v>
      </c>
      <c r="G870" s="0" t="n">
        <f aca="false">7.75+F870*10</f>
        <v>12.2520997263893</v>
      </c>
      <c r="H870" s="0" t="n">
        <f aca="false">LOGINV(F870,2.64,1.139)</f>
        <v>12.1517833889667</v>
      </c>
      <c r="I870" s="0" t="n">
        <v>19.5</v>
      </c>
      <c r="J870" s="4" t="n">
        <f aca="true">-LN(RAND())/B870</f>
        <v>0.635170707930131</v>
      </c>
      <c r="K870" s="4" t="n">
        <f aca="false">K869+J870</f>
        <v>10266.2723662809</v>
      </c>
      <c r="L870" s="4" t="n">
        <f aca="false">(1/$J$4)*(1+AB869)</f>
        <v>10</v>
      </c>
      <c r="M870" s="4" t="n">
        <f aca="false">L870+MAX(K870,Y$10:Y869)</f>
        <v>10286.8403380019</v>
      </c>
      <c r="N870" s="4" t="n">
        <f aca="false">K870</f>
        <v>10266.2723662809</v>
      </c>
      <c r="O870" s="4" t="n">
        <f aca="false">M870-K870</f>
        <v>20.5679717209914</v>
      </c>
      <c r="P870" s="4" t="n">
        <f aca="false">N870-K870</f>
        <v>0</v>
      </c>
      <c r="Q870" s="4" t="n">
        <f aca="false">A870-MATCH(K870,$M$9:M869,1)</f>
        <v>2</v>
      </c>
      <c r="R870" s="0" t="n">
        <f aca="false">-G870*(O870/3600)</f>
        <v>-0.0700002335264282</v>
      </c>
      <c r="S870" s="0" t="n">
        <f aca="false">-1*I870-(H870*(P870/3600))</f>
        <v>-19.5</v>
      </c>
      <c r="T870" s="0" t="n">
        <f aca="false">-H870*(O870/3600)</f>
        <v>-0.069427093639967</v>
      </c>
      <c r="U870" s="0" t="n">
        <f aca="false">T870-S870</f>
        <v>19.43057290636</v>
      </c>
      <c r="V870" s="0" t="n">
        <f aca="false">1/(1+EXP(U870))</f>
        <v>3.64258256860339E-009</v>
      </c>
      <c r="W870" s="0" t="n">
        <f aca="true">RAND()</f>
        <v>0.555431182487492</v>
      </c>
      <c r="X870" s="0" t="n">
        <f aca="false">IF(W870&lt;V870,1,0)</f>
        <v>0</v>
      </c>
      <c r="Y870" s="0" t="n">
        <f aca="false">(M870*(1-X870)+N870*X870)*D870+M870*E870</f>
        <v>10286.8403380019</v>
      </c>
      <c r="Z870" s="0" t="n">
        <f aca="false">((1-X870)*O870+X870*P870)*D870+E870*O870</f>
        <v>20.5679717209914</v>
      </c>
      <c r="AA870" s="0" t="n">
        <f aca="false">IF(D870*X870&gt;0,AA869,Q870)</f>
        <v>2</v>
      </c>
      <c r="AB870" s="0" t="n">
        <f aca="false">(X870*D870)</f>
        <v>0</v>
      </c>
      <c r="AC870" s="0" t="n">
        <f aca="false">SUM(AB$10:AB869)/K870</f>
        <v>9.7406338378909E-005</v>
      </c>
      <c r="AD870" s="0" t="n">
        <f aca="false">R870*E870+D870*(X870*S870+(1-X870)*T870)</f>
        <v>-0.0700002335264282</v>
      </c>
      <c r="AE870" s="0" t="n">
        <f aca="false">Z870</f>
        <v>20.5679717209914</v>
      </c>
      <c r="AF870" s="0" t="n">
        <f aca="false">E870*O870</f>
        <v>20.5679717209914</v>
      </c>
      <c r="AG870" s="0" t="n">
        <f aca="false">((1-X870)*O870+X870*P870)*D870</f>
        <v>0</v>
      </c>
      <c r="AH870" s="0" t="n">
        <f aca="false">D870*(LN(EXP(S870)+EXP(T870)))</f>
        <v>-0</v>
      </c>
      <c r="AJ870" s="0" t="n">
        <f aca="false">$J$5</f>
        <v>10</v>
      </c>
      <c r="AK870" s="4" t="n">
        <f aca="false">AJ870+MAX(K870,AK$10:AK869)</f>
        <v>10286.8403380019</v>
      </c>
      <c r="AL870" s="5" t="n">
        <f aca="false">AK870-K870</f>
        <v>20.5679717209914</v>
      </c>
      <c r="AM870" s="0" t="n">
        <f aca="false">-G870*AL870/3600</f>
        <v>-0.0700002335264282</v>
      </c>
      <c r="AN870" s="0" t="n">
        <f aca="false">-H870*AL870/3600</f>
        <v>-0.069427093639967</v>
      </c>
      <c r="AO870" s="0" t="n">
        <f aca="false">AM870*E870+AN870*D870</f>
        <v>-0.0700002335264282</v>
      </c>
      <c r="AP870" s="0" t="n">
        <f aca="false">AL870*D870</f>
        <v>0</v>
      </c>
      <c r="AR870" s="0" t="n">
        <f aca="false">AN870*D870</f>
        <v>-0</v>
      </c>
      <c r="AS870" s="0" t="n">
        <f aca="false">AH870-AR870</f>
        <v>0</v>
      </c>
    </row>
    <row r="871" customFormat="false" ht="12" hidden="false" customHeight="false" outlineLevel="0" collapsed="false">
      <c r="A871" s="3" t="n">
        <f aca="false">A870+1</f>
        <v>862</v>
      </c>
      <c r="B871" s="3" t="n">
        <f aca="false">IF(A871&lt;$N$4/3,0.1,(IF(A871&gt;2*$N$4/3,0.05,0.12)))</f>
        <v>0.05</v>
      </c>
      <c r="C871" s="4" t="n">
        <f aca="true">RAND()</f>
        <v>0.463720191605475</v>
      </c>
      <c r="D871" s="0" t="n">
        <f aca="false">IF((C871&gt;$M$2),1,0)</f>
        <v>0</v>
      </c>
      <c r="E871" s="0" t="n">
        <f aca="false">1-D871</f>
        <v>1</v>
      </c>
      <c r="F871" s="0" t="n">
        <f aca="true">RAND()</f>
        <v>0.590712342691915</v>
      </c>
      <c r="G871" s="0" t="n">
        <f aca="false">7.75+F871*10</f>
        <v>13.6571234269191</v>
      </c>
      <c r="H871" s="0" t="n">
        <f aca="false">LOGINV(F871,2.64,1.139)</f>
        <v>18.1970824634758</v>
      </c>
      <c r="I871" s="0" t="n">
        <v>19.5</v>
      </c>
      <c r="J871" s="4" t="n">
        <f aca="true">-LN(RAND())/B871</f>
        <v>8.72549014847334</v>
      </c>
      <c r="K871" s="4" t="n">
        <f aca="false">K870+J871</f>
        <v>10274.9978564294</v>
      </c>
      <c r="L871" s="4" t="n">
        <f aca="false">(1/$J$4)*(1+AB870)</f>
        <v>10</v>
      </c>
      <c r="M871" s="4" t="n">
        <f aca="false">L871+MAX(K871,Y$10:Y870)</f>
        <v>10296.8403380019</v>
      </c>
      <c r="N871" s="4" t="n">
        <f aca="false">K871</f>
        <v>10274.9978564294</v>
      </c>
      <c r="O871" s="4" t="n">
        <f aca="false">M871-K871</f>
        <v>21.8424815725175</v>
      </c>
      <c r="P871" s="4" t="n">
        <f aca="false">N871-K871</f>
        <v>0</v>
      </c>
      <c r="Q871" s="4" t="n">
        <f aca="false">A871-MATCH(K871,$M$9:M870,1)</f>
        <v>2</v>
      </c>
      <c r="R871" s="0" t="n">
        <f aca="false">-G871*(O871/3600)</f>
        <v>-0.0828626296627996</v>
      </c>
      <c r="S871" s="0" t="n">
        <f aca="false">-1*I871-(H871*(P871/3600))</f>
        <v>-19.5</v>
      </c>
      <c r="T871" s="0" t="n">
        <f aca="false">-H871*(O871/3600)</f>
        <v>-0.110408177328348</v>
      </c>
      <c r="U871" s="0" t="n">
        <f aca="false">T871-S871</f>
        <v>19.3895918226717</v>
      </c>
      <c r="V871" s="0" t="n">
        <f aca="false">1/(1+EXP(U871))</f>
        <v>3.79496053080947E-009</v>
      </c>
      <c r="W871" s="0" t="n">
        <f aca="true">RAND()</f>
        <v>0.875322535985173</v>
      </c>
      <c r="X871" s="0" t="n">
        <f aca="false">IF(W871&lt;V871,1,0)</f>
        <v>0</v>
      </c>
      <c r="Y871" s="0" t="n">
        <f aca="false">(M871*(1-X871)+N871*X871)*D871+M871*E871</f>
        <v>10296.8403380019</v>
      </c>
      <c r="Z871" s="0" t="n">
        <f aca="false">((1-X871)*O871+X871*P871)*D871+E871*O871</f>
        <v>21.8424815725175</v>
      </c>
      <c r="AA871" s="0" t="n">
        <f aca="false">IF(D871*X871&gt;0,AA870,Q871)</f>
        <v>2</v>
      </c>
      <c r="AB871" s="0" t="n">
        <f aca="false">(X871*D871)</f>
        <v>0</v>
      </c>
      <c r="AC871" s="0" t="n">
        <f aca="false">SUM(AB$10:AB870)/K871</f>
        <v>9.73236212768911E-005</v>
      </c>
      <c r="AD871" s="0" t="n">
        <f aca="false">R871*E871+D871*(X871*S871+(1-X871)*T871)</f>
        <v>-0.0828626296627996</v>
      </c>
      <c r="AE871" s="0" t="n">
        <f aca="false">Z871</f>
        <v>21.8424815725175</v>
      </c>
      <c r="AF871" s="0" t="n">
        <f aca="false">E871*O871</f>
        <v>21.8424815725175</v>
      </c>
      <c r="AG871" s="0" t="n">
        <f aca="false">((1-X871)*O871+X871*P871)*D871</f>
        <v>0</v>
      </c>
      <c r="AH871" s="0" t="n">
        <f aca="false">D871*(LN(EXP(S871)+EXP(T871)))</f>
        <v>-0</v>
      </c>
      <c r="AJ871" s="0" t="n">
        <f aca="false">$J$5</f>
        <v>10</v>
      </c>
      <c r="AK871" s="4" t="n">
        <f aca="false">AJ871+MAX(K871,AK$10:AK870)</f>
        <v>10296.8403380019</v>
      </c>
      <c r="AL871" s="5" t="n">
        <f aca="false">AK871-K871</f>
        <v>21.8424815725175</v>
      </c>
      <c r="AM871" s="0" t="n">
        <f aca="false">-G871*AL871/3600</f>
        <v>-0.0828626296627996</v>
      </c>
      <c r="AN871" s="0" t="n">
        <f aca="false">-H871*AL871/3600</f>
        <v>-0.110408177328348</v>
      </c>
      <c r="AO871" s="0" t="n">
        <f aca="false">AM871*E871+AN871*D871</f>
        <v>-0.0828626296627996</v>
      </c>
      <c r="AP871" s="0" t="n">
        <f aca="false">AL871*D871</f>
        <v>0</v>
      </c>
      <c r="AR871" s="0" t="n">
        <f aca="false">AN871*D871</f>
        <v>-0</v>
      </c>
      <c r="AS871" s="0" t="n">
        <f aca="false">AH871-AR871</f>
        <v>0</v>
      </c>
    </row>
    <row r="872" customFormat="false" ht="12" hidden="false" customHeight="false" outlineLevel="0" collapsed="false">
      <c r="A872" s="3" t="n">
        <f aca="false">A871+1</f>
        <v>863</v>
      </c>
      <c r="B872" s="3" t="n">
        <f aca="false">IF(A872&lt;$N$4/3,0.1,(IF(A872&gt;2*$N$4/3,0.05,0.12)))</f>
        <v>0.05</v>
      </c>
      <c r="C872" s="4" t="n">
        <f aca="true">RAND()</f>
        <v>0.294710778072468</v>
      </c>
      <c r="D872" s="0" t="n">
        <f aca="false">IF((C872&gt;$M$2),1,0)</f>
        <v>0</v>
      </c>
      <c r="E872" s="0" t="n">
        <f aca="false">1-D872</f>
        <v>1</v>
      </c>
      <c r="F872" s="0" t="n">
        <f aca="true">RAND()</f>
        <v>0.293749276122574</v>
      </c>
      <c r="G872" s="0" t="n">
        <f aca="false">7.75+F872*10</f>
        <v>10.6874927612257</v>
      </c>
      <c r="H872" s="0" t="n">
        <f aca="false">LOGINV(F872,2.64,1.139)</f>
        <v>7.55442079143795</v>
      </c>
      <c r="I872" s="0" t="n">
        <v>19.5</v>
      </c>
      <c r="J872" s="4" t="n">
        <f aca="true">-LN(RAND())/B872</f>
        <v>19.4461874618412</v>
      </c>
      <c r="K872" s="4" t="n">
        <f aca="false">K871+J872</f>
        <v>10294.4440438912</v>
      </c>
      <c r="L872" s="4" t="n">
        <f aca="false">(1/$J$4)*(1+AB871)</f>
        <v>10</v>
      </c>
      <c r="M872" s="4" t="n">
        <f aca="false">L872+MAX(K872,Y$10:Y871)</f>
        <v>10306.8403380019</v>
      </c>
      <c r="N872" s="4" t="n">
        <f aca="false">K872</f>
        <v>10294.4440438912</v>
      </c>
      <c r="O872" s="4" t="n">
        <f aca="false">M872-K872</f>
        <v>12.3962941106765</v>
      </c>
      <c r="P872" s="4" t="n">
        <f aca="false">N872-K872</f>
        <v>0</v>
      </c>
      <c r="Q872" s="4" t="n">
        <f aca="false">A872-MATCH(K872,$M$9:M871,1)</f>
        <v>1</v>
      </c>
      <c r="R872" s="0" t="n">
        <f aca="false">-G872*(O872/3600)</f>
        <v>-0.0368014732149669</v>
      </c>
      <c r="S872" s="0" t="n">
        <f aca="false">-1*I872-(H872*(P872/3600))</f>
        <v>-19.5</v>
      </c>
      <c r="T872" s="0" t="n">
        <f aca="false">-H872*(O872/3600)</f>
        <v>-0.0260130061017985</v>
      </c>
      <c r="U872" s="0" t="n">
        <f aca="false">T872-S872</f>
        <v>19.4739869938982</v>
      </c>
      <c r="V872" s="0" t="n">
        <f aca="false">1/(1+EXP(U872))</f>
        <v>3.48782676759757E-009</v>
      </c>
      <c r="W872" s="0" t="n">
        <f aca="true">RAND()</f>
        <v>0.310525615868935</v>
      </c>
      <c r="X872" s="0" t="n">
        <f aca="false">IF(W872&lt;V872,1,0)</f>
        <v>0</v>
      </c>
      <c r="Y872" s="0" t="n">
        <f aca="false">(M872*(1-X872)+N872*X872)*D872+M872*E872</f>
        <v>10306.8403380019</v>
      </c>
      <c r="Z872" s="0" t="n">
        <f aca="false">((1-X872)*O872+X872*P872)*D872+E872*O872</f>
        <v>12.3962941106765</v>
      </c>
      <c r="AA872" s="0" t="n">
        <f aca="false">IF(D872*X872&gt;0,AA871,Q872)</f>
        <v>1</v>
      </c>
      <c r="AB872" s="0" t="n">
        <f aca="false">(X872*D872)</f>
        <v>0</v>
      </c>
      <c r="AC872" s="0" t="n">
        <f aca="false">SUM(AB$10:AB871)/K872</f>
        <v>9.71397771202036E-005</v>
      </c>
      <c r="AD872" s="0" t="n">
        <f aca="false">R872*E872+D872*(X872*S872+(1-X872)*T872)</f>
        <v>-0.0368014732149669</v>
      </c>
      <c r="AE872" s="0" t="n">
        <f aca="false">Z872</f>
        <v>12.3962941106765</v>
      </c>
      <c r="AF872" s="0" t="n">
        <f aca="false">E872*O872</f>
        <v>12.3962941106765</v>
      </c>
      <c r="AG872" s="0" t="n">
        <f aca="false">((1-X872)*O872+X872*P872)*D872</f>
        <v>0</v>
      </c>
      <c r="AH872" s="0" t="n">
        <f aca="false">D872*(LN(EXP(S872)+EXP(T872)))</f>
        <v>-0</v>
      </c>
      <c r="AJ872" s="0" t="n">
        <f aca="false">$J$5</f>
        <v>10</v>
      </c>
      <c r="AK872" s="4" t="n">
        <f aca="false">AJ872+MAX(K872,AK$10:AK871)</f>
        <v>10306.8403380019</v>
      </c>
      <c r="AL872" s="5" t="n">
        <f aca="false">AK872-K872</f>
        <v>12.3962941106765</v>
      </c>
      <c r="AM872" s="0" t="n">
        <f aca="false">-G872*AL872/3600</f>
        <v>-0.0368014732149669</v>
      </c>
      <c r="AN872" s="0" t="n">
        <f aca="false">-H872*AL872/3600</f>
        <v>-0.0260130061017985</v>
      </c>
      <c r="AO872" s="0" t="n">
        <f aca="false">AM872*E872+AN872*D872</f>
        <v>-0.0368014732149669</v>
      </c>
      <c r="AP872" s="0" t="n">
        <f aca="false">AL872*D872</f>
        <v>0</v>
      </c>
      <c r="AR872" s="0" t="n">
        <f aca="false">AN872*D872</f>
        <v>-0</v>
      </c>
      <c r="AS872" s="0" t="n">
        <f aca="false">AH872-AR872</f>
        <v>0</v>
      </c>
    </row>
    <row r="873" customFormat="false" ht="12" hidden="false" customHeight="false" outlineLevel="0" collapsed="false">
      <c r="A873" s="3" t="n">
        <f aca="false">A872+1</f>
        <v>864</v>
      </c>
      <c r="B873" s="3" t="n">
        <f aca="false">IF(A873&lt;$N$4/3,0.1,(IF(A873&gt;2*$N$4/3,0.05,0.12)))</f>
        <v>0.05</v>
      </c>
      <c r="C873" s="4" t="n">
        <f aca="true">RAND()</f>
        <v>0.771685841485489</v>
      </c>
      <c r="D873" s="0" t="n">
        <f aca="false">IF((C873&gt;$M$2),1,0)</f>
        <v>0</v>
      </c>
      <c r="E873" s="0" t="n">
        <f aca="false">1-D873</f>
        <v>1</v>
      </c>
      <c r="F873" s="0" t="n">
        <f aca="true">RAND()</f>
        <v>0.993038770606616</v>
      </c>
      <c r="G873" s="0" t="n">
        <f aca="false">7.75+F873*10</f>
        <v>17.6803877060662</v>
      </c>
      <c r="H873" s="0" t="n">
        <f aca="false">LOGINV(F873,2.64,1.139)</f>
        <v>230.694581568694</v>
      </c>
      <c r="I873" s="0" t="n">
        <v>19.5</v>
      </c>
      <c r="J873" s="4" t="n">
        <f aca="true">-LN(RAND())/B873</f>
        <v>20.7356056235223</v>
      </c>
      <c r="K873" s="4" t="n">
        <f aca="false">K872+J873</f>
        <v>10315.1796495147</v>
      </c>
      <c r="L873" s="4" t="n">
        <f aca="false">(1/$J$4)*(1+AB872)</f>
        <v>10</v>
      </c>
      <c r="M873" s="4" t="n">
        <f aca="false">L873+MAX(K873,Y$10:Y872)</f>
        <v>10325.1796495147</v>
      </c>
      <c r="N873" s="4" t="n">
        <f aca="false">K873</f>
        <v>10315.1796495147</v>
      </c>
      <c r="O873" s="4" t="n">
        <f aca="false">M873-K873</f>
        <v>10</v>
      </c>
      <c r="P873" s="4" t="n">
        <f aca="false">N873-K873</f>
        <v>0</v>
      </c>
      <c r="Q873" s="4" t="n">
        <f aca="false">A873-MATCH(K873,$M$9:M872,1)</f>
        <v>0</v>
      </c>
      <c r="R873" s="0" t="n">
        <f aca="false">-G873*(O873/3600)</f>
        <v>-0.049112188072406</v>
      </c>
      <c r="S873" s="0" t="n">
        <f aca="false">-1*I873-(H873*(P873/3600))</f>
        <v>-19.5</v>
      </c>
      <c r="T873" s="0" t="n">
        <f aca="false">-H873*(O873/3600)</f>
        <v>-0.64081828213526</v>
      </c>
      <c r="U873" s="0" t="n">
        <f aca="false">T873-S873</f>
        <v>18.8591817178647</v>
      </c>
      <c r="V873" s="0" t="n">
        <f aca="false">1/(1+EXP(U873))</f>
        <v>6.4500256828157E-009</v>
      </c>
      <c r="W873" s="0" t="n">
        <f aca="true">RAND()</f>
        <v>0.45357873957435</v>
      </c>
      <c r="X873" s="0" t="n">
        <f aca="false">IF(W873&lt;V873,1,0)</f>
        <v>0</v>
      </c>
      <c r="Y873" s="0" t="n">
        <f aca="false">(M873*(1-X873)+N873*X873)*D873+M873*E873</f>
        <v>10325.1796495147</v>
      </c>
      <c r="Z873" s="0" t="n">
        <f aca="false">((1-X873)*O873+X873*P873)*D873+E873*O873</f>
        <v>10</v>
      </c>
      <c r="AA873" s="0" t="n">
        <f aca="false">IF(D873*X873&gt;0,AA872,Q873)</f>
        <v>0</v>
      </c>
      <c r="AB873" s="0" t="n">
        <f aca="false">(X873*D873)</f>
        <v>0</v>
      </c>
      <c r="AC873" s="0" t="n">
        <f aca="false">SUM(AB$10:AB872)/K873</f>
        <v>9.69445064436705E-005</v>
      </c>
      <c r="AD873" s="0" t="n">
        <f aca="false">R873*E873+D873*(X873*S873+(1-X873)*T873)</f>
        <v>-0.049112188072406</v>
      </c>
      <c r="AE873" s="0" t="n">
        <f aca="false">Z873</f>
        <v>10</v>
      </c>
      <c r="AF873" s="0" t="n">
        <f aca="false">E873*O873</f>
        <v>10</v>
      </c>
      <c r="AG873" s="0" t="n">
        <f aca="false">((1-X873)*O873+X873*P873)*D873</f>
        <v>0</v>
      </c>
      <c r="AH873" s="0" t="n">
        <f aca="false">D873*(LN(EXP(S873)+EXP(T873)))</f>
        <v>-0</v>
      </c>
      <c r="AJ873" s="0" t="n">
        <f aca="false">$J$5</f>
        <v>10</v>
      </c>
      <c r="AK873" s="4" t="n">
        <f aca="false">AJ873+MAX(K873,AK$10:AK872)</f>
        <v>10325.1796495147</v>
      </c>
      <c r="AL873" s="5" t="n">
        <f aca="false">AK873-K873</f>
        <v>10</v>
      </c>
      <c r="AM873" s="0" t="n">
        <f aca="false">-G873*AL873/3600</f>
        <v>-0.049112188072406</v>
      </c>
      <c r="AN873" s="0" t="n">
        <f aca="false">-H873*AL873/3600</f>
        <v>-0.64081828213526</v>
      </c>
      <c r="AO873" s="0" t="n">
        <f aca="false">AM873*E873+AN873*D873</f>
        <v>-0.049112188072406</v>
      </c>
      <c r="AP873" s="0" t="n">
        <f aca="false">AL873*D873</f>
        <v>0</v>
      </c>
      <c r="AR873" s="0" t="n">
        <f aca="false">AN873*D873</f>
        <v>-0</v>
      </c>
      <c r="AS873" s="0" t="n">
        <f aca="false">AH873-AR873</f>
        <v>0</v>
      </c>
    </row>
    <row r="874" customFormat="false" ht="12" hidden="false" customHeight="false" outlineLevel="0" collapsed="false">
      <c r="A874" s="3" t="n">
        <f aca="false">A873+1</f>
        <v>865</v>
      </c>
      <c r="B874" s="3" t="n">
        <f aca="false">IF(A874&lt;$N$4/3,0.1,(IF(A874&gt;2*$N$4/3,0.05,0.12)))</f>
        <v>0.05</v>
      </c>
      <c r="C874" s="4" t="n">
        <f aca="true">RAND()</f>
        <v>0.535669082168345</v>
      </c>
      <c r="D874" s="0" t="n">
        <f aca="false">IF((C874&gt;$M$2),1,0)</f>
        <v>0</v>
      </c>
      <c r="E874" s="0" t="n">
        <f aca="false">1-D874</f>
        <v>1</v>
      </c>
      <c r="F874" s="0" t="n">
        <f aca="true">RAND()</f>
        <v>0.245217121969345</v>
      </c>
      <c r="G874" s="0" t="n">
        <f aca="false">7.75+F874*10</f>
        <v>10.2021712196935</v>
      </c>
      <c r="H874" s="0" t="n">
        <f aca="false">LOGINV(F874,2.64,1.139)</f>
        <v>6.38866121750669</v>
      </c>
      <c r="I874" s="0" t="n">
        <v>19.5</v>
      </c>
      <c r="J874" s="4" t="n">
        <f aca="true">-LN(RAND())/B874</f>
        <v>17.7889649498059</v>
      </c>
      <c r="K874" s="4" t="n">
        <f aca="false">K873+J874</f>
        <v>10332.9686144645</v>
      </c>
      <c r="L874" s="4" t="n">
        <f aca="false">(1/$J$4)*(1+AB873)</f>
        <v>10</v>
      </c>
      <c r="M874" s="4" t="n">
        <f aca="false">L874+MAX(K874,Y$10:Y873)</f>
        <v>10342.9686144645</v>
      </c>
      <c r="N874" s="4" t="n">
        <f aca="false">K874</f>
        <v>10332.9686144645</v>
      </c>
      <c r="O874" s="4" t="n">
        <f aca="false">M874-K874</f>
        <v>10</v>
      </c>
      <c r="P874" s="4" t="n">
        <f aca="false">N874-K874</f>
        <v>0</v>
      </c>
      <c r="Q874" s="4" t="n">
        <f aca="false">A874-MATCH(K874,$M$9:M873,1)</f>
        <v>0</v>
      </c>
      <c r="R874" s="0" t="n">
        <f aca="false">-G874*(O874/3600)</f>
        <v>-0.0283393644991485</v>
      </c>
      <c r="S874" s="0" t="n">
        <f aca="false">-1*I874-(H874*(P874/3600))</f>
        <v>-19.5</v>
      </c>
      <c r="T874" s="0" t="n">
        <f aca="false">-H874*(O874/3600)</f>
        <v>-0.0177462811597408</v>
      </c>
      <c r="U874" s="0" t="n">
        <f aca="false">T874-S874</f>
        <v>19.4822537188403</v>
      </c>
      <c r="V874" s="0" t="n">
        <f aca="false">1/(1+EXP(U874))</f>
        <v>3.45911271228599E-009</v>
      </c>
      <c r="W874" s="0" t="n">
        <f aca="true">RAND()</f>
        <v>0.929618101717574</v>
      </c>
      <c r="X874" s="0" t="n">
        <f aca="false">IF(W874&lt;V874,1,0)</f>
        <v>0</v>
      </c>
      <c r="Y874" s="0" t="n">
        <f aca="false">(M874*(1-X874)+N874*X874)*D874+M874*E874</f>
        <v>10342.9686144645</v>
      </c>
      <c r="Z874" s="0" t="n">
        <f aca="false">((1-X874)*O874+X874*P874)*D874+E874*O874</f>
        <v>10</v>
      </c>
      <c r="AA874" s="0" t="n">
        <f aca="false">IF(D874*X874&gt;0,AA873,Q874)</f>
        <v>0</v>
      </c>
      <c r="AB874" s="0" t="n">
        <f aca="false">(X874*D874)</f>
        <v>0</v>
      </c>
      <c r="AC874" s="0" t="n">
        <f aca="false">SUM(AB$10:AB873)/K874</f>
        <v>9.67776093503426E-005</v>
      </c>
      <c r="AD874" s="0" t="n">
        <f aca="false">R874*E874+D874*(X874*S874+(1-X874)*T874)</f>
        <v>-0.0283393644991485</v>
      </c>
      <c r="AE874" s="0" t="n">
        <f aca="false">Z874</f>
        <v>10</v>
      </c>
      <c r="AF874" s="0" t="n">
        <f aca="false">E874*O874</f>
        <v>10</v>
      </c>
      <c r="AG874" s="0" t="n">
        <f aca="false">((1-X874)*O874+X874*P874)*D874</f>
        <v>0</v>
      </c>
      <c r="AH874" s="0" t="n">
        <f aca="false">D874*(LN(EXP(S874)+EXP(T874)))</f>
        <v>-0</v>
      </c>
      <c r="AJ874" s="0" t="n">
        <f aca="false">$J$5</f>
        <v>10</v>
      </c>
      <c r="AK874" s="4" t="n">
        <f aca="false">AJ874+MAX(K874,AK$10:AK873)</f>
        <v>10342.9686144645</v>
      </c>
      <c r="AL874" s="5" t="n">
        <f aca="false">AK874-K874</f>
        <v>10</v>
      </c>
      <c r="AM874" s="0" t="n">
        <f aca="false">-G874*AL874/3600</f>
        <v>-0.0283393644991485</v>
      </c>
      <c r="AN874" s="0" t="n">
        <f aca="false">-H874*AL874/3600</f>
        <v>-0.0177462811597408</v>
      </c>
      <c r="AO874" s="0" t="n">
        <f aca="false">AM874*E874+AN874*D874</f>
        <v>-0.0283393644991485</v>
      </c>
      <c r="AP874" s="0" t="n">
        <f aca="false">AL874*D874</f>
        <v>0</v>
      </c>
      <c r="AR874" s="0" t="n">
        <f aca="false">AN874*D874</f>
        <v>-0</v>
      </c>
      <c r="AS874" s="0" t="n">
        <f aca="false">AH874-AR874</f>
        <v>0</v>
      </c>
    </row>
    <row r="875" customFormat="false" ht="12" hidden="false" customHeight="false" outlineLevel="0" collapsed="false">
      <c r="A875" s="3" t="n">
        <f aca="false">A874+1</f>
        <v>866</v>
      </c>
      <c r="B875" s="3" t="n">
        <f aca="false">IF(A875&lt;$N$4/3,0.1,(IF(A875&gt;2*$N$4/3,0.05,0.12)))</f>
        <v>0.05</v>
      </c>
      <c r="C875" s="4" t="n">
        <f aca="true">RAND()</f>
        <v>0.919993164837993</v>
      </c>
      <c r="D875" s="0" t="n">
        <f aca="false">IF((C875&gt;$M$2),1,0)</f>
        <v>1</v>
      </c>
      <c r="E875" s="0" t="n">
        <f aca="false">1-D875</f>
        <v>0</v>
      </c>
      <c r="F875" s="0" t="n">
        <f aca="true">RAND()</f>
        <v>0.16848483373004</v>
      </c>
      <c r="G875" s="0" t="n">
        <f aca="false">7.75+F875*10</f>
        <v>9.4348483373004</v>
      </c>
      <c r="H875" s="0" t="n">
        <f aca="false">LOGINV(F875,2.64,1.139)</f>
        <v>4.6943815580502</v>
      </c>
      <c r="I875" s="0" t="n">
        <v>19.5</v>
      </c>
      <c r="J875" s="4" t="n">
        <f aca="true">-LN(RAND())/B875</f>
        <v>0.337371870869613</v>
      </c>
      <c r="K875" s="4" t="n">
        <f aca="false">K874+J875</f>
        <v>10333.3059863354</v>
      </c>
      <c r="L875" s="4" t="n">
        <f aca="false">(1/$J$4)*(1+AB874)</f>
        <v>10</v>
      </c>
      <c r="M875" s="4" t="n">
        <f aca="false">L875+MAX(K875,Y$10:Y874)</f>
        <v>10352.9686144645</v>
      </c>
      <c r="N875" s="4" t="n">
        <f aca="false">K875</f>
        <v>10333.3059863354</v>
      </c>
      <c r="O875" s="4" t="n">
        <f aca="false">M875-K875</f>
        <v>19.6626281291301</v>
      </c>
      <c r="P875" s="4" t="n">
        <f aca="false">N875-K875</f>
        <v>0</v>
      </c>
      <c r="Q875" s="4" t="n">
        <f aca="false">A875-MATCH(K875,$M$9:M874,1)</f>
        <v>1</v>
      </c>
      <c r="R875" s="0" t="n">
        <f aca="false">-G875*(O875/3600)</f>
        <v>-0.0515316428641886</v>
      </c>
      <c r="S875" s="0" t="n">
        <f aca="false">-1*I875-(H875*(P875/3600))</f>
        <v>-19.5</v>
      </c>
      <c r="T875" s="0" t="n">
        <f aca="false">-H875*(O875/3600)</f>
        <v>-0.0256399663533854</v>
      </c>
      <c r="U875" s="0" t="n">
        <f aca="false">T875-S875</f>
        <v>19.4743600336466</v>
      </c>
      <c r="V875" s="0" t="n">
        <f aca="false">1/(1+EXP(U875))</f>
        <v>3.48652591223267E-009</v>
      </c>
      <c r="W875" s="0" t="n">
        <f aca="true">RAND()</f>
        <v>0.929340426513822</v>
      </c>
      <c r="X875" s="0" t="n">
        <f aca="false">IF(W875&lt;V875,1,0)</f>
        <v>0</v>
      </c>
      <c r="Y875" s="0" t="n">
        <f aca="false">(M875*(1-X875)+N875*X875)*D875+M875*E875</f>
        <v>10352.9686144645</v>
      </c>
      <c r="Z875" s="0" t="n">
        <f aca="false">((1-X875)*O875+X875*P875)*D875+E875*O875</f>
        <v>19.6626281291301</v>
      </c>
      <c r="AA875" s="0" t="n">
        <f aca="false">IF(D875*X875&gt;0,AA874,Q875)</f>
        <v>1</v>
      </c>
      <c r="AB875" s="0" t="n">
        <f aca="false">(X875*D875)</f>
        <v>0</v>
      </c>
      <c r="AC875" s="0" t="n">
        <f aca="false">SUM(AB$10:AB874)/K875</f>
        <v>9.67744496603878E-005</v>
      </c>
      <c r="AD875" s="0" t="n">
        <f aca="false">R875*E875+D875*(X875*S875+(1-X875)*T875)</f>
        <v>-0.0256399663533854</v>
      </c>
      <c r="AE875" s="0" t="n">
        <f aca="false">Z875</f>
        <v>19.6626281291301</v>
      </c>
      <c r="AF875" s="0" t="n">
        <f aca="false">E875*O875</f>
        <v>0</v>
      </c>
      <c r="AG875" s="0" t="n">
        <f aca="false">((1-X875)*O875+X875*P875)*D875</f>
        <v>19.6626281291301</v>
      </c>
      <c r="AH875" s="0" t="n">
        <f aca="false">D875*(LN(EXP(S875)+EXP(T875)))</f>
        <v>-0.0256399628668595</v>
      </c>
      <c r="AJ875" s="0" t="n">
        <f aca="false">$J$5</f>
        <v>10</v>
      </c>
      <c r="AK875" s="4" t="n">
        <f aca="false">AJ875+MAX(K875,AK$10:AK874)</f>
        <v>10352.9686144645</v>
      </c>
      <c r="AL875" s="5" t="n">
        <f aca="false">AK875-K875</f>
        <v>19.6626281291301</v>
      </c>
      <c r="AM875" s="0" t="n">
        <f aca="false">-G875*AL875/3600</f>
        <v>-0.0515316428641886</v>
      </c>
      <c r="AN875" s="0" t="n">
        <f aca="false">-H875*AL875/3600</f>
        <v>-0.0256399663533854</v>
      </c>
      <c r="AO875" s="0" t="n">
        <f aca="false">AM875*E875+AN875*D875</f>
        <v>-0.0256399663533854</v>
      </c>
      <c r="AP875" s="0" t="n">
        <f aca="false">AL875*D875</f>
        <v>19.6626281291301</v>
      </c>
      <c r="AR875" s="0" t="n">
        <f aca="false">AN875*D875</f>
        <v>-0.0256399663533854</v>
      </c>
      <c r="AS875" s="0" t="n">
        <f aca="false">AH875-AR875</f>
        <v>3.48652591519727E-009</v>
      </c>
    </row>
    <row r="876" customFormat="false" ht="12" hidden="false" customHeight="false" outlineLevel="0" collapsed="false">
      <c r="A876" s="3" t="n">
        <f aca="false">A875+1</f>
        <v>867</v>
      </c>
      <c r="B876" s="3" t="n">
        <f aca="false">IF(A876&lt;$N$4/3,0.1,(IF(A876&gt;2*$N$4/3,0.05,0.12)))</f>
        <v>0.05</v>
      </c>
      <c r="C876" s="4" t="n">
        <f aca="true">RAND()</f>
        <v>0.325518618093046</v>
      </c>
      <c r="D876" s="0" t="n">
        <f aca="false">IF((C876&gt;$M$2),1,0)</f>
        <v>0</v>
      </c>
      <c r="E876" s="0" t="n">
        <f aca="false">1-D876</f>
        <v>1</v>
      </c>
      <c r="F876" s="0" t="n">
        <f aca="true">RAND()</f>
        <v>0.204700273673613</v>
      </c>
      <c r="G876" s="0" t="n">
        <f aca="false">7.75+F876*10</f>
        <v>9.79700273673613</v>
      </c>
      <c r="H876" s="0" t="n">
        <f aca="false">LOGINV(F876,2.64,1.139)</f>
        <v>5.47604482066426</v>
      </c>
      <c r="I876" s="0" t="n">
        <v>19.5</v>
      </c>
      <c r="J876" s="4" t="n">
        <f aca="true">-LN(RAND())/B876</f>
        <v>12.2220420443961</v>
      </c>
      <c r="K876" s="4" t="n">
        <f aca="false">K875+J876</f>
        <v>10345.5280283798</v>
      </c>
      <c r="L876" s="4" t="n">
        <f aca="false">(1/$J$4)*(1+AB875)</f>
        <v>10</v>
      </c>
      <c r="M876" s="4" t="n">
        <f aca="false">L876+MAX(K876,Y$10:Y875)</f>
        <v>10362.9686144645</v>
      </c>
      <c r="N876" s="4" t="n">
        <f aca="false">K876</f>
        <v>10345.5280283798</v>
      </c>
      <c r="O876" s="4" t="n">
        <f aca="false">M876-K876</f>
        <v>17.4405860847346</v>
      </c>
      <c r="P876" s="4" t="n">
        <f aca="false">N876-K876</f>
        <v>0</v>
      </c>
      <c r="Q876" s="4" t="n">
        <f aca="false">A876-MATCH(K876,$M$9:M875,1)</f>
        <v>1</v>
      </c>
      <c r="R876" s="0" t="n">
        <f aca="false">-G876*(O876/3600)</f>
        <v>-0.0474626304451186</v>
      </c>
      <c r="S876" s="0" t="n">
        <f aca="false">-1*I876-(H876*(P876/3600))</f>
        <v>-19.5</v>
      </c>
      <c r="T876" s="0" t="n">
        <f aca="false">-H876*(O876/3600)</f>
        <v>-0.0265292864162945</v>
      </c>
      <c r="U876" s="0" t="n">
        <f aca="false">T876-S876</f>
        <v>19.4734707135837</v>
      </c>
      <c r="V876" s="0" t="n">
        <f aca="false">1/(1+EXP(U876))</f>
        <v>3.4896279288038E-009</v>
      </c>
      <c r="W876" s="0" t="n">
        <f aca="true">RAND()</f>
        <v>0.91814958130928</v>
      </c>
      <c r="X876" s="0" t="n">
        <f aca="false">IF(W876&lt;V876,1,0)</f>
        <v>0</v>
      </c>
      <c r="Y876" s="0" t="n">
        <f aca="false">(M876*(1-X876)+N876*X876)*D876+M876*E876</f>
        <v>10362.9686144645</v>
      </c>
      <c r="Z876" s="0" t="n">
        <f aca="false">((1-X876)*O876+X876*P876)*D876+E876*O876</f>
        <v>17.4405860847346</v>
      </c>
      <c r="AA876" s="0" t="n">
        <f aca="false">IF(D876*X876&gt;0,AA875,Q876)</f>
        <v>1</v>
      </c>
      <c r="AB876" s="0" t="n">
        <f aca="false">(X876*D876)</f>
        <v>0</v>
      </c>
      <c r="AC876" s="0" t="n">
        <f aca="false">SUM(AB$10:AB875)/K876</f>
        <v>9.66601218668399E-005</v>
      </c>
      <c r="AD876" s="0" t="n">
        <f aca="false">R876*E876+D876*(X876*S876+(1-X876)*T876)</f>
        <v>-0.0474626304451186</v>
      </c>
      <c r="AE876" s="0" t="n">
        <f aca="false">Z876</f>
        <v>17.4405860847346</v>
      </c>
      <c r="AF876" s="0" t="n">
        <f aca="false">E876*O876</f>
        <v>17.4405860847346</v>
      </c>
      <c r="AG876" s="0" t="n">
        <f aca="false">((1-X876)*O876+X876*P876)*D876</f>
        <v>0</v>
      </c>
      <c r="AH876" s="0" t="n">
        <f aca="false">D876*(LN(EXP(S876)+EXP(T876)))</f>
        <v>-0</v>
      </c>
      <c r="AJ876" s="0" t="n">
        <f aca="false">$J$5</f>
        <v>10</v>
      </c>
      <c r="AK876" s="4" t="n">
        <f aca="false">AJ876+MAX(K876,AK$10:AK875)</f>
        <v>10362.9686144645</v>
      </c>
      <c r="AL876" s="5" t="n">
        <f aca="false">AK876-K876</f>
        <v>17.4405860847346</v>
      </c>
      <c r="AM876" s="0" t="n">
        <f aca="false">-G876*AL876/3600</f>
        <v>-0.0474626304451186</v>
      </c>
      <c r="AN876" s="0" t="n">
        <f aca="false">-H876*AL876/3600</f>
        <v>-0.0265292864162945</v>
      </c>
      <c r="AO876" s="0" t="n">
        <f aca="false">AM876*E876+AN876*D876</f>
        <v>-0.0474626304451186</v>
      </c>
      <c r="AP876" s="0" t="n">
        <f aca="false">AL876*D876</f>
        <v>0</v>
      </c>
      <c r="AR876" s="0" t="n">
        <f aca="false">AN876*D876</f>
        <v>-0</v>
      </c>
      <c r="AS876" s="0" t="n">
        <f aca="false">AH876-AR876</f>
        <v>0</v>
      </c>
    </row>
    <row r="877" customFormat="false" ht="12" hidden="false" customHeight="false" outlineLevel="0" collapsed="false">
      <c r="A877" s="3" t="n">
        <f aca="false">A876+1</f>
        <v>868</v>
      </c>
      <c r="B877" s="3" t="n">
        <f aca="false">IF(A877&lt;$N$4/3,0.1,(IF(A877&gt;2*$N$4/3,0.05,0.12)))</f>
        <v>0.05</v>
      </c>
      <c r="C877" s="4" t="n">
        <f aca="true">RAND()</f>
        <v>0.5057729234765</v>
      </c>
      <c r="D877" s="0" t="n">
        <f aca="false">IF((C877&gt;$M$2),1,0)</f>
        <v>0</v>
      </c>
      <c r="E877" s="0" t="n">
        <f aca="false">1-D877</f>
        <v>1</v>
      </c>
      <c r="F877" s="0" t="n">
        <f aca="true">RAND()</f>
        <v>0.975268742515453</v>
      </c>
      <c r="G877" s="0" t="n">
        <f aca="false">7.75+F877*10</f>
        <v>17.5026874251545</v>
      </c>
      <c r="H877" s="0" t="n">
        <f aca="false">LOGINV(F877,2.64,1.139)</f>
        <v>131.323021070664</v>
      </c>
      <c r="I877" s="0" t="n">
        <v>19.5</v>
      </c>
      <c r="J877" s="4" t="n">
        <f aca="true">-LN(RAND())/B877</f>
        <v>5.34118616087411</v>
      </c>
      <c r="K877" s="4" t="n">
        <f aca="false">K876+J877</f>
        <v>10350.8692145407</v>
      </c>
      <c r="L877" s="4" t="n">
        <f aca="false">(1/$J$4)*(1+AB876)</f>
        <v>10</v>
      </c>
      <c r="M877" s="4" t="n">
        <f aca="false">L877+MAX(K877,Y$10:Y876)</f>
        <v>10372.9686144645</v>
      </c>
      <c r="N877" s="4" t="n">
        <f aca="false">K877</f>
        <v>10350.8692145407</v>
      </c>
      <c r="O877" s="4" t="n">
        <f aca="false">M877-K877</f>
        <v>22.0993999238599</v>
      </c>
      <c r="P877" s="4" t="n">
        <f aca="false">N877-K877</f>
        <v>0</v>
      </c>
      <c r="Q877" s="4" t="n">
        <f aca="false">A877-MATCH(K877,$M$9:M876,1)</f>
        <v>2</v>
      </c>
      <c r="R877" s="0" t="n">
        <f aca="false">-G877*(O877/3600)</f>
        <v>-0.107444135875223</v>
      </c>
      <c r="S877" s="0" t="n">
        <f aca="false">-1*I877-(H877*(P877/3600))</f>
        <v>-19.5</v>
      </c>
      <c r="T877" s="0" t="n">
        <f aca="false">-H877*(O877/3600)</f>
        <v>-0.806155544958356</v>
      </c>
      <c r="U877" s="0" t="n">
        <f aca="false">T877-S877</f>
        <v>18.6938444550416</v>
      </c>
      <c r="V877" s="0" t="n">
        <f aca="false">1/(1+EXP(U877))</f>
        <v>7.60968192707494E-009</v>
      </c>
      <c r="W877" s="0" t="n">
        <f aca="true">RAND()</f>
        <v>0.545061638564955</v>
      </c>
      <c r="X877" s="0" t="n">
        <f aca="false">IF(W877&lt;V877,1,0)</f>
        <v>0</v>
      </c>
      <c r="Y877" s="0" t="n">
        <f aca="false">(M877*(1-X877)+N877*X877)*D877+M877*E877</f>
        <v>10372.9686144645</v>
      </c>
      <c r="Z877" s="0" t="n">
        <f aca="false">((1-X877)*O877+X877*P877)*D877+E877*O877</f>
        <v>22.0993999238599</v>
      </c>
      <c r="AA877" s="0" t="n">
        <f aca="false">IF(D877*X877&gt;0,AA876,Q877)</f>
        <v>2</v>
      </c>
      <c r="AB877" s="0" t="n">
        <f aca="false">(X877*D877)</f>
        <v>0</v>
      </c>
      <c r="AC877" s="0" t="n">
        <f aca="false">SUM(AB$10:AB876)/K877</f>
        <v>9.66102439585674E-005</v>
      </c>
      <c r="AD877" s="0" t="n">
        <f aca="false">R877*E877+D877*(X877*S877+(1-X877)*T877)</f>
        <v>-0.107444135875223</v>
      </c>
      <c r="AE877" s="0" t="n">
        <f aca="false">Z877</f>
        <v>22.0993999238599</v>
      </c>
      <c r="AF877" s="0" t="n">
        <f aca="false">E877*O877</f>
        <v>22.0993999238599</v>
      </c>
      <c r="AG877" s="0" t="n">
        <f aca="false">((1-X877)*O877+X877*P877)*D877</f>
        <v>0</v>
      </c>
      <c r="AH877" s="0" t="n">
        <f aca="false">D877*(LN(EXP(S877)+EXP(T877)))</f>
        <v>-0</v>
      </c>
      <c r="AJ877" s="0" t="n">
        <f aca="false">$J$5</f>
        <v>10</v>
      </c>
      <c r="AK877" s="4" t="n">
        <f aca="false">AJ877+MAX(K877,AK$10:AK876)</f>
        <v>10372.9686144645</v>
      </c>
      <c r="AL877" s="5" t="n">
        <f aca="false">AK877-K877</f>
        <v>22.0993999238599</v>
      </c>
      <c r="AM877" s="0" t="n">
        <f aca="false">-G877*AL877/3600</f>
        <v>-0.107444135875223</v>
      </c>
      <c r="AN877" s="0" t="n">
        <f aca="false">-H877*AL877/3600</f>
        <v>-0.806155544958356</v>
      </c>
      <c r="AO877" s="0" t="n">
        <f aca="false">AM877*E877+AN877*D877</f>
        <v>-0.107444135875223</v>
      </c>
      <c r="AP877" s="0" t="n">
        <f aca="false">AL877*D877</f>
        <v>0</v>
      </c>
      <c r="AR877" s="0" t="n">
        <f aca="false">AN877*D877</f>
        <v>-0</v>
      </c>
      <c r="AS877" s="0" t="n">
        <f aca="false">AH877-AR877</f>
        <v>0</v>
      </c>
    </row>
    <row r="878" customFormat="false" ht="12" hidden="false" customHeight="false" outlineLevel="0" collapsed="false">
      <c r="A878" s="3" t="n">
        <f aca="false">A877+1</f>
        <v>869</v>
      </c>
      <c r="B878" s="3" t="n">
        <f aca="false">IF(A878&lt;$N$4/3,0.1,(IF(A878&gt;2*$N$4/3,0.05,0.12)))</f>
        <v>0.05</v>
      </c>
      <c r="C878" s="4" t="n">
        <f aca="true">RAND()</f>
        <v>0.565624979337394</v>
      </c>
      <c r="D878" s="0" t="n">
        <f aca="false">IF((C878&gt;$M$2),1,0)</f>
        <v>0</v>
      </c>
      <c r="E878" s="0" t="n">
        <f aca="false">1-D878</f>
        <v>1</v>
      </c>
      <c r="F878" s="0" t="n">
        <f aca="true">RAND()</f>
        <v>0.428397155665176</v>
      </c>
      <c r="G878" s="0" t="n">
        <f aca="false">7.75+F878*10</f>
        <v>12.0339715566518</v>
      </c>
      <c r="H878" s="0" t="n">
        <f aca="false">LOGINV(F878,2.64,1.139)</f>
        <v>11.4096581810227</v>
      </c>
      <c r="I878" s="0" t="n">
        <v>19.5</v>
      </c>
      <c r="J878" s="4" t="n">
        <f aca="true">-LN(RAND())/B878</f>
        <v>24.6664507333196</v>
      </c>
      <c r="K878" s="4" t="n">
        <f aca="false">K877+J878</f>
        <v>10375.535665274</v>
      </c>
      <c r="L878" s="4" t="n">
        <f aca="false">(1/$J$4)*(1+AB877)</f>
        <v>10</v>
      </c>
      <c r="M878" s="4" t="n">
        <f aca="false">L878+MAX(K878,Y$10:Y877)</f>
        <v>10385.535665274</v>
      </c>
      <c r="N878" s="4" t="n">
        <f aca="false">K878</f>
        <v>10375.535665274</v>
      </c>
      <c r="O878" s="4" t="n">
        <f aca="false">M878-K878</f>
        <v>10</v>
      </c>
      <c r="P878" s="4" t="n">
        <f aca="false">N878-K878</f>
        <v>0</v>
      </c>
      <c r="Q878" s="4" t="n">
        <f aca="false">A878-MATCH(K878,$M$9:M877,1)</f>
        <v>0</v>
      </c>
      <c r="R878" s="0" t="n">
        <f aca="false">-G878*(O878/3600)</f>
        <v>-0.0334276987684771</v>
      </c>
      <c r="S878" s="0" t="n">
        <f aca="false">-1*I878-(H878*(P878/3600))</f>
        <v>-19.5</v>
      </c>
      <c r="T878" s="0" t="n">
        <f aca="false">-H878*(O878/3600)</f>
        <v>-0.0316934949472853</v>
      </c>
      <c r="U878" s="0" t="n">
        <f aca="false">T878-S878</f>
        <v>19.4683065050527</v>
      </c>
      <c r="V878" s="0" t="n">
        <f aca="false">1/(1+EXP(U878))</f>
        <v>3.5076957077955E-009</v>
      </c>
      <c r="W878" s="0" t="n">
        <f aca="true">RAND()</f>
        <v>0.611917743197838</v>
      </c>
      <c r="X878" s="0" t="n">
        <f aca="false">IF(W878&lt;V878,1,0)</f>
        <v>0</v>
      </c>
      <c r="Y878" s="0" t="n">
        <f aca="false">(M878*(1-X878)+N878*X878)*D878+M878*E878</f>
        <v>10385.535665274</v>
      </c>
      <c r="Z878" s="0" t="n">
        <f aca="false">((1-X878)*O878+X878*P878)*D878+E878*O878</f>
        <v>10</v>
      </c>
      <c r="AA878" s="0" t="n">
        <f aca="false">IF(D878*X878&gt;0,AA877,Q878)</f>
        <v>0</v>
      </c>
      <c r="AB878" s="0" t="n">
        <f aca="false">(X878*D878)</f>
        <v>0</v>
      </c>
      <c r="AC878" s="0" t="n">
        <f aca="false">SUM(AB$10:AB877)/K878</f>
        <v>9.63805660026703E-005</v>
      </c>
      <c r="AD878" s="0" t="n">
        <f aca="false">R878*E878+D878*(X878*S878+(1-X878)*T878)</f>
        <v>-0.0334276987684771</v>
      </c>
      <c r="AE878" s="0" t="n">
        <f aca="false">Z878</f>
        <v>10</v>
      </c>
      <c r="AF878" s="0" t="n">
        <f aca="false">E878*O878</f>
        <v>10</v>
      </c>
      <c r="AG878" s="0" t="n">
        <f aca="false">((1-X878)*O878+X878*P878)*D878</f>
        <v>0</v>
      </c>
      <c r="AH878" s="0" t="n">
        <f aca="false">D878*(LN(EXP(S878)+EXP(T878)))</f>
        <v>-0</v>
      </c>
      <c r="AJ878" s="0" t="n">
        <f aca="false">$J$5</f>
        <v>10</v>
      </c>
      <c r="AK878" s="4" t="n">
        <f aca="false">AJ878+MAX(K878,AK$10:AK877)</f>
        <v>10385.535665274</v>
      </c>
      <c r="AL878" s="5" t="n">
        <f aca="false">AK878-K878</f>
        <v>10</v>
      </c>
      <c r="AM878" s="0" t="n">
        <f aca="false">-G878*AL878/3600</f>
        <v>-0.0334276987684771</v>
      </c>
      <c r="AN878" s="0" t="n">
        <f aca="false">-H878*AL878/3600</f>
        <v>-0.0316934949472853</v>
      </c>
      <c r="AO878" s="0" t="n">
        <f aca="false">AM878*E878+AN878*D878</f>
        <v>-0.0334276987684771</v>
      </c>
      <c r="AP878" s="0" t="n">
        <f aca="false">AL878*D878</f>
        <v>0</v>
      </c>
      <c r="AR878" s="0" t="n">
        <f aca="false">AN878*D878</f>
        <v>-0</v>
      </c>
      <c r="AS878" s="0" t="n">
        <f aca="false">AH878-AR878</f>
        <v>0</v>
      </c>
    </row>
    <row r="879" customFormat="false" ht="12" hidden="false" customHeight="false" outlineLevel="0" collapsed="false">
      <c r="A879" s="3" t="n">
        <f aca="false">A878+1</f>
        <v>870</v>
      </c>
      <c r="B879" s="3" t="n">
        <f aca="false">IF(A879&lt;$N$4/3,0.1,(IF(A879&gt;2*$N$4/3,0.05,0.12)))</f>
        <v>0.05</v>
      </c>
      <c r="C879" s="4" t="n">
        <f aca="true">RAND()</f>
        <v>0.951188062320868</v>
      </c>
      <c r="D879" s="0" t="n">
        <f aca="false">IF((C879&gt;$M$2),1,0)</f>
        <v>1</v>
      </c>
      <c r="E879" s="0" t="n">
        <f aca="false">1-D879</f>
        <v>0</v>
      </c>
      <c r="F879" s="0" t="n">
        <f aca="true">RAND()</f>
        <v>0.847305345568134</v>
      </c>
      <c r="G879" s="0" t="n">
        <f aca="false">7.75+F879*10</f>
        <v>16.2230534556813</v>
      </c>
      <c r="H879" s="0" t="n">
        <f aca="false">LOGINV(F879,2.64,1.139)</f>
        <v>45.0337382230368</v>
      </c>
      <c r="I879" s="0" t="n">
        <v>19.5</v>
      </c>
      <c r="J879" s="4" t="n">
        <f aca="true">-LN(RAND())/B879</f>
        <v>0.830957077485184</v>
      </c>
      <c r="K879" s="4" t="n">
        <f aca="false">K878+J879</f>
        <v>10376.3666223515</v>
      </c>
      <c r="L879" s="4" t="n">
        <f aca="false">(1/$J$4)*(1+AB878)</f>
        <v>10</v>
      </c>
      <c r="M879" s="4" t="n">
        <f aca="false">L879+MAX(K879,Y$10:Y878)</f>
        <v>10395.535665274</v>
      </c>
      <c r="N879" s="4" t="n">
        <f aca="false">K879</f>
        <v>10376.3666223515</v>
      </c>
      <c r="O879" s="4" t="n">
        <f aca="false">M879-K879</f>
        <v>19.1690429225146</v>
      </c>
      <c r="P879" s="4" t="n">
        <f aca="false">N879-K879</f>
        <v>0</v>
      </c>
      <c r="Q879" s="4" t="n">
        <f aca="false">A879-MATCH(K879,$M$9:M878,1)</f>
        <v>1</v>
      </c>
      <c r="R879" s="0" t="n">
        <f aca="false">-G879*(O879/3600)</f>
        <v>-0.0863834466739455</v>
      </c>
      <c r="S879" s="0" t="n">
        <f aca="false">-1*I879-(H879*(P879/3600))</f>
        <v>-19.5</v>
      </c>
      <c r="T879" s="0" t="n">
        <f aca="false">-H879*(O879/3600)</f>
        <v>-0.239792683599632</v>
      </c>
      <c r="U879" s="0" t="n">
        <f aca="false">T879-S879</f>
        <v>19.2602073164004</v>
      </c>
      <c r="V879" s="0" t="n">
        <f aca="false">1/(1+EXP(U879))</f>
        <v>4.31914953607916E-009</v>
      </c>
      <c r="W879" s="0" t="n">
        <f aca="true">RAND()</f>
        <v>0.607706471442878</v>
      </c>
      <c r="X879" s="0" t="n">
        <f aca="false">IF(W879&lt;V879,1,0)</f>
        <v>0</v>
      </c>
      <c r="Y879" s="0" t="n">
        <f aca="false">(M879*(1-X879)+N879*X879)*D879+M879*E879</f>
        <v>10395.535665274</v>
      </c>
      <c r="Z879" s="0" t="n">
        <f aca="false">((1-X879)*O879+X879*P879)*D879+E879*O879</f>
        <v>19.1690429225146</v>
      </c>
      <c r="AA879" s="0" t="n">
        <f aca="false">IF(D879*X879&gt;0,AA878,Q879)</f>
        <v>1</v>
      </c>
      <c r="AB879" s="0" t="n">
        <f aca="false">(X879*D879)</f>
        <v>0</v>
      </c>
      <c r="AC879" s="0" t="n">
        <f aca="false">SUM(AB$10:AB878)/K879</f>
        <v>9.63728476831113E-005</v>
      </c>
      <c r="AD879" s="0" t="n">
        <f aca="false">R879*E879+D879*(X879*S879+(1-X879)*T879)</f>
        <v>-0.239792683599632</v>
      </c>
      <c r="AE879" s="0" t="n">
        <f aca="false">Z879</f>
        <v>19.1690429225146</v>
      </c>
      <c r="AF879" s="0" t="n">
        <f aca="false">E879*O879</f>
        <v>0</v>
      </c>
      <c r="AG879" s="0" t="n">
        <f aca="false">((1-X879)*O879+X879*P879)*D879</f>
        <v>19.1690429225146</v>
      </c>
      <c r="AH879" s="0" t="n">
        <f aca="false">D879*(LN(EXP(S879)+EXP(T879)))</f>
        <v>-0.239792679280483</v>
      </c>
      <c r="AJ879" s="0" t="n">
        <f aca="false">$J$5</f>
        <v>10</v>
      </c>
      <c r="AK879" s="4" t="n">
        <f aca="false">AJ879+MAX(K879,AK$10:AK878)</f>
        <v>10395.535665274</v>
      </c>
      <c r="AL879" s="5" t="n">
        <f aca="false">AK879-K879</f>
        <v>19.1690429225146</v>
      </c>
      <c r="AM879" s="0" t="n">
        <f aca="false">-G879*AL879/3600</f>
        <v>-0.0863834466739455</v>
      </c>
      <c r="AN879" s="0" t="n">
        <f aca="false">-H879*AL879/3600</f>
        <v>-0.239792683599632</v>
      </c>
      <c r="AO879" s="0" t="n">
        <f aca="false">AM879*E879+AN879*D879</f>
        <v>-0.239792683599632</v>
      </c>
      <c r="AP879" s="0" t="n">
        <f aca="false">AL879*D879</f>
        <v>19.1690429225146</v>
      </c>
      <c r="AR879" s="0" t="n">
        <f aca="false">AN879*D879</f>
        <v>-0.239792683599632</v>
      </c>
      <c r="AS879" s="0" t="n">
        <f aca="false">AH879-AR879</f>
        <v>4.31914956577906E-009</v>
      </c>
    </row>
    <row r="880" customFormat="false" ht="12" hidden="false" customHeight="false" outlineLevel="0" collapsed="false">
      <c r="A880" s="3" t="n">
        <f aca="false">A879+1</f>
        <v>871</v>
      </c>
      <c r="B880" s="3" t="n">
        <f aca="false">IF(A880&lt;$N$4/3,0.1,(IF(A880&gt;2*$N$4/3,0.05,0.12)))</f>
        <v>0.05</v>
      </c>
      <c r="C880" s="4" t="n">
        <f aca="true">RAND()</f>
        <v>0.500439687030964</v>
      </c>
      <c r="D880" s="0" t="n">
        <f aca="false">IF((C880&gt;$M$2),1,0)</f>
        <v>0</v>
      </c>
      <c r="E880" s="0" t="n">
        <f aca="false">1-D880</f>
        <v>1</v>
      </c>
      <c r="F880" s="0" t="n">
        <f aca="true">RAND()</f>
        <v>0.426657523864996</v>
      </c>
      <c r="G880" s="0" t="n">
        <f aca="false">7.75+F880*10</f>
        <v>12.01657523865</v>
      </c>
      <c r="H880" s="0" t="n">
        <f aca="false">LOGINV(F880,2.64,1.139)</f>
        <v>11.352181208803</v>
      </c>
      <c r="I880" s="0" t="n">
        <v>19.5</v>
      </c>
      <c r="J880" s="4" t="n">
        <f aca="true">-LN(RAND())/B880</f>
        <v>17.4324552957276</v>
      </c>
      <c r="K880" s="4" t="n">
        <f aca="false">K879+J880</f>
        <v>10393.7990776472</v>
      </c>
      <c r="L880" s="4" t="n">
        <f aca="false">(1/$J$4)*(1+AB879)</f>
        <v>10</v>
      </c>
      <c r="M880" s="4" t="n">
        <f aca="false">L880+MAX(K880,Y$10:Y879)</f>
        <v>10405.535665274</v>
      </c>
      <c r="N880" s="4" t="n">
        <f aca="false">K880</f>
        <v>10393.7990776472</v>
      </c>
      <c r="O880" s="4" t="n">
        <f aca="false">M880-K880</f>
        <v>11.7365876267868</v>
      </c>
      <c r="P880" s="4" t="n">
        <f aca="false">N880-K880</f>
        <v>0</v>
      </c>
      <c r="Q880" s="4" t="n">
        <f aca="false">A880-MATCH(K880,$M$9:M879,1)</f>
        <v>1</v>
      </c>
      <c r="R880" s="0" t="n">
        <f aca="false">-G880*(O880/3600)</f>
        <v>-0.0391759967395254</v>
      </c>
      <c r="S880" s="0" t="n">
        <f aca="false">-1*I880-(H880*(P880/3600))</f>
        <v>-19.5</v>
      </c>
      <c r="T880" s="0" t="n">
        <f aca="false">-H880*(O880/3600)</f>
        <v>-0.0370099637534108</v>
      </c>
      <c r="U880" s="0" t="n">
        <f aca="false">T880-S880</f>
        <v>19.4629900362466</v>
      </c>
      <c r="V880" s="0" t="n">
        <f aca="false">1/(1+EXP(U880))</f>
        <v>3.52639392273805E-009</v>
      </c>
      <c r="W880" s="0" t="n">
        <f aca="true">RAND()</f>
        <v>0.226767590467985</v>
      </c>
      <c r="X880" s="0" t="n">
        <f aca="false">IF(W880&lt;V880,1,0)</f>
        <v>0</v>
      </c>
      <c r="Y880" s="0" t="n">
        <f aca="false">(M880*(1-X880)+N880*X880)*D880+M880*E880</f>
        <v>10405.535665274</v>
      </c>
      <c r="Z880" s="0" t="n">
        <f aca="false">((1-X880)*O880+X880*P880)*D880+E880*O880</f>
        <v>11.7365876267868</v>
      </c>
      <c r="AA880" s="0" t="n">
        <f aca="false">IF(D880*X880&gt;0,AA879,Q880)</f>
        <v>1</v>
      </c>
      <c r="AB880" s="0" t="n">
        <f aca="false">(X880*D880)</f>
        <v>0</v>
      </c>
      <c r="AC880" s="0" t="n">
        <f aca="false">SUM(AB$10:AB879)/K880</f>
        <v>9.62112113703053E-005</v>
      </c>
      <c r="AD880" s="0" t="n">
        <f aca="false">R880*E880+D880*(X880*S880+(1-X880)*T880)</f>
        <v>-0.0391759967395254</v>
      </c>
      <c r="AE880" s="0" t="n">
        <f aca="false">Z880</f>
        <v>11.7365876267868</v>
      </c>
      <c r="AF880" s="0" t="n">
        <f aca="false">E880*O880</f>
        <v>11.7365876267868</v>
      </c>
      <c r="AG880" s="0" t="n">
        <f aca="false">((1-X880)*O880+X880*P880)*D880</f>
        <v>0</v>
      </c>
      <c r="AH880" s="0" t="n">
        <f aca="false">D880*(LN(EXP(S880)+EXP(T880)))</f>
        <v>-0</v>
      </c>
      <c r="AJ880" s="0" t="n">
        <f aca="false">$J$5</f>
        <v>10</v>
      </c>
      <c r="AK880" s="4" t="n">
        <f aca="false">AJ880+MAX(K880,AK$10:AK879)</f>
        <v>10405.535665274</v>
      </c>
      <c r="AL880" s="5" t="n">
        <f aca="false">AK880-K880</f>
        <v>11.7365876267868</v>
      </c>
      <c r="AM880" s="0" t="n">
        <f aca="false">-G880*AL880/3600</f>
        <v>-0.0391759967395254</v>
      </c>
      <c r="AN880" s="0" t="n">
        <f aca="false">-H880*AL880/3600</f>
        <v>-0.0370099637534108</v>
      </c>
      <c r="AO880" s="0" t="n">
        <f aca="false">AM880*E880+AN880*D880</f>
        <v>-0.0391759967395254</v>
      </c>
      <c r="AP880" s="0" t="n">
        <f aca="false">AL880*D880</f>
        <v>0</v>
      </c>
      <c r="AR880" s="0" t="n">
        <f aca="false">AN880*D880</f>
        <v>-0</v>
      </c>
      <c r="AS880" s="0" t="n">
        <f aca="false">AH880-AR880</f>
        <v>0</v>
      </c>
    </row>
    <row r="881" customFormat="false" ht="12" hidden="false" customHeight="false" outlineLevel="0" collapsed="false">
      <c r="A881" s="3" t="n">
        <f aca="false">A880+1</f>
        <v>872</v>
      </c>
      <c r="B881" s="3" t="n">
        <f aca="false">IF(A881&lt;$N$4/3,0.1,(IF(A881&gt;2*$N$4/3,0.05,0.12)))</f>
        <v>0.05</v>
      </c>
      <c r="C881" s="4" t="n">
        <f aca="true">RAND()</f>
        <v>0.436239079630797</v>
      </c>
      <c r="D881" s="0" t="n">
        <f aca="false">IF((C881&gt;$M$2),1,0)</f>
        <v>0</v>
      </c>
      <c r="E881" s="0" t="n">
        <f aca="false">1-D881</f>
        <v>1</v>
      </c>
      <c r="F881" s="0" t="n">
        <f aca="true">RAND()</f>
        <v>0.408616439917582</v>
      </c>
      <c r="G881" s="0" t="n">
        <f aca="false">7.75+F881*10</f>
        <v>11.8361643991758</v>
      </c>
      <c r="H881" s="0" t="n">
        <f aca="false">LOGINV(F881,2.64,1.139)</f>
        <v>10.7700689199364</v>
      </c>
      <c r="I881" s="0" t="n">
        <v>19.5</v>
      </c>
      <c r="J881" s="4" t="n">
        <f aca="true">-LN(RAND())/B881</f>
        <v>6.37391190926739</v>
      </c>
      <c r="K881" s="4" t="n">
        <f aca="false">K880+J881</f>
        <v>10400.1729895565</v>
      </c>
      <c r="L881" s="4" t="n">
        <f aca="false">(1/$J$4)*(1+AB880)</f>
        <v>10</v>
      </c>
      <c r="M881" s="4" t="n">
        <f aca="false">L881+MAX(K881,Y$10:Y880)</f>
        <v>10415.535665274</v>
      </c>
      <c r="N881" s="4" t="n">
        <f aca="false">K881</f>
        <v>10400.1729895565</v>
      </c>
      <c r="O881" s="4" t="n">
        <f aca="false">M881-K881</f>
        <v>15.3626757175189</v>
      </c>
      <c r="P881" s="4" t="n">
        <f aca="false">N881-K881</f>
        <v>0</v>
      </c>
      <c r="Q881" s="4" t="n">
        <f aca="false">A881-MATCH(K881,$M$9:M880,1)</f>
        <v>1</v>
      </c>
      <c r="R881" s="0" t="n">
        <f aca="false">-G881*(O881/3600)</f>
        <v>-0.0505097653899388</v>
      </c>
      <c r="S881" s="0" t="n">
        <f aca="false">-1*I881-(H881*(P881/3600))</f>
        <v>-19.5</v>
      </c>
      <c r="T881" s="0" t="n">
        <f aca="false">-H881*(O881/3600)</f>
        <v>-0.0459602989645308</v>
      </c>
      <c r="U881" s="0" t="n">
        <f aca="false">T881-S881</f>
        <v>19.4540397010355</v>
      </c>
      <c r="V881" s="0" t="n">
        <f aca="false">1/(1+EXP(U881))</f>
        <v>3.55809799973214E-009</v>
      </c>
      <c r="W881" s="0" t="n">
        <f aca="true">RAND()</f>
        <v>0.694455997679506</v>
      </c>
      <c r="X881" s="0" t="n">
        <f aca="false">IF(W881&lt;V881,1,0)</f>
        <v>0</v>
      </c>
      <c r="Y881" s="0" t="n">
        <f aca="false">(M881*(1-X881)+N881*X881)*D881+M881*E881</f>
        <v>10415.535665274</v>
      </c>
      <c r="Z881" s="0" t="n">
        <f aca="false">((1-X881)*O881+X881*P881)*D881+E881*O881</f>
        <v>15.3626757175189</v>
      </c>
      <c r="AA881" s="0" t="n">
        <f aca="false">IF(D881*X881&gt;0,AA880,Q881)</f>
        <v>1</v>
      </c>
      <c r="AB881" s="0" t="n">
        <f aca="false">(X881*D881)</f>
        <v>0</v>
      </c>
      <c r="AC881" s="0" t="n">
        <f aca="false">SUM(AB$10:AB880)/K881</f>
        <v>9.61522467947569E-005</v>
      </c>
      <c r="AD881" s="0" t="n">
        <f aca="false">R881*E881+D881*(X881*S881+(1-X881)*T881)</f>
        <v>-0.0505097653899388</v>
      </c>
      <c r="AE881" s="0" t="n">
        <f aca="false">Z881</f>
        <v>15.3626757175189</v>
      </c>
      <c r="AF881" s="0" t="n">
        <f aca="false">E881*O881</f>
        <v>15.3626757175189</v>
      </c>
      <c r="AG881" s="0" t="n">
        <f aca="false">((1-X881)*O881+X881*P881)*D881</f>
        <v>0</v>
      </c>
      <c r="AH881" s="0" t="n">
        <f aca="false">D881*(LN(EXP(S881)+EXP(T881)))</f>
        <v>-0</v>
      </c>
      <c r="AJ881" s="0" t="n">
        <f aca="false">$J$5</f>
        <v>10</v>
      </c>
      <c r="AK881" s="4" t="n">
        <f aca="false">AJ881+MAX(K881,AK$10:AK880)</f>
        <v>10415.535665274</v>
      </c>
      <c r="AL881" s="5" t="n">
        <f aca="false">AK881-K881</f>
        <v>15.3626757175189</v>
      </c>
      <c r="AM881" s="0" t="n">
        <f aca="false">-G881*AL881/3600</f>
        <v>-0.0505097653899388</v>
      </c>
      <c r="AN881" s="0" t="n">
        <f aca="false">-H881*AL881/3600</f>
        <v>-0.0459602989645308</v>
      </c>
      <c r="AO881" s="0" t="n">
        <f aca="false">AM881*E881+AN881*D881</f>
        <v>-0.0505097653899388</v>
      </c>
      <c r="AP881" s="0" t="n">
        <f aca="false">AL881*D881</f>
        <v>0</v>
      </c>
      <c r="AR881" s="0" t="n">
        <f aca="false">AN881*D881</f>
        <v>-0</v>
      </c>
      <c r="AS881" s="0" t="n">
        <f aca="false">AH881-AR881</f>
        <v>0</v>
      </c>
    </row>
    <row r="882" customFormat="false" ht="12" hidden="false" customHeight="false" outlineLevel="0" collapsed="false">
      <c r="A882" s="3" t="n">
        <f aca="false">A881+1</f>
        <v>873</v>
      </c>
      <c r="B882" s="3" t="n">
        <f aca="false">IF(A882&lt;$N$4/3,0.1,(IF(A882&gt;2*$N$4/3,0.05,0.12)))</f>
        <v>0.05</v>
      </c>
      <c r="C882" s="4" t="n">
        <f aca="true">RAND()</f>
        <v>0.48320877882196</v>
      </c>
      <c r="D882" s="0" t="n">
        <f aca="false">IF((C882&gt;$M$2),1,0)</f>
        <v>0</v>
      </c>
      <c r="E882" s="0" t="n">
        <f aca="false">1-D882</f>
        <v>1</v>
      </c>
      <c r="F882" s="0" t="n">
        <f aca="true">RAND()</f>
        <v>0.798337113573081</v>
      </c>
      <c r="G882" s="0" t="n">
        <f aca="false">7.75+F882*10</f>
        <v>15.7333711357308</v>
      </c>
      <c r="H882" s="0" t="n">
        <f aca="false">LOGINV(F882,2.64,1.139)</f>
        <v>36.3014648600713</v>
      </c>
      <c r="I882" s="0" t="n">
        <v>19.5</v>
      </c>
      <c r="J882" s="4" t="n">
        <f aca="true">-LN(RAND())/B882</f>
        <v>33.2705218856892</v>
      </c>
      <c r="K882" s="4" t="n">
        <f aca="false">K881+J882</f>
        <v>10433.4435114422</v>
      </c>
      <c r="L882" s="4" t="n">
        <f aca="false">(1/$J$4)*(1+AB881)</f>
        <v>10</v>
      </c>
      <c r="M882" s="4" t="n">
        <f aca="false">L882+MAX(K882,Y$10:Y881)</f>
        <v>10443.4435114422</v>
      </c>
      <c r="N882" s="4" t="n">
        <f aca="false">K882</f>
        <v>10433.4435114422</v>
      </c>
      <c r="O882" s="4" t="n">
        <f aca="false">M882-K882</f>
        <v>10</v>
      </c>
      <c r="P882" s="4" t="n">
        <f aca="false">N882-K882</f>
        <v>0</v>
      </c>
      <c r="Q882" s="4" t="n">
        <f aca="false">A882-MATCH(K882,$M$9:M881,1)</f>
        <v>0</v>
      </c>
      <c r="R882" s="0" t="n">
        <f aca="false">-G882*(O882/3600)</f>
        <v>-0.0437038087103634</v>
      </c>
      <c r="S882" s="0" t="n">
        <f aca="false">-1*I882-(H882*(P882/3600))</f>
        <v>-19.5</v>
      </c>
      <c r="T882" s="0" t="n">
        <f aca="false">-H882*(O882/3600)</f>
        <v>-0.100837402389087</v>
      </c>
      <c r="U882" s="0" t="n">
        <f aca="false">T882-S882</f>
        <v>19.3991625976109</v>
      </c>
      <c r="V882" s="0" t="n">
        <f aca="false">1/(1+EXP(U882))</f>
        <v>3.75881307331674E-009</v>
      </c>
      <c r="W882" s="0" t="n">
        <f aca="true">RAND()</f>
        <v>0.0437548059565624</v>
      </c>
      <c r="X882" s="0" t="n">
        <f aca="false">IF(W882&lt;V882,1,0)</f>
        <v>0</v>
      </c>
      <c r="Y882" s="0" t="n">
        <f aca="false">(M882*(1-X882)+N882*X882)*D882+M882*E882</f>
        <v>10443.4435114422</v>
      </c>
      <c r="Z882" s="0" t="n">
        <f aca="false">((1-X882)*O882+X882*P882)*D882+E882*O882</f>
        <v>10</v>
      </c>
      <c r="AA882" s="0" t="n">
        <f aca="false">IF(D882*X882&gt;0,AA881,Q882)</f>
        <v>0</v>
      </c>
      <c r="AB882" s="0" t="n">
        <f aca="false">(X882*D882)</f>
        <v>0</v>
      </c>
      <c r="AC882" s="0" t="n">
        <f aca="false">SUM(AB$10:AB881)/K882</f>
        <v>9.58456332181525E-005</v>
      </c>
      <c r="AD882" s="0" t="n">
        <f aca="false">R882*E882+D882*(X882*S882+(1-X882)*T882)</f>
        <v>-0.0437038087103634</v>
      </c>
      <c r="AE882" s="0" t="n">
        <f aca="false">Z882</f>
        <v>10</v>
      </c>
      <c r="AF882" s="0" t="n">
        <f aca="false">E882*O882</f>
        <v>10</v>
      </c>
      <c r="AG882" s="0" t="n">
        <f aca="false">((1-X882)*O882+X882*P882)*D882</f>
        <v>0</v>
      </c>
      <c r="AH882" s="0" t="n">
        <f aca="false">D882*(LN(EXP(S882)+EXP(T882)))</f>
        <v>-0</v>
      </c>
      <c r="AJ882" s="0" t="n">
        <f aca="false">$J$5</f>
        <v>10</v>
      </c>
      <c r="AK882" s="4" t="n">
        <f aca="false">AJ882+MAX(K882,AK$10:AK881)</f>
        <v>10443.4435114422</v>
      </c>
      <c r="AL882" s="5" t="n">
        <f aca="false">AK882-K882</f>
        <v>10</v>
      </c>
      <c r="AM882" s="0" t="n">
        <f aca="false">-G882*AL882/3600</f>
        <v>-0.0437038087103634</v>
      </c>
      <c r="AN882" s="0" t="n">
        <f aca="false">-H882*AL882/3600</f>
        <v>-0.100837402389087</v>
      </c>
      <c r="AO882" s="0" t="n">
        <f aca="false">AM882*E882+AN882*D882</f>
        <v>-0.0437038087103634</v>
      </c>
      <c r="AP882" s="0" t="n">
        <f aca="false">AL882*D882</f>
        <v>0</v>
      </c>
      <c r="AR882" s="0" t="n">
        <f aca="false">AN882*D882</f>
        <v>-0</v>
      </c>
      <c r="AS882" s="0" t="n">
        <f aca="false">AH882-AR882</f>
        <v>0</v>
      </c>
    </row>
    <row r="883" customFormat="false" ht="12" hidden="false" customHeight="false" outlineLevel="0" collapsed="false">
      <c r="A883" s="3" t="n">
        <f aca="false">A882+1</f>
        <v>874</v>
      </c>
      <c r="B883" s="3" t="n">
        <f aca="false">IF(A883&lt;$N$4/3,0.1,(IF(A883&gt;2*$N$4/3,0.05,0.12)))</f>
        <v>0.05</v>
      </c>
      <c r="C883" s="4" t="n">
        <f aca="true">RAND()</f>
        <v>0.819395809950084</v>
      </c>
      <c r="D883" s="0" t="n">
        <f aca="false">IF((C883&gt;$M$2),1,0)</f>
        <v>0</v>
      </c>
      <c r="E883" s="0" t="n">
        <f aca="false">1-D883</f>
        <v>1</v>
      </c>
      <c r="F883" s="0" t="n">
        <f aca="true">RAND()</f>
        <v>0.845852687625225</v>
      </c>
      <c r="G883" s="0" t="n">
        <f aca="false">7.75+F883*10</f>
        <v>16.2085268762523</v>
      </c>
      <c r="H883" s="0" t="n">
        <f aca="false">LOGINV(F883,2.64,1.139)</f>
        <v>44.7200129326109</v>
      </c>
      <c r="I883" s="0" t="n">
        <v>19.5</v>
      </c>
      <c r="J883" s="4" t="n">
        <f aca="true">-LN(RAND())/B883</f>
        <v>31.2730064117403</v>
      </c>
      <c r="K883" s="4" t="n">
        <f aca="false">K882+J883</f>
        <v>10464.7165178539</v>
      </c>
      <c r="L883" s="4" t="n">
        <f aca="false">(1/$J$4)*(1+AB882)</f>
        <v>10</v>
      </c>
      <c r="M883" s="4" t="n">
        <f aca="false">L883+MAX(K883,Y$10:Y882)</f>
        <v>10474.7165178539</v>
      </c>
      <c r="N883" s="4" t="n">
        <f aca="false">K883</f>
        <v>10464.7165178539</v>
      </c>
      <c r="O883" s="4" t="n">
        <f aca="false">M883-K883</f>
        <v>10</v>
      </c>
      <c r="P883" s="4" t="n">
        <f aca="false">N883-K883</f>
        <v>0</v>
      </c>
      <c r="Q883" s="4" t="n">
        <f aca="false">A883-MATCH(K883,$M$9:M882,1)</f>
        <v>0</v>
      </c>
      <c r="R883" s="0" t="n">
        <f aca="false">-G883*(O883/3600)</f>
        <v>-0.0450236857673674</v>
      </c>
      <c r="S883" s="0" t="n">
        <f aca="false">-1*I883-(H883*(P883/3600))</f>
        <v>-19.5</v>
      </c>
      <c r="T883" s="0" t="n">
        <f aca="false">-H883*(O883/3600)</f>
        <v>-0.124222258146141</v>
      </c>
      <c r="U883" s="0" t="n">
        <f aca="false">T883-S883</f>
        <v>19.3757777418539</v>
      </c>
      <c r="V883" s="0" t="n">
        <f aca="false">1/(1+EXP(U883))</f>
        <v>3.84774818912183E-009</v>
      </c>
      <c r="W883" s="0" t="n">
        <f aca="true">RAND()</f>
        <v>0.826228654235204</v>
      </c>
      <c r="X883" s="0" t="n">
        <f aca="false">IF(W883&lt;V883,1,0)</f>
        <v>0</v>
      </c>
      <c r="Y883" s="0" t="n">
        <f aca="false">(M883*(1-X883)+N883*X883)*D883+M883*E883</f>
        <v>10474.7165178539</v>
      </c>
      <c r="Z883" s="0" t="n">
        <f aca="false">((1-X883)*O883+X883*P883)*D883+E883*O883</f>
        <v>10</v>
      </c>
      <c r="AA883" s="0" t="n">
        <f aca="false">IF(D883*X883&gt;0,AA882,Q883)</f>
        <v>0</v>
      </c>
      <c r="AB883" s="0" t="n">
        <f aca="false">(X883*D883)</f>
        <v>0</v>
      </c>
      <c r="AC883" s="0" t="n">
        <f aca="false">SUM(AB$10:AB882)/K883</f>
        <v>9.55592058603684E-005</v>
      </c>
      <c r="AD883" s="0" t="n">
        <f aca="false">R883*E883+D883*(X883*S883+(1-X883)*T883)</f>
        <v>-0.0450236857673674</v>
      </c>
      <c r="AE883" s="0" t="n">
        <f aca="false">Z883</f>
        <v>10</v>
      </c>
      <c r="AF883" s="0" t="n">
        <f aca="false">E883*O883</f>
        <v>10</v>
      </c>
      <c r="AG883" s="0" t="n">
        <f aca="false">((1-X883)*O883+X883*P883)*D883</f>
        <v>0</v>
      </c>
      <c r="AH883" s="0" t="n">
        <f aca="false">D883*(LN(EXP(S883)+EXP(T883)))</f>
        <v>-0</v>
      </c>
      <c r="AJ883" s="0" t="n">
        <f aca="false">$J$5</f>
        <v>10</v>
      </c>
      <c r="AK883" s="4" t="n">
        <f aca="false">AJ883+MAX(K883,AK$10:AK882)</f>
        <v>10474.7165178539</v>
      </c>
      <c r="AL883" s="5" t="n">
        <f aca="false">AK883-K883</f>
        <v>10</v>
      </c>
      <c r="AM883" s="0" t="n">
        <f aca="false">-G883*AL883/3600</f>
        <v>-0.0450236857673674</v>
      </c>
      <c r="AN883" s="0" t="n">
        <f aca="false">-H883*AL883/3600</f>
        <v>-0.124222258146141</v>
      </c>
      <c r="AO883" s="0" t="n">
        <f aca="false">AM883*E883+AN883*D883</f>
        <v>-0.0450236857673674</v>
      </c>
      <c r="AP883" s="0" t="n">
        <f aca="false">AL883*D883</f>
        <v>0</v>
      </c>
      <c r="AR883" s="0" t="n">
        <f aca="false">AN883*D883</f>
        <v>-0</v>
      </c>
      <c r="AS883" s="0" t="n">
        <f aca="false">AH883-AR883</f>
        <v>0</v>
      </c>
    </row>
    <row r="884" customFormat="false" ht="12" hidden="false" customHeight="false" outlineLevel="0" collapsed="false">
      <c r="A884" s="3" t="n">
        <f aca="false">A883+1</f>
        <v>875</v>
      </c>
      <c r="B884" s="3" t="n">
        <f aca="false">IF(A884&lt;$N$4/3,0.1,(IF(A884&gt;2*$N$4/3,0.05,0.12)))</f>
        <v>0.05</v>
      </c>
      <c r="C884" s="4" t="n">
        <f aca="true">RAND()</f>
        <v>0.635891841046791</v>
      </c>
      <c r="D884" s="0" t="n">
        <f aca="false">IF((C884&gt;$M$2),1,0)</f>
        <v>0</v>
      </c>
      <c r="E884" s="0" t="n">
        <f aca="false">1-D884</f>
        <v>1</v>
      </c>
      <c r="F884" s="0" t="n">
        <f aca="true">RAND()</f>
        <v>0.180663178863013</v>
      </c>
      <c r="G884" s="0" t="n">
        <f aca="false">7.75+F884*10</f>
        <v>9.55663178863013</v>
      </c>
      <c r="H884" s="0" t="n">
        <f aca="false">LOGINV(F884,2.64,1.139)</f>
        <v>4.95439224024874</v>
      </c>
      <c r="I884" s="0" t="n">
        <v>19.5</v>
      </c>
      <c r="J884" s="4" t="n">
        <f aca="true">-LN(RAND())/B884</f>
        <v>21.266579668476</v>
      </c>
      <c r="K884" s="4" t="n">
        <f aca="false">K883+J884</f>
        <v>10485.9830975224</v>
      </c>
      <c r="L884" s="4" t="n">
        <f aca="false">(1/$J$4)*(1+AB883)</f>
        <v>10</v>
      </c>
      <c r="M884" s="4" t="n">
        <f aca="false">L884+MAX(K884,Y$10:Y883)</f>
        <v>10495.9830975224</v>
      </c>
      <c r="N884" s="4" t="n">
        <f aca="false">K884</f>
        <v>10485.9830975224</v>
      </c>
      <c r="O884" s="4" t="n">
        <f aca="false">M884-K884</f>
        <v>10</v>
      </c>
      <c r="P884" s="4" t="n">
        <f aca="false">N884-K884</f>
        <v>0</v>
      </c>
      <c r="Q884" s="4" t="n">
        <f aca="false">A884-MATCH(K884,$M$9:M883,1)</f>
        <v>0</v>
      </c>
      <c r="R884" s="0" t="n">
        <f aca="false">-G884*(O884/3600)</f>
        <v>-0.0265461994128615</v>
      </c>
      <c r="S884" s="0" t="n">
        <f aca="false">-1*I884-(H884*(P884/3600))</f>
        <v>-19.5</v>
      </c>
      <c r="T884" s="0" t="n">
        <f aca="false">-H884*(O884/3600)</f>
        <v>-0.0137622006673576</v>
      </c>
      <c r="U884" s="0" t="n">
        <f aca="false">T884-S884</f>
        <v>19.4862377993326</v>
      </c>
      <c r="V884" s="0" t="n">
        <f aca="false">1/(1+EXP(U884))</f>
        <v>3.44535874550381E-009</v>
      </c>
      <c r="W884" s="0" t="n">
        <f aca="true">RAND()</f>
        <v>0.138262765857415</v>
      </c>
      <c r="X884" s="0" t="n">
        <f aca="false">IF(W884&lt;V884,1,0)</f>
        <v>0</v>
      </c>
      <c r="Y884" s="0" t="n">
        <f aca="false">(M884*(1-X884)+N884*X884)*D884+M884*E884</f>
        <v>10495.9830975224</v>
      </c>
      <c r="Z884" s="0" t="n">
        <f aca="false">((1-X884)*O884+X884*P884)*D884+E884*O884</f>
        <v>10</v>
      </c>
      <c r="AA884" s="0" t="n">
        <f aca="false">IF(D884*X884&gt;0,AA883,Q884)</f>
        <v>0</v>
      </c>
      <c r="AB884" s="0" t="n">
        <f aca="false">(X884*D884)</f>
        <v>0</v>
      </c>
      <c r="AC884" s="0" t="n">
        <f aca="false">SUM(AB$10:AB883)/K884</f>
        <v>9.53654026236489E-005</v>
      </c>
      <c r="AD884" s="0" t="n">
        <f aca="false">R884*E884+D884*(X884*S884+(1-X884)*T884)</f>
        <v>-0.0265461994128615</v>
      </c>
      <c r="AE884" s="0" t="n">
        <f aca="false">Z884</f>
        <v>10</v>
      </c>
      <c r="AF884" s="0" t="n">
        <f aca="false">E884*O884</f>
        <v>10</v>
      </c>
      <c r="AG884" s="0" t="n">
        <f aca="false">((1-X884)*O884+X884*P884)*D884</f>
        <v>0</v>
      </c>
      <c r="AH884" s="0" t="n">
        <f aca="false">D884*(LN(EXP(S884)+EXP(T884)))</f>
        <v>-0</v>
      </c>
      <c r="AJ884" s="0" t="n">
        <f aca="false">$J$5</f>
        <v>10</v>
      </c>
      <c r="AK884" s="4" t="n">
        <f aca="false">AJ884+MAX(K884,AK$10:AK883)</f>
        <v>10495.9830975224</v>
      </c>
      <c r="AL884" s="5" t="n">
        <f aca="false">AK884-K884</f>
        <v>10</v>
      </c>
      <c r="AM884" s="0" t="n">
        <f aca="false">-G884*AL884/3600</f>
        <v>-0.0265461994128615</v>
      </c>
      <c r="AN884" s="0" t="n">
        <f aca="false">-H884*AL884/3600</f>
        <v>-0.0137622006673576</v>
      </c>
      <c r="AO884" s="0" t="n">
        <f aca="false">AM884*E884+AN884*D884</f>
        <v>-0.0265461994128615</v>
      </c>
      <c r="AP884" s="0" t="n">
        <f aca="false">AL884*D884</f>
        <v>0</v>
      </c>
      <c r="AR884" s="0" t="n">
        <f aca="false">AN884*D884</f>
        <v>-0</v>
      </c>
      <c r="AS884" s="0" t="n">
        <f aca="false">AH884-AR884</f>
        <v>0</v>
      </c>
    </row>
    <row r="885" customFormat="false" ht="12" hidden="false" customHeight="false" outlineLevel="0" collapsed="false">
      <c r="A885" s="3" t="n">
        <f aca="false">A884+1</f>
        <v>876</v>
      </c>
      <c r="B885" s="3" t="n">
        <f aca="false">IF(A885&lt;$N$4/3,0.1,(IF(A885&gt;2*$N$4/3,0.05,0.12)))</f>
        <v>0.05</v>
      </c>
      <c r="C885" s="4" t="n">
        <f aca="true">RAND()</f>
        <v>0.441839834335824</v>
      </c>
      <c r="D885" s="0" t="n">
        <f aca="false">IF((C885&gt;$M$2),1,0)</f>
        <v>0</v>
      </c>
      <c r="E885" s="0" t="n">
        <f aca="false">1-D885</f>
        <v>1</v>
      </c>
      <c r="F885" s="0" t="n">
        <f aca="true">RAND()</f>
        <v>0.75958153779302</v>
      </c>
      <c r="G885" s="0" t="n">
        <f aca="false">7.75+F885*10</f>
        <v>15.3458153779302</v>
      </c>
      <c r="H885" s="0" t="n">
        <f aca="false">LOGINV(F885,2.64,1.139)</f>
        <v>31.278975246265</v>
      </c>
      <c r="I885" s="0" t="n">
        <v>19.5</v>
      </c>
      <c r="J885" s="4" t="n">
        <f aca="true">-LN(RAND())/B885</f>
        <v>0.0669200636724196</v>
      </c>
      <c r="K885" s="4" t="n">
        <f aca="false">K884+J885</f>
        <v>10486.0500175861</v>
      </c>
      <c r="L885" s="4" t="n">
        <f aca="false">(1/$J$4)*(1+AB884)</f>
        <v>10</v>
      </c>
      <c r="M885" s="4" t="n">
        <f aca="false">L885+MAX(K885,Y$10:Y884)</f>
        <v>10505.9830975224</v>
      </c>
      <c r="N885" s="4" t="n">
        <f aca="false">K885</f>
        <v>10486.0500175861</v>
      </c>
      <c r="O885" s="4" t="n">
        <f aca="false">M885-K885</f>
        <v>19.933079936327</v>
      </c>
      <c r="P885" s="4" t="n">
        <f aca="false">N885-K885</f>
        <v>0</v>
      </c>
      <c r="Q885" s="4" t="n">
        <f aca="false">A885-MATCH(K885,$M$9:M884,1)</f>
        <v>1</v>
      </c>
      <c r="R885" s="0" t="n">
        <f aca="false">-G885*(O885/3600)</f>
        <v>-0.0849692679489996</v>
      </c>
      <c r="S885" s="0" t="n">
        <f aca="false">-1*I885-(H885*(P885/3600))</f>
        <v>-19.5</v>
      </c>
      <c r="T885" s="0" t="n">
        <f aca="false">-H885*(O885/3600)</f>
        <v>-0.173190642752831</v>
      </c>
      <c r="U885" s="0" t="n">
        <f aca="false">T885-S885</f>
        <v>19.3268093572472</v>
      </c>
      <c r="V885" s="0" t="n">
        <f aca="false">1/(1+EXP(U885))</f>
        <v>4.04085569669683E-009</v>
      </c>
      <c r="W885" s="0" t="n">
        <f aca="true">RAND()</f>
        <v>0.628068378412109</v>
      </c>
      <c r="X885" s="0" t="n">
        <f aca="false">IF(W885&lt;V885,1,0)</f>
        <v>0</v>
      </c>
      <c r="Y885" s="0" t="n">
        <f aca="false">(M885*(1-X885)+N885*X885)*D885+M885*E885</f>
        <v>10505.9830975224</v>
      </c>
      <c r="Z885" s="0" t="n">
        <f aca="false">((1-X885)*O885+X885*P885)*D885+E885*O885</f>
        <v>19.933079936327</v>
      </c>
      <c r="AA885" s="0" t="n">
        <f aca="false">IF(D885*X885&gt;0,AA884,Q885)</f>
        <v>1</v>
      </c>
      <c r="AB885" s="0" t="n">
        <f aca="false">(X885*D885)</f>
        <v>0</v>
      </c>
      <c r="AC885" s="0" t="n">
        <f aca="false">SUM(AB$10:AB884)/K885</f>
        <v>9.53647940189975E-005</v>
      </c>
      <c r="AD885" s="0" t="n">
        <f aca="false">R885*E885+D885*(X885*S885+(1-X885)*T885)</f>
        <v>-0.0849692679489996</v>
      </c>
      <c r="AE885" s="0" t="n">
        <f aca="false">Z885</f>
        <v>19.933079936327</v>
      </c>
      <c r="AF885" s="0" t="n">
        <f aca="false">E885*O885</f>
        <v>19.933079936327</v>
      </c>
      <c r="AG885" s="0" t="n">
        <f aca="false">((1-X885)*O885+X885*P885)*D885</f>
        <v>0</v>
      </c>
      <c r="AH885" s="0" t="n">
        <f aca="false">D885*(LN(EXP(S885)+EXP(T885)))</f>
        <v>-0</v>
      </c>
      <c r="AJ885" s="0" t="n">
        <f aca="false">$J$5</f>
        <v>10</v>
      </c>
      <c r="AK885" s="4" t="n">
        <f aca="false">AJ885+MAX(K885,AK$10:AK884)</f>
        <v>10505.9830975224</v>
      </c>
      <c r="AL885" s="5" t="n">
        <f aca="false">AK885-K885</f>
        <v>19.933079936327</v>
      </c>
      <c r="AM885" s="0" t="n">
        <f aca="false">-G885*AL885/3600</f>
        <v>-0.0849692679489996</v>
      </c>
      <c r="AN885" s="0" t="n">
        <f aca="false">-H885*AL885/3600</f>
        <v>-0.173190642752831</v>
      </c>
      <c r="AO885" s="0" t="n">
        <f aca="false">AM885*E885+AN885*D885</f>
        <v>-0.0849692679489996</v>
      </c>
      <c r="AP885" s="0" t="n">
        <f aca="false">AL885*D885</f>
        <v>0</v>
      </c>
      <c r="AR885" s="0" t="n">
        <f aca="false">AN885*D885</f>
        <v>-0</v>
      </c>
      <c r="AS885" s="0" t="n">
        <f aca="false">AH885-AR885</f>
        <v>0</v>
      </c>
    </row>
    <row r="886" customFormat="false" ht="12" hidden="false" customHeight="false" outlineLevel="0" collapsed="false">
      <c r="A886" s="3" t="n">
        <f aca="false">A885+1</f>
        <v>877</v>
      </c>
      <c r="B886" s="3" t="n">
        <f aca="false">IF(A886&lt;$N$4/3,0.1,(IF(A886&gt;2*$N$4/3,0.05,0.12)))</f>
        <v>0.05</v>
      </c>
      <c r="C886" s="4" t="n">
        <f aca="true">RAND()</f>
        <v>0.899393066825097</v>
      </c>
      <c r="D886" s="0" t="n">
        <f aca="false">IF((C886&gt;$M$2),1,0)</f>
        <v>0</v>
      </c>
      <c r="E886" s="0" t="n">
        <f aca="false">1-D886</f>
        <v>1</v>
      </c>
      <c r="F886" s="0" t="n">
        <f aca="true">RAND()</f>
        <v>0.260386871096688</v>
      </c>
      <c r="G886" s="0" t="n">
        <f aca="false">7.75+F886*10</f>
        <v>10.3538687109669</v>
      </c>
      <c r="H886" s="0" t="n">
        <f aca="false">LOGINV(F886,2.64,1.139)</f>
        <v>6.74355713417375</v>
      </c>
      <c r="I886" s="0" t="n">
        <v>19.5</v>
      </c>
      <c r="J886" s="4" t="n">
        <f aca="true">-LN(RAND())/B886</f>
        <v>11.8645384002999</v>
      </c>
      <c r="K886" s="4" t="n">
        <f aca="false">K885+J886</f>
        <v>10497.9145559864</v>
      </c>
      <c r="L886" s="4" t="n">
        <f aca="false">(1/$J$4)*(1+AB885)</f>
        <v>10</v>
      </c>
      <c r="M886" s="4" t="n">
        <f aca="false">L886+MAX(K886,Y$10:Y885)</f>
        <v>10515.9830975224</v>
      </c>
      <c r="N886" s="4" t="n">
        <f aca="false">K886</f>
        <v>10497.9145559864</v>
      </c>
      <c r="O886" s="4" t="n">
        <f aca="false">M886-K886</f>
        <v>18.0685415360276</v>
      </c>
      <c r="P886" s="4" t="n">
        <f aca="false">N886-K886</f>
        <v>0</v>
      </c>
      <c r="Q886" s="4" t="n">
        <f aca="false">A886-MATCH(K886,$M$9:M885,1)</f>
        <v>1</v>
      </c>
      <c r="R886" s="0" t="n">
        <f aca="false">-G886*(O886/3600)</f>
        <v>-0.0519664741285227</v>
      </c>
      <c r="S886" s="0" t="n">
        <f aca="false">-1*I886-(H886*(P886/3600))</f>
        <v>-19.5</v>
      </c>
      <c r="T886" s="0" t="n">
        <f aca="false">-H886*(O886/3600)</f>
        <v>-0.0338461783831649</v>
      </c>
      <c r="U886" s="0" t="n">
        <f aca="false">T886-S886</f>
        <v>19.4661538216168</v>
      </c>
      <c r="V886" s="0" t="n">
        <f aca="false">1/(1+EXP(U886))</f>
        <v>3.51525479946386E-009</v>
      </c>
      <c r="W886" s="0" t="n">
        <f aca="true">RAND()</f>
        <v>0.827976600284677</v>
      </c>
      <c r="X886" s="0" t="n">
        <f aca="false">IF(W886&lt;V886,1,0)</f>
        <v>0</v>
      </c>
      <c r="Y886" s="0" t="n">
        <f aca="false">(M886*(1-X886)+N886*X886)*D886+M886*E886</f>
        <v>10515.9830975224</v>
      </c>
      <c r="Z886" s="0" t="n">
        <f aca="false">((1-X886)*O886+X886*P886)*D886+E886*O886</f>
        <v>18.0685415360276</v>
      </c>
      <c r="AA886" s="0" t="n">
        <f aca="false">IF(D886*X886&gt;0,AA885,Q886)</f>
        <v>1</v>
      </c>
      <c r="AB886" s="0" t="n">
        <f aca="false">(X886*D886)</f>
        <v>0</v>
      </c>
      <c r="AC886" s="0" t="n">
        <f aca="false">SUM(AB$10:AB885)/K886</f>
        <v>9.5257014587698E-005</v>
      </c>
      <c r="AD886" s="0" t="n">
        <f aca="false">R886*E886+D886*(X886*S886+(1-X886)*T886)</f>
        <v>-0.0519664741285227</v>
      </c>
      <c r="AE886" s="0" t="n">
        <f aca="false">Z886</f>
        <v>18.0685415360276</v>
      </c>
      <c r="AF886" s="0" t="n">
        <f aca="false">E886*O886</f>
        <v>18.0685415360276</v>
      </c>
      <c r="AG886" s="0" t="n">
        <f aca="false">((1-X886)*O886+X886*P886)*D886</f>
        <v>0</v>
      </c>
      <c r="AH886" s="0" t="n">
        <f aca="false">D886*(LN(EXP(S886)+EXP(T886)))</f>
        <v>-0</v>
      </c>
      <c r="AJ886" s="0" t="n">
        <f aca="false">$J$5</f>
        <v>10</v>
      </c>
      <c r="AK886" s="4" t="n">
        <f aca="false">AJ886+MAX(K886,AK$10:AK885)</f>
        <v>10515.9830975224</v>
      </c>
      <c r="AL886" s="5" t="n">
        <f aca="false">AK886-K886</f>
        <v>18.0685415360276</v>
      </c>
      <c r="AM886" s="0" t="n">
        <f aca="false">-G886*AL886/3600</f>
        <v>-0.0519664741285227</v>
      </c>
      <c r="AN886" s="0" t="n">
        <f aca="false">-H886*AL886/3600</f>
        <v>-0.0338461783831649</v>
      </c>
      <c r="AO886" s="0" t="n">
        <f aca="false">AM886*E886+AN886*D886</f>
        <v>-0.0519664741285227</v>
      </c>
      <c r="AP886" s="0" t="n">
        <f aca="false">AL886*D886</f>
        <v>0</v>
      </c>
      <c r="AR886" s="0" t="n">
        <f aca="false">AN886*D886</f>
        <v>-0</v>
      </c>
      <c r="AS886" s="0" t="n">
        <f aca="false">AH886-AR886</f>
        <v>0</v>
      </c>
    </row>
    <row r="887" customFormat="false" ht="12" hidden="false" customHeight="false" outlineLevel="0" collapsed="false">
      <c r="A887" s="3" t="n">
        <f aca="false">A886+1</f>
        <v>878</v>
      </c>
      <c r="B887" s="3" t="n">
        <f aca="false">IF(A887&lt;$N$4/3,0.1,(IF(A887&gt;2*$N$4/3,0.05,0.12)))</f>
        <v>0.05</v>
      </c>
      <c r="C887" s="4" t="n">
        <f aca="true">RAND()</f>
        <v>0.199740554950648</v>
      </c>
      <c r="D887" s="0" t="n">
        <f aca="false">IF((C887&gt;$M$2),1,0)</f>
        <v>0</v>
      </c>
      <c r="E887" s="0" t="n">
        <f aca="false">1-D887</f>
        <v>1</v>
      </c>
      <c r="F887" s="0" t="n">
        <f aca="true">RAND()</f>
        <v>0.188444326991053</v>
      </c>
      <c r="G887" s="0" t="n">
        <f aca="false">7.75+F887*10</f>
        <v>9.63444326991053</v>
      </c>
      <c r="H887" s="0" t="n">
        <f aca="false">LOGINV(F887,2.64,1.139)</f>
        <v>5.12192312863005</v>
      </c>
      <c r="I887" s="0" t="n">
        <v>19.5</v>
      </c>
      <c r="J887" s="4" t="n">
        <f aca="true">-LN(RAND())/B887</f>
        <v>21.2126973752547</v>
      </c>
      <c r="K887" s="4" t="n">
        <f aca="false">K886+J887</f>
        <v>10519.1272533616</v>
      </c>
      <c r="L887" s="4" t="n">
        <f aca="false">(1/$J$4)*(1+AB886)</f>
        <v>10</v>
      </c>
      <c r="M887" s="4" t="n">
        <f aca="false">L887+MAX(K887,Y$10:Y886)</f>
        <v>10529.1272533616</v>
      </c>
      <c r="N887" s="4" t="n">
        <f aca="false">K887</f>
        <v>10519.1272533616</v>
      </c>
      <c r="O887" s="4" t="n">
        <f aca="false">M887-K887</f>
        <v>10</v>
      </c>
      <c r="P887" s="4" t="n">
        <f aca="false">N887-K887</f>
        <v>0</v>
      </c>
      <c r="Q887" s="4" t="n">
        <f aca="false">A887-MATCH(K887,$M$9:M886,1)</f>
        <v>0</v>
      </c>
      <c r="R887" s="0" t="n">
        <f aca="false">-G887*(O887/3600)</f>
        <v>-0.0267623424164182</v>
      </c>
      <c r="S887" s="0" t="n">
        <f aca="false">-1*I887-(H887*(P887/3600))</f>
        <v>-19.5</v>
      </c>
      <c r="T887" s="0" t="n">
        <f aca="false">-H887*(O887/3600)</f>
        <v>-0.0142275642461946</v>
      </c>
      <c r="U887" s="0" t="n">
        <f aca="false">T887-S887</f>
        <v>19.4857724357538</v>
      </c>
      <c r="V887" s="0" t="n">
        <f aca="false">1/(1+EXP(U887))</f>
        <v>3.44696246310141E-009</v>
      </c>
      <c r="W887" s="0" t="n">
        <f aca="true">RAND()</f>
        <v>0.828319162708047</v>
      </c>
      <c r="X887" s="0" t="n">
        <f aca="false">IF(W887&lt;V887,1,0)</f>
        <v>0</v>
      </c>
      <c r="Y887" s="0" t="n">
        <f aca="false">(M887*(1-X887)+N887*X887)*D887+M887*E887</f>
        <v>10529.1272533616</v>
      </c>
      <c r="Z887" s="0" t="n">
        <f aca="false">((1-X887)*O887+X887*P887)*D887+E887*O887</f>
        <v>10</v>
      </c>
      <c r="AA887" s="0" t="n">
        <f aca="false">IF(D887*X887&gt;0,AA886,Q887)</f>
        <v>0</v>
      </c>
      <c r="AB887" s="0" t="n">
        <f aca="false">(X887*D887)</f>
        <v>0</v>
      </c>
      <c r="AC887" s="0" t="n">
        <f aca="false">SUM(AB$10:AB886)/K887</f>
        <v>9.50649208735856E-005</v>
      </c>
      <c r="AD887" s="0" t="n">
        <f aca="false">R887*E887+D887*(X887*S887+(1-X887)*T887)</f>
        <v>-0.0267623424164182</v>
      </c>
      <c r="AE887" s="0" t="n">
        <f aca="false">Z887</f>
        <v>10</v>
      </c>
      <c r="AF887" s="0" t="n">
        <f aca="false">E887*O887</f>
        <v>10</v>
      </c>
      <c r="AG887" s="0" t="n">
        <f aca="false">((1-X887)*O887+X887*P887)*D887</f>
        <v>0</v>
      </c>
      <c r="AH887" s="0" t="n">
        <f aca="false">D887*(LN(EXP(S887)+EXP(T887)))</f>
        <v>-0</v>
      </c>
      <c r="AJ887" s="0" t="n">
        <f aca="false">$J$5</f>
        <v>10</v>
      </c>
      <c r="AK887" s="4" t="n">
        <f aca="false">AJ887+MAX(K887,AK$10:AK886)</f>
        <v>10529.1272533616</v>
      </c>
      <c r="AL887" s="5" t="n">
        <f aca="false">AK887-K887</f>
        <v>10</v>
      </c>
      <c r="AM887" s="0" t="n">
        <f aca="false">-G887*AL887/3600</f>
        <v>-0.0267623424164182</v>
      </c>
      <c r="AN887" s="0" t="n">
        <f aca="false">-H887*AL887/3600</f>
        <v>-0.0142275642461946</v>
      </c>
      <c r="AO887" s="0" t="n">
        <f aca="false">AM887*E887+AN887*D887</f>
        <v>-0.0267623424164182</v>
      </c>
      <c r="AP887" s="0" t="n">
        <f aca="false">AL887*D887</f>
        <v>0</v>
      </c>
      <c r="AR887" s="0" t="n">
        <f aca="false">AN887*D887</f>
        <v>-0</v>
      </c>
      <c r="AS887" s="0" t="n">
        <f aca="false">AH887-AR887</f>
        <v>0</v>
      </c>
    </row>
    <row r="888" customFormat="false" ht="12" hidden="false" customHeight="false" outlineLevel="0" collapsed="false">
      <c r="A888" s="3" t="n">
        <f aca="false">A887+1</f>
        <v>879</v>
      </c>
      <c r="B888" s="3" t="n">
        <f aca="false">IF(A888&lt;$N$4/3,0.1,(IF(A888&gt;2*$N$4/3,0.05,0.12)))</f>
        <v>0.05</v>
      </c>
      <c r="C888" s="4" t="n">
        <f aca="true">RAND()</f>
        <v>0.289257284442904</v>
      </c>
      <c r="D888" s="0" t="n">
        <f aca="false">IF((C888&gt;$M$2),1,0)</f>
        <v>0</v>
      </c>
      <c r="E888" s="0" t="n">
        <f aca="false">1-D888</f>
        <v>1</v>
      </c>
      <c r="F888" s="0" t="n">
        <f aca="true">RAND()</f>
        <v>0.737531700645248</v>
      </c>
      <c r="G888" s="0" t="n">
        <f aca="false">7.75+F888*10</f>
        <v>15.1253170064525</v>
      </c>
      <c r="H888" s="0" t="n">
        <f aca="false">LOGINV(F888,2.64,1.139)</f>
        <v>28.908165892687</v>
      </c>
      <c r="I888" s="0" t="n">
        <v>19.5</v>
      </c>
      <c r="J888" s="4" t="n">
        <f aca="true">-LN(RAND())/B888</f>
        <v>0.596859355384028</v>
      </c>
      <c r="K888" s="4" t="n">
        <f aca="false">K887+J888</f>
        <v>10519.724112717</v>
      </c>
      <c r="L888" s="4" t="n">
        <f aca="false">(1/$J$4)*(1+AB887)</f>
        <v>10</v>
      </c>
      <c r="M888" s="4" t="n">
        <f aca="false">L888+MAX(K888,Y$10:Y887)</f>
        <v>10539.1272533616</v>
      </c>
      <c r="N888" s="4" t="n">
        <f aca="false">K888</f>
        <v>10519.724112717</v>
      </c>
      <c r="O888" s="4" t="n">
        <f aca="false">M888-K888</f>
        <v>19.4031406446156</v>
      </c>
      <c r="P888" s="4" t="n">
        <f aca="false">N888-K888</f>
        <v>0</v>
      </c>
      <c r="Q888" s="4" t="n">
        <f aca="false">A888-MATCH(K888,$M$9:M887,1)</f>
        <v>1</v>
      </c>
      <c r="R888" s="0" t="n">
        <f aca="false">-G888*(O888/3600)</f>
        <v>-0.0815218481029428</v>
      </c>
      <c r="S888" s="0" t="n">
        <f aca="false">-1*I888-(H888*(P888/3600))</f>
        <v>-19.5</v>
      </c>
      <c r="T888" s="0" t="n">
        <f aca="false">-H888*(O888/3600)</f>
        <v>-0.155808113498246</v>
      </c>
      <c r="U888" s="0" t="n">
        <f aca="false">T888-S888</f>
        <v>19.3441918865018</v>
      </c>
      <c r="V888" s="0" t="n">
        <f aca="false">1/(1+EXP(U888))</f>
        <v>3.97122235968726E-009</v>
      </c>
      <c r="W888" s="0" t="n">
        <f aca="true">RAND()</f>
        <v>0.909635054071329</v>
      </c>
      <c r="X888" s="0" t="n">
        <f aca="false">IF(W888&lt;V888,1,0)</f>
        <v>0</v>
      </c>
      <c r="Y888" s="0" t="n">
        <f aca="false">(M888*(1-X888)+N888*X888)*D888+M888*E888</f>
        <v>10539.1272533616</v>
      </c>
      <c r="Z888" s="0" t="n">
        <f aca="false">((1-X888)*O888+X888*P888)*D888+E888*O888</f>
        <v>19.4031406446156</v>
      </c>
      <c r="AA888" s="0" t="n">
        <f aca="false">IF(D888*X888&gt;0,AA887,Q888)</f>
        <v>1</v>
      </c>
      <c r="AB888" s="0" t="n">
        <f aca="false">(X888*D888)</f>
        <v>0</v>
      </c>
      <c r="AC888" s="0" t="n">
        <f aca="false">SUM(AB$10:AB887)/K888</f>
        <v>9.50595271591893E-005</v>
      </c>
      <c r="AD888" s="0" t="n">
        <f aca="false">R888*E888+D888*(X888*S888+(1-X888)*T888)</f>
        <v>-0.0815218481029428</v>
      </c>
      <c r="AE888" s="0" t="n">
        <f aca="false">Z888</f>
        <v>19.4031406446156</v>
      </c>
      <c r="AF888" s="0" t="n">
        <f aca="false">E888*O888</f>
        <v>19.4031406446156</v>
      </c>
      <c r="AG888" s="0" t="n">
        <f aca="false">((1-X888)*O888+X888*P888)*D888</f>
        <v>0</v>
      </c>
      <c r="AH888" s="0" t="n">
        <f aca="false">D888*(LN(EXP(S888)+EXP(T888)))</f>
        <v>-0</v>
      </c>
      <c r="AJ888" s="0" t="n">
        <f aca="false">$J$5</f>
        <v>10</v>
      </c>
      <c r="AK888" s="4" t="n">
        <f aca="false">AJ888+MAX(K888,AK$10:AK887)</f>
        <v>10539.1272533616</v>
      </c>
      <c r="AL888" s="5" t="n">
        <f aca="false">AK888-K888</f>
        <v>19.4031406446156</v>
      </c>
      <c r="AM888" s="0" t="n">
        <f aca="false">-G888*AL888/3600</f>
        <v>-0.0815218481029428</v>
      </c>
      <c r="AN888" s="0" t="n">
        <f aca="false">-H888*AL888/3600</f>
        <v>-0.155808113498246</v>
      </c>
      <c r="AO888" s="0" t="n">
        <f aca="false">AM888*E888+AN888*D888</f>
        <v>-0.0815218481029428</v>
      </c>
      <c r="AP888" s="0" t="n">
        <f aca="false">AL888*D888</f>
        <v>0</v>
      </c>
      <c r="AR888" s="0" t="n">
        <f aca="false">AN888*D888</f>
        <v>-0</v>
      </c>
      <c r="AS888" s="0" t="n">
        <f aca="false">AH888-AR888</f>
        <v>0</v>
      </c>
    </row>
    <row r="889" customFormat="false" ht="12" hidden="false" customHeight="false" outlineLevel="0" collapsed="false">
      <c r="A889" s="3" t="n">
        <f aca="false">A888+1</f>
        <v>880</v>
      </c>
      <c r="B889" s="3" t="n">
        <f aca="false">IF(A889&lt;$N$4/3,0.1,(IF(A889&gt;2*$N$4/3,0.05,0.12)))</f>
        <v>0.05</v>
      </c>
      <c r="C889" s="4" t="n">
        <f aca="true">RAND()</f>
        <v>0.202179031934946</v>
      </c>
      <c r="D889" s="0" t="n">
        <f aca="false">IF((C889&gt;$M$2),1,0)</f>
        <v>0</v>
      </c>
      <c r="E889" s="0" t="n">
        <f aca="false">1-D889</f>
        <v>1</v>
      </c>
      <c r="F889" s="0" t="n">
        <f aca="true">RAND()</f>
        <v>0.385347527591358</v>
      </c>
      <c r="G889" s="0" t="n">
        <f aca="false">7.75+F889*10</f>
        <v>11.6034752759136</v>
      </c>
      <c r="H889" s="0" t="n">
        <f aca="false">LOGINV(F889,2.64,1.139)</f>
        <v>10.0545009716237</v>
      </c>
      <c r="I889" s="0" t="n">
        <v>19.5</v>
      </c>
      <c r="J889" s="4" t="n">
        <f aca="true">-LN(RAND())/B889</f>
        <v>19.4108308369259</v>
      </c>
      <c r="K889" s="4" t="n">
        <f aca="false">K888+J889</f>
        <v>10539.1349435539</v>
      </c>
      <c r="L889" s="4" t="n">
        <f aca="false">(1/$J$4)*(1+AB888)</f>
        <v>10</v>
      </c>
      <c r="M889" s="4" t="n">
        <f aca="false">L889+MAX(K889,Y$10:Y888)</f>
        <v>10549.1349435539</v>
      </c>
      <c r="N889" s="4" t="n">
        <f aca="false">K889</f>
        <v>10539.1349435539</v>
      </c>
      <c r="O889" s="4" t="n">
        <f aca="false">M889-K889</f>
        <v>10</v>
      </c>
      <c r="P889" s="4" t="n">
        <f aca="false">N889-K889</f>
        <v>0</v>
      </c>
      <c r="Q889" s="4" t="n">
        <f aca="false">A889-MATCH(K889,$M$9:M888,1)</f>
        <v>0</v>
      </c>
      <c r="R889" s="0" t="n">
        <f aca="false">-G889*(O889/3600)</f>
        <v>-0.0322318757664266</v>
      </c>
      <c r="S889" s="0" t="n">
        <f aca="false">-1*I889-(H889*(P889/3600))</f>
        <v>-19.5</v>
      </c>
      <c r="T889" s="0" t="n">
        <f aca="false">-H889*(O889/3600)</f>
        <v>-0.0279291693656213</v>
      </c>
      <c r="U889" s="0" t="n">
        <f aca="false">T889-S889</f>
        <v>19.4720708306344</v>
      </c>
      <c r="V889" s="0" t="n">
        <f aca="false">1/(1+EXP(U889))</f>
        <v>3.49451642028337E-009</v>
      </c>
      <c r="W889" s="0" t="n">
        <f aca="true">RAND()</f>
        <v>0.255378752305587</v>
      </c>
      <c r="X889" s="0" t="n">
        <f aca="false">IF(W889&lt;V889,1,0)</f>
        <v>0</v>
      </c>
      <c r="Y889" s="0" t="n">
        <f aca="false">(M889*(1-X889)+N889*X889)*D889+M889*E889</f>
        <v>10549.1349435539</v>
      </c>
      <c r="Z889" s="0" t="n">
        <f aca="false">((1-X889)*O889+X889*P889)*D889+E889*O889</f>
        <v>10</v>
      </c>
      <c r="AA889" s="0" t="n">
        <f aca="false">IF(D889*X889&gt;0,AA888,Q889)</f>
        <v>0</v>
      </c>
      <c r="AB889" s="0" t="n">
        <f aca="false">(X889*D889)</f>
        <v>0</v>
      </c>
      <c r="AC889" s="0" t="n">
        <f aca="false">SUM(AB$10:AB888)/K889</f>
        <v>9.48844478560959E-005</v>
      </c>
      <c r="AD889" s="0" t="n">
        <f aca="false">R889*E889+D889*(X889*S889+(1-X889)*T889)</f>
        <v>-0.0322318757664266</v>
      </c>
      <c r="AE889" s="0" t="n">
        <f aca="false">Z889</f>
        <v>10</v>
      </c>
      <c r="AF889" s="0" t="n">
        <f aca="false">E889*O889</f>
        <v>10</v>
      </c>
      <c r="AG889" s="0" t="n">
        <f aca="false">((1-X889)*O889+X889*P889)*D889</f>
        <v>0</v>
      </c>
      <c r="AH889" s="0" t="n">
        <f aca="false">D889*(LN(EXP(S889)+EXP(T889)))</f>
        <v>-0</v>
      </c>
      <c r="AJ889" s="0" t="n">
        <f aca="false">$J$5</f>
        <v>10</v>
      </c>
      <c r="AK889" s="4" t="n">
        <f aca="false">AJ889+MAX(K889,AK$10:AK888)</f>
        <v>10549.1349435539</v>
      </c>
      <c r="AL889" s="5" t="n">
        <f aca="false">AK889-K889</f>
        <v>10</v>
      </c>
      <c r="AM889" s="0" t="n">
        <f aca="false">-G889*AL889/3600</f>
        <v>-0.0322318757664266</v>
      </c>
      <c r="AN889" s="0" t="n">
        <f aca="false">-H889*AL889/3600</f>
        <v>-0.0279291693656213</v>
      </c>
      <c r="AO889" s="0" t="n">
        <f aca="false">AM889*E889+AN889*D889</f>
        <v>-0.0322318757664266</v>
      </c>
      <c r="AP889" s="0" t="n">
        <f aca="false">AL889*D889</f>
        <v>0</v>
      </c>
      <c r="AR889" s="0" t="n">
        <f aca="false">AN889*D889</f>
        <v>-0</v>
      </c>
      <c r="AS889" s="0" t="n">
        <f aca="false">AH889-AR889</f>
        <v>0</v>
      </c>
    </row>
    <row r="890" customFormat="false" ht="12" hidden="false" customHeight="false" outlineLevel="0" collapsed="false">
      <c r="A890" s="3" t="n">
        <f aca="false">A889+1</f>
        <v>881</v>
      </c>
      <c r="B890" s="3" t="n">
        <f aca="false">IF(A890&lt;$N$4/3,0.1,(IF(A890&gt;2*$N$4/3,0.05,0.12)))</f>
        <v>0.05</v>
      </c>
      <c r="C890" s="4" t="n">
        <f aca="true">RAND()</f>
        <v>0.766004320631337</v>
      </c>
      <c r="D890" s="0" t="n">
        <f aca="false">IF((C890&gt;$M$2),1,0)</f>
        <v>0</v>
      </c>
      <c r="E890" s="0" t="n">
        <f aca="false">1-D890</f>
        <v>1</v>
      </c>
      <c r="F890" s="0" t="n">
        <f aca="true">RAND()</f>
        <v>0.0436112864252372</v>
      </c>
      <c r="G890" s="0" t="n">
        <f aca="false">7.75+F890*10</f>
        <v>8.18611286425237</v>
      </c>
      <c r="H890" s="0" t="n">
        <f aca="false">LOGINV(F890,2.64,1.139)</f>
        <v>1.99779333706019</v>
      </c>
      <c r="I890" s="0" t="n">
        <v>19.5</v>
      </c>
      <c r="J890" s="4" t="n">
        <f aca="true">-LN(RAND())/B890</f>
        <v>106.835734473153</v>
      </c>
      <c r="K890" s="4" t="n">
        <f aca="false">K889+J890</f>
        <v>10645.9706780271</v>
      </c>
      <c r="L890" s="4" t="n">
        <f aca="false">(1/$J$4)*(1+AB889)</f>
        <v>10</v>
      </c>
      <c r="M890" s="4" t="n">
        <f aca="false">L890+MAX(K890,Y$10:Y889)</f>
        <v>10655.9706780271</v>
      </c>
      <c r="N890" s="4" t="n">
        <f aca="false">K890</f>
        <v>10645.9706780271</v>
      </c>
      <c r="O890" s="4" t="n">
        <f aca="false">M890-K890</f>
        <v>10</v>
      </c>
      <c r="P890" s="4" t="n">
        <f aca="false">N890-K890</f>
        <v>0</v>
      </c>
      <c r="Q890" s="4" t="n">
        <f aca="false">A890-MATCH(K890,$M$9:M889,1)</f>
        <v>0</v>
      </c>
      <c r="R890" s="0" t="n">
        <f aca="false">-G890*(O890/3600)</f>
        <v>-0.022739202400701</v>
      </c>
      <c r="S890" s="0" t="n">
        <f aca="false">-1*I890-(H890*(P890/3600))</f>
        <v>-19.5</v>
      </c>
      <c r="T890" s="0" t="n">
        <f aca="false">-H890*(O890/3600)</f>
        <v>-0.0055494259362783</v>
      </c>
      <c r="U890" s="0" t="n">
        <f aca="false">T890-S890</f>
        <v>19.4944505740637</v>
      </c>
      <c r="V890" s="0" t="n">
        <f aca="false">1/(1+EXP(U890))</f>
        <v>3.41717866706854E-009</v>
      </c>
      <c r="W890" s="0" t="n">
        <f aca="true">RAND()</f>
        <v>0.293801189794184</v>
      </c>
      <c r="X890" s="0" t="n">
        <f aca="false">IF(W890&lt;V890,1,0)</f>
        <v>0</v>
      </c>
      <c r="Y890" s="0" t="n">
        <f aca="false">(M890*(1-X890)+N890*X890)*D890+M890*E890</f>
        <v>10655.9706780271</v>
      </c>
      <c r="Z890" s="0" t="n">
        <f aca="false">((1-X890)*O890+X890*P890)*D890+E890*O890</f>
        <v>10</v>
      </c>
      <c r="AA890" s="0" t="n">
        <f aca="false">IF(D890*X890&gt;0,AA889,Q890)</f>
        <v>0</v>
      </c>
      <c r="AB890" s="0" t="n">
        <f aca="false">(X890*D890)</f>
        <v>0</v>
      </c>
      <c r="AC890" s="0" t="n">
        <f aca="false">SUM(AB$10:AB889)/K890</f>
        <v>9.3932251951808E-005</v>
      </c>
      <c r="AD890" s="0" t="n">
        <f aca="false">R890*E890+D890*(X890*S890+(1-X890)*T890)</f>
        <v>-0.022739202400701</v>
      </c>
      <c r="AE890" s="0" t="n">
        <f aca="false">Z890</f>
        <v>10</v>
      </c>
      <c r="AF890" s="0" t="n">
        <f aca="false">E890*O890</f>
        <v>10</v>
      </c>
      <c r="AG890" s="0" t="n">
        <f aca="false">((1-X890)*O890+X890*P890)*D890</f>
        <v>0</v>
      </c>
      <c r="AH890" s="0" t="n">
        <f aca="false">D890*(LN(EXP(S890)+EXP(T890)))</f>
        <v>-0</v>
      </c>
      <c r="AJ890" s="0" t="n">
        <f aca="false">$J$5</f>
        <v>10</v>
      </c>
      <c r="AK890" s="4" t="n">
        <f aca="false">AJ890+MAX(K890,AK$10:AK889)</f>
        <v>10655.9706780271</v>
      </c>
      <c r="AL890" s="5" t="n">
        <f aca="false">AK890-K890</f>
        <v>10</v>
      </c>
      <c r="AM890" s="0" t="n">
        <f aca="false">-G890*AL890/3600</f>
        <v>-0.022739202400701</v>
      </c>
      <c r="AN890" s="0" t="n">
        <f aca="false">-H890*AL890/3600</f>
        <v>-0.0055494259362783</v>
      </c>
      <c r="AO890" s="0" t="n">
        <f aca="false">AM890*E890+AN890*D890</f>
        <v>-0.022739202400701</v>
      </c>
      <c r="AP890" s="0" t="n">
        <f aca="false">AL890*D890</f>
        <v>0</v>
      </c>
      <c r="AR890" s="0" t="n">
        <f aca="false">AN890*D890</f>
        <v>-0</v>
      </c>
      <c r="AS890" s="0" t="n">
        <f aca="false">AH890-AR890</f>
        <v>0</v>
      </c>
    </row>
    <row r="891" customFormat="false" ht="12" hidden="false" customHeight="false" outlineLevel="0" collapsed="false">
      <c r="A891" s="3" t="n">
        <f aca="false">A890+1</f>
        <v>882</v>
      </c>
      <c r="B891" s="3" t="n">
        <f aca="false">IF(A891&lt;$N$4/3,0.1,(IF(A891&gt;2*$N$4/3,0.05,0.12)))</f>
        <v>0.05</v>
      </c>
      <c r="C891" s="4" t="n">
        <f aca="true">RAND()</f>
        <v>0.203653077751793</v>
      </c>
      <c r="D891" s="0" t="n">
        <f aca="false">IF((C891&gt;$M$2),1,0)</f>
        <v>0</v>
      </c>
      <c r="E891" s="0" t="n">
        <f aca="false">1-D891</f>
        <v>1</v>
      </c>
      <c r="F891" s="0" t="n">
        <f aca="true">RAND()</f>
        <v>0.462446309868791</v>
      </c>
      <c r="G891" s="0" t="n">
        <f aca="false">7.75+F891*10</f>
        <v>12.3744630986879</v>
      </c>
      <c r="H891" s="0" t="n">
        <f aca="false">LOGINV(F891,2.64,1.139)</f>
        <v>12.5864836930242</v>
      </c>
      <c r="I891" s="0" t="n">
        <v>19.5</v>
      </c>
      <c r="J891" s="4" t="n">
        <f aca="true">-LN(RAND())/B891</f>
        <v>44.0945053413616</v>
      </c>
      <c r="K891" s="4" t="n">
        <f aca="false">K890+J891</f>
        <v>10690.0651833684</v>
      </c>
      <c r="L891" s="4" t="n">
        <f aca="false">(1/$J$4)*(1+AB890)</f>
        <v>10</v>
      </c>
      <c r="M891" s="4" t="n">
        <f aca="false">L891+MAX(K891,Y$10:Y890)</f>
        <v>10700.0651833684</v>
      </c>
      <c r="N891" s="4" t="n">
        <f aca="false">K891</f>
        <v>10690.0651833684</v>
      </c>
      <c r="O891" s="4" t="n">
        <f aca="false">M891-K891</f>
        <v>10</v>
      </c>
      <c r="P891" s="4" t="n">
        <f aca="false">N891-K891</f>
        <v>0</v>
      </c>
      <c r="Q891" s="4" t="n">
        <f aca="false">A891-MATCH(K891,$M$9:M890,1)</f>
        <v>0</v>
      </c>
      <c r="R891" s="0" t="n">
        <f aca="false">-G891*(O891/3600)</f>
        <v>-0.0343735086074664</v>
      </c>
      <c r="S891" s="0" t="n">
        <f aca="false">-1*I891-(H891*(P891/3600))</f>
        <v>-19.5</v>
      </c>
      <c r="T891" s="0" t="n">
        <f aca="false">-H891*(O891/3600)</f>
        <v>-0.034962454702845</v>
      </c>
      <c r="U891" s="0" t="n">
        <f aca="false">T891-S891</f>
        <v>19.4650375452972</v>
      </c>
      <c r="V891" s="0" t="n">
        <f aca="false">1/(1+EXP(U891))</f>
        <v>3.51918098608722E-009</v>
      </c>
      <c r="W891" s="0" t="n">
        <f aca="true">RAND()</f>
        <v>0.0553460263061476</v>
      </c>
      <c r="X891" s="0" t="n">
        <f aca="false">IF(W891&lt;V891,1,0)</f>
        <v>0</v>
      </c>
      <c r="Y891" s="0" t="n">
        <f aca="false">(M891*(1-X891)+N891*X891)*D891+M891*E891</f>
        <v>10700.0651833684</v>
      </c>
      <c r="Z891" s="0" t="n">
        <f aca="false">((1-X891)*O891+X891*P891)*D891+E891*O891</f>
        <v>10</v>
      </c>
      <c r="AA891" s="0" t="n">
        <f aca="false">IF(D891*X891&gt;0,AA890,Q891)</f>
        <v>0</v>
      </c>
      <c r="AB891" s="0" t="n">
        <f aca="false">(X891*D891)</f>
        <v>0</v>
      </c>
      <c r="AC891" s="0" t="n">
        <f aca="false">SUM(AB$10:AB890)/K891</f>
        <v>9.35447991052287E-005</v>
      </c>
      <c r="AD891" s="0" t="n">
        <f aca="false">R891*E891+D891*(X891*S891+(1-X891)*T891)</f>
        <v>-0.0343735086074664</v>
      </c>
      <c r="AE891" s="0" t="n">
        <f aca="false">Z891</f>
        <v>10</v>
      </c>
      <c r="AF891" s="0" t="n">
        <f aca="false">E891*O891</f>
        <v>10</v>
      </c>
      <c r="AG891" s="0" t="n">
        <f aca="false">((1-X891)*O891+X891*P891)*D891</f>
        <v>0</v>
      </c>
      <c r="AH891" s="0" t="n">
        <f aca="false">D891*(LN(EXP(S891)+EXP(T891)))</f>
        <v>-0</v>
      </c>
      <c r="AJ891" s="0" t="n">
        <f aca="false">$J$5</f>
        <v>10</v>
      </c>
      <c r="AK891" s="4" t="n">
        <f aca="false">AJ891+MAX(K891,AK$10:AK890)</f>
        <v>10700.0651833684</v>
      </c>
      <c r="AL891" s="5" t="n">
        <f aca="false">AK891-K891</f>
        <v>10</v>
      </c>
      <c r="AM891" s="0" t="n">
        <f aca="false">-G891*AL891/3600</f>
        <v>-0.0343735086074664</v>
      </c>
      <c r="AN891" s="0" t="n">
        <f aca="false">-H891*AL891/3600</f>
        <v>-0.034962454702845</v>
      </c>
      <c r="AO891" s="0" t="n">
        <f aca="false">AM891*E891+AN891*D891</f>
        <v>-0.0343735086074664</v>
      </c>
      <c r="AP891" s="0" t="n">
        <f aca="false">AL891*D891</f>
        <v>0</v>
      </c>
      <c r="AR891" s="0" t="n">
        <f aca="false">AN891*D891</f>
        <v>-0</v>
      </c>
      <c r="AS891" s="0" t="n">
        <f aca="false">AH891-AR891</f>
        <v>0</v>
      </c>
    </row>
    <row r="892" customFormat="false" ht="12" hidden="false" customHeight="false" outlineLevel="0" collapsed="false">
      <c r="A892" s="3" t="n">
        <f aca="false">A891+1</f>
        <v>883</v>
      </c>
      <c r="B892" s="3" t="n">
        <f aca="false">IF(A892&lt;$N$4/3,0.1,(IF(A892&gt;2*$N$4/3,0.05,0.12)))</f>
        <v>0.05</v>
      </c>
      <c r="C892" s="4" t="n">
        <f aca="true">RAND()</f>
        <v>0.092391735773057</v>
      </c>
      <c r="D892" s="0" t="n">
        <f aca="false">IF((C892&gt;$M$2),1,0)</f>
        <v>0</v>
      </c>
      <c r="E892" s="0" t="n">
        <f aca="false">1-D892</f>
        <v>1</v>
      </c>
      <c r="F892" s="0" t="n">
        <f aca="true">RAND()</f>
        <v>0.44480248918003</v>
      </c>
      <c r="G892" s="0" t="n">
        <f aca="false">7.75+F892*10</f>
        <v>12.1980248918003</v>
      </c>
      <c r="H892" s="0" t="n">
        <f aca="false">LOGINV(F892,2.64,1.139)</f>
        <v>11.9640002920935</v>
      </c>
      <c r="I892" s="0" t="n">
        <v>19.5</v>
      </c>
      <c r="J892" s="4" t="n">
        <f aca="true">-LN(RAND())/B892</f>
        <v>4.41675764544315</v>
      </c>
      <c r="K892" s="4" t="n">
        <f aca="false">K891+J892</f>
        <v>10694.4819410139</v>
      </c>
      <c r="L892" s="4" t="n">
        <f aca="false">(1/$J$4)*(1+AB891)</f>
        <v>10</v>
      </c>
      <c r="M892" s="4" t="n">
        <f aca="false">L892+MAX(K892,Y$10:Y891)</f>
        <v>10710.0651833684</v>
      </c>
      <c r="N892" s="4" t="n">
        <f aca="false">K892</f>
        <v>10694.4819410139</v>
      </c>
      <c r="O892" s="4" t="n">
        <f aca="false">M892-K892</f>
        <v>15.5832423545562</v>
      </c>
      <c r="P892" s="4" t="n">
        <f aca="false">N892-K892</f>
        <v>0</v>
      </c>
      <c r="Q892" s="4" t="n">
        <f aca="false">A892-MATCH(K892,$M$9:M891,1)</f>
        <v>1</v>
      </c>
      <c r="R892" s="0" t="n">
        <f aca="false">-G892*(O892/3600)</f>
        <v>-0.0528013272599537</v>
      </c>
      <c r="S892" s="0" t="n">
        <f aca="false">-1*I892-(H892*(P892/3600))</f>
        <v>-19.5</v>
      </c>
      <c r="T892" s="0" t="n">
        <f aca="false">-H892*(O892/3600)</f>
        <v>-0.0517883100226872</v>
      </c>
      <c r="U892" s="0" t="n">
        <f aca="false">T892-S892</f>
        <v>19.4482116899773</v>
      </c>
      <c r="V892" s="0" t="n">
        <f aca="false">1/(1+EXP(U892))</f>
        <v>3.57889517837403E-009</v>
      </c>
      <c r="W892" s="0" t="n">
        <f aca="true">RAND()</f>
        <v>0.2886634158186</v>
      </c>
      <c r="X892" s="0" t="n">
        <f aca="false">IF(W892&lt;V892,1,0)</f>
        <v>0</v>
      </c>
      <c r="Y892" s="0" t="n">
        <f aca="false">(M892*(1-X892)+N892*X892)*D892+M892*E892</f>
        <v>10710.0651833684</v>
      </c>
      <c r="Z892" s="0" t="n">
        <f aca="false">((1-X892)*O892+X892*P892)*D892+E892*O892</f>
        <v>15.5832423545562</v>
      </c>
      <c r="AA892" s="0" t="n">
        <f aca="false">IF(D892*X892&gt;0,AA891,Q892)</f>
        <v>1</v>
      </c>
      <c r="AB892" s="0" t="n">
        <f aca="false">(X892*D892)</f>
        <v>0</v>
      </c>
      <c r="AC892" s="0" t="n">
        <f aca="false">SUM(AB$10:AB891)/K892</f>
        <v>9.35061656577257E-005</v>
      </c>
      <c r="AD892" s="0" t="n">
        <f aca="false">R892*E892+D892*(X892*S892+(1-X892)*T892)</f>
        <v>-0.0528013272599537</v>
      </c>
      <c r="AE892" s="0" t="n">
        <f aca="false">Z892</f>
        <v>15.5832423545562</v>
      </c>
      <c r="AF892" s="0" t="n">
        <f aca="false">E892*O892</f>
        <v>15.5832423545562</v>
      </c>
      <c r="AG892" s="0" t="n">
        <f aca="false">((1-X892)*O892+X892*P892)*D892</f>
        <v>0</v>
      </c>
      <c r="AH892" s="0" t="n">
        <f aca="false">D892*(LN(EXP(S892)+EXP(T892)))</f>
        <v>-0</v>
      </c>
      <c r="AJ892" s="0" t="n">
        <f aca="false">$J$5</f>
        <v>10</v>
      </c>
      <c r="AK892" s="4" t="n">
        <f aca="false">AJ892+MAX(K892,AK$10:AK891)</f>
        <v>10710.0651833684</v>
      </c>
      <c r="AL892" s="5" t="n">
        <f aca="false">AK892-K892</f>
        <v>15.5832423545562</v>
      </c>
      <c r="AM892" s="0" t="n">
        <f aca="false">-G892*AL892/3600</f>
        <v>-0.0528013272599537</v>
      </c>
      <c r="AN892" s="0" t="n">
        <f aca="false">-H892*AL892/3600</f>
        <v>-0.0517883100226872</v>
      </c>
      <c r="AO892" s="0" t="n">
        <f aca="false">AM892*E892+AN892*D892</f>
        <v>-0.0528013272599537</v>
      </c>
      <c r="AP892" s="0" t="n">
        <f aca="false">AL892*D892</f>
        <v>0</v>
      </c>
      <c r="AR892" s="0" t="n">
        <f aca="false">AN892*D892</f>
        <v>-0</v>
      </c>
      <c r="AS892" s="0" t="n">
        <f aca="false">AH892-AR892</f>
        <v>0</v>
      </c>
    </row>
    <row r="893" customFormat="false" ht="12" hidden="false" customHeight="false" outlineLevel="0" collapsed="false">
      <c r="A893" s="3" t="n">
        <f aca="false">A892+1</f>
        <v>884</v>
      </c>
      <c r="B893" s="3" t="n">
        <f aca="false">IF(A893&lt;$N$4/3,0.1,(IF(A893&gt;2*$N$4/3,0.05,0.12)))</f>
        <v>0.05</v>
      </c>
      <c r="C893" s="4" t="n">
        <f aca="true">RAND()</f>
        <v>0.894586690424398</v>
      </c>
      <c r="D893" s="0" t="n">
        <f aca="false">IF((C893&gt;$M$2),1,0)</f>
        <v>0</v>
      </c>
      <c r="E893" s="0" t="n">
        <f aca="false">1-D893</f>
        <v>1</v>
      </c>
      <c r="F893" s="0" t="n">
        <f aca="true">RAND()</f>
        <v>0.240686361345161</v>
      </c>
      <c r="G893" s="0" t="n">
        <f aca="false">7.75+F893*10</f>
        <v>10.1568636134516</v>
      </c>
      <c r="H893" s="0" t="n">
        <f aca="false">LOGINV(F893,2.64,1.139)</f>
        <v>6.28417246593982</v>
      </c>
      <c r="I893" s="0" t="n">
        <v>19.5</v>
      </c>
      <c r="J893" s="4" t="n">
        <f aca="true">-LN(RAND())/B893</f>
        <v>28.0647217628988</v>
      </c>
      <c r="K893" s="4" t="n">
        <f aca="false">K892+J893</f>
        <v>10722.5466627768</v>
      </c>
      <c r="L893" s="4" t="n">
        <f aca="false">(1/$J$4)*(1+AB892)</f>
        <v>10</v>
      </c>
      <c r="M893" s="4" t="n">
        <f aca="false">L893+MAX(K893,Y$10:Y892)</f>
        <v>10732.5466627768</v>
      </c>
      <c r="N893" s="4" t="n">
        <f aca="false">K893</f>
        <v>10722.5466627768</v>
      </c>
      <c r="O893" s="4" t="n">
        <f aca="false">M893-K893</f>
        <v>10</v>
      </c>
      <c r="P893" s="4" t="n">
        <f aca="false">N893-K893</f>
        <v>0</v>
      </c>
      <c r="Q893" s="4" t="n">
        <f aca="false">A893-MATCH(K893,$M$9:M892,1)</f>
        <v>0</v>
      </c>
      <c r="R893" s="0" t="n">
        <f aca="false">-G893*(O893/3600)</f>
        <v>-0.0282135100373656</v>
      </c>
      <c r="S893" s="0" t="n">
        <f aca="false">-1*I893-(H893*(P893/3600))</f>
        <v>-19.5</v>
      </c>
      <c r="T893" s="0" t="n">
        <f aca="false">-H893*(O893/3600)</f>
        <v>-0.0174560346276106</v>
      </c>
      <c r="U893" s="0" t="n">
        <f aca="false">T893-S893</f>
        <v>19.4825439653724</v>
      </c>
      <c r="V893" s="0" t="n">
        <f aca="false">1/(1+EXP(U893))</f>
        <v>3.45810886250948E-009</v>
      </c>
      <c r="W893" s="0" t="n">
        <f aca="true">RAND()</f>
        <v>0.787855003245896</v>
      </c>
      <c r="X893" s="0" t="n">
        <f aca="false">IF(W893&lt;V893,1,0)</f>
        <v>0</v>
      </c>
      <c r="Y893" s="0" t="n">
        <f aca="false">(M893*(1-X893)+N893*X893)*D893+M893*E893</f>
        <v>10732.5466627768</v>
      </c>
      <c r="Z893" s="0" t="n">
        <f aca="false">((1-X893)*O893+X893*P893)*D893+E893*O893</f>
        <v>10</v>
      </c>
      <c r="AA893" s="0" t="n">
        <f aca="false">IF(D893*X893&gt;0,AA892,Q893)</f>
        <v>0</v>
      </c>
      <c r="AB893" s="0" t="n">
        <f aca="false">(X893*D893)</f>
        <v>0</v>
      </c>
      <c r="AC893" s="0" t="n">
        <f aca="false">SUM(AB$10:AB892)/K893</f>
        <v>9.32614267347038E-005</v>
      </c>
      <c r="AD893" s="0" t="n">
        <f aca="false">R893*E893+D893*(X893*S893+(1-X893)*T893)</f>
        <v>-0.0282135100373656</v>
      </c>
      <c r="AE893" s="0" t="n">
        <f aca="false">Z893</f>
        <v>10</v>
      </c>
      <c r="AF893" s="0" t="n">
        <f aca="false">E893*O893</f>
        <v>10</v>
      </c>
      <c r="AG893" s="0" t="n">
        <f aca="false">((1-X893)*O893+X893*P893)*D893</f>
        <v>0</v>
      </c>
      <c r="AH893" s="0" t="n">
        <f aca="false">D893*(LN(EXP(S893)+EXP(T893)))</f>
        <v>-0</v>
      </c>
      <c r="AJ893" s="0" t="n">
        <f aca="false">$J$5</f>
        <v>10</v>
      </c>
      <c r="AK893" s="4" t="n">
        <f aca="false">AJ893+MAX(K893,AK$10:AK892)</f>
        <v>10732.5466627768</v>
      </c>
      <c r="AL893" s="5" t="n">
        <f aca="false">AK893-K893</f>
        <v>10</v>
      </c>
      <c r="AM893" s="0" t="n">
        <f aca="false">-G893*AL893/3600</f>
        <v>-0.0282135100373656</v>
      </c>
      <c r="AN893" s="0" t="n">
        <f aca="false">-H893*AL893/3600</f>
        <v>-0.0174560346276106</v>
      </c>
      <c r="AO893" s="0" t="n">
        <f aca="false">AM893*E893+AN893*D893</f>
        <v>-0.0282135100373656</v>
      </c>
      <c r="AP893" s="0" t="n">
        <f aca="false">AL893*D893</f>
        <v>0</v>
      </c>
      <c r="AR893" s="0" t="n">
        <f aca="false">AN893*D893</f>
        <v>-0</v>
      </c>
      <c r="AS893" s="0" t="n">
        <f aca="false">AH893-AR893</f>
        <v>0</v>
      </c>
    </row>
    <row r="894" customFormat="false" ht="12" hidden="false" customHeight="false" outlineLevel="0" collapsed="false">
      <c r="A894" s="3" t="n">
        <f aca="false">A893+1</f>
        <v>885</v>
      </c>
      <c r="B894" s="3" t="n">
        <f aca="false">IF(A894&lt;$N$4/3,0.1,(IF(A894&gt;2*$N$4/3,0.05,0.12)))</f>
        <v>0.05</v>
      </c>
      <c r="C894" s="4" t="n">
        <f aca="true">RAND()</f>
        <v>0.273093015935569</v>
      </c>
      <c r="D894" s="0" t="n">
        <f aca="false">IF((C894&gt;$M$2),1,0)</f>
        <v>0</v>
      </c>
      <c r="E894" s="0" t="n">
        <f aca="false">1-D894</f>
        <v>1</v>
      </c>
      <c r="F894" s="0" t="n">
        <f aca="true">RAND()</f>
        <v>0.241869933433697</v>
      </c>
      <c r="G894" s="0" t="n">
        <f aca="false">7.75+F894*10</f>
        <v>10.168699334337</v>
      </c>
      <c r="H894" s="0" t="n">
        <f aca="false">LOGINV(F894,2.64,1.139)</f>
        <v>6.31140370266306</v>
      </c>
      <c r="I894" s="0" t="n">
        <v>19.5</v>
      </c>
      <c r="J894" s="4" t="n">
        <f aca="true">-LN(RAND())/B894</f>
        <v>31.0211851882034</v>
      </c>
      <c r="K894" s="4" t="n">
        <f aca="false">K893+J894</f>
        <v>10753.567847965</v>
      </c>
      <c r="L894" s="4" t="n">
        <f aca="false">(1/$J$4)*(1+AB893)</f>
        <v>10</v>
      </c>
      <c r="M894" s="4" t="n">
        <f aca="false">L894+MAX(K894,Y$10:Y893)</f>
        <v>10763.567847965</v>
      </c>
      <c r="N894" s="4" t="n">
        <f aca="false">K894</f>
        <v>10753.567847965</v>
      </c>
      <c r="O894" s="4" t="n">
        <f aca="false">M894-K894</f>
        <v>10</v>
      </c>
      <c r="P894" s="4" t="n">
        <f aca="false">N894-K894</f>
        <v>0</v>
      </c>
      <c r="Q894" s="4" t="n">
        <f aca="false">A894-MATCH(K894,$M$9:M893,1)</f>
        <v>0</v>
      </c>
      <c r="R894" s="0" t="n">
        <f aca="false">-G894*(O894/3600)</f>
        <v>-0.0282463870398249</v>
      </c>
      <c r="S894" s="0" t="n">
        <f aca="false">-1*I894-(H894*(P894/3600))</f>
        <v>-19.5</v>
      </c>
      <c r="T894" s="0" t="n">
        <f aca="false">-H894*(O894/3600)</f>
        <v>-0.0175316769518418</v>
      </c>
      <c r="U894" s="0" t="n">
        <f aca="false">T894-S894</f>
        <v>19.4824683230482</v>
      </c>
      <c r="V894" s="0" t="n">
        <f aca="false">1/(1+EXP(U894))</f>
        <v>3.45837045179386E-009</v>
      </c>
      <c r="W894" s="0" t="n">
        <f aca="true">RAND()</f>
        <v>0.769195117299679</v>
      </c>
      <c r="X894" s="0" t="n">
        <f aca="false">IF(W894&lt;V894,1,0)</f>
        <v>0</v>
      </c>
      <c r="Y894" s="0" t="n">
        <f aca="false">(M894*(1-X894)+N894*X894)*D894+M894*E894</f>
        <v>10763.567847965</v>
      </c>
      <c r="Z894" s="0" t="n">
        <f aca="false">((1-X894)*O894+X894*P894)*D894+E894*O894</f>
        <v>10</v>
      </c>
      <c r="AA894" s="0" t="n">
        <f aca="false">IF(D894*X894&gt;0,AA893,Q894)</f>
        <v>0</v>
      </c>
      <c r="AB894" s="0" t="n">
        <f aca="false">(X894*D894)</f>
        <v>0</v>
      </c>
      <c r="AC894" s="0" t="n">
        <f aca="false">SUM(AB$10:AB893)/K894</f>
        <v>9.29923923053353E-005</v>
      </c>
      <c r="AD894" s="0" t="n">
        <f aca="false">R894*E894+D894*(X894*S894+(1-X894)*T894)</f>
        <v>-0.0282463870398249</v>
      </c>
      <c r="AE894" s="0" t="n">
        <f aca="false">Z894</f>
        <v>10</v>
      </c>
      <c r="AF894" s="0" t="n">
        <f aca="false">E894*O894</f>
        <v>10</v>
      </c>
      <c r="AG894" s="0" t="n">
        <f aca="false">((1-X894)*O894+X894*P894)*D894</f>
        <v>0</v>
      </c>
      <c r="AH894" s="0" t="n">
        <f aca="false">D894*(LN(EXP(S894)+EXP(T894)))</f>
        <v>-0</v>
      </c>
      <c r="AJ894" s="0" t="n">
        <f aca="false">$J$5</f>
        <v>10</v>
      </c>
      <c r="AK894" s="4" t="n">
        <f aca="false">AJ894+MAX(K894,AK$10:AK893)</f>
        <v>10763.567847965</v>
      </c>
      <c r="AL894" s="5" t="n">
        <f aca="false">AK894-K894</f>
        <v>10</v>
      </c>
      <c r="AM894" s="0" t="n">
        <f aca="false">-G894*AL894/3600</f>
        <v>-0.0282463870398249</v>
      </c>
      <c r="AN894" s="0" t="n">
        <f aca="false">-H894*AL894/3600</f>
        <v>-0.0175316769518418</v>
      </c>
      <c r="AO894" s="0" t="n">
        <f aca="false">AM894*E894+AN894*D894</f>
        <v>-0.0282463870398249</v>
      </c>
      <c r="AP894" s="0" t="n">
        <f aca="false">AL894*D894</f>
        <v>0</v>
      </c>
      <c r="AR894" s="0" t="n">
        <f aca="false">AN894*D894</f>
        <v>-0</v>
      </c>
      <c r="AS894" s="0" t="n">
        <f aca="false">AH894-AR894</f>
        <v>0</v>
      </c>
    </row>
    <row r="895" customFormat="false" ht="12" hidden="false" customHeight="false" outlineLevel="0" collapsed="false">
      <c r="A895" s="3" t="n">
        <f aca="false">A894+1</f>
        <v>886</v>
      </c>
      <c r="B895" s="3" t="n">
        <f aca="false">IF(A895&lt;$N$4/3,0.1,(IF(A895&gt;2*$N$4/3,0.05,0.12)))</f>
        <v>0.05</v>
      </c>
      <c r="C895" s="4" t="n">
        <f aca="true">RAND()</f>
        <v>0.875073014463342</v>
      </c>
      <c r="D895" s="0" t="n">
        <f aca="false">IF((C895&gt;$M$2),1,0)</f>
        <v>0</v>
      </c>
      <c r="E895" s="0" t="n">
        <f aca="false">1-D895</f>
        <v>1</v>
      </c>
      <c r="F895" s="0" t="n">
        <f aca="true">RAND()</f>
        <v>0.792497995240915</v>
      </c>
      <c r="G895" s="0" t="n">
        <f aca="false">7.75+F895*10</f>
        <v>15.6749799524091</v>
      </c>
      <c r="H895" s="0" t="n">
        <f aca="false">LOGINV(F895,2.64,1.139)</f>
        <v>35.460553648384</v>
      </c>
      <c r="I895" s="0" t="n">
        <v>19.5</v>
      </c>
      <c r="J895" s="4" t="n">
        <f aca="true">-LN(RAND())/B895</f>
        <v>13.9049091687172</v>
      </c>
      <c r="K895" s="4" t="n">
        <f aca="false">K894+J895</f>
        <v>10767.4727571337</v>
      </c>
      <c r="L895" s="4" t="n">
        <f aca="false">(1/$J$4)*(1+AB894)</f>
        <v>10</v>
      </c>
      <c r="M895" s="4" t="n">
        <f aca="false">L895+MAX(K895,Y$10:Y894)</f>
        <v>10777.4727571337</v>
      </c>
      <c r="N895" s="4" t="n">
        <f aca="false">K895</f>
        <v>10767.4727571337</v>
      </c>
      <c r="O895" s="4" t="n">
        <f aca="false">M895-K895</f>
        <v>10</v>
      </c>
      <c r="P895" s="4" t="n">
        <f aca="false">N895-K895</f>
        <v>0</v>
      </c>
      <c r="Q895" s="4" t="n">
        <f aca="false">A895-MATCH(K895,$M$9:M894,1)</f>
        <v>0</v>
      </c>
      <c r="R895" s="0" t="n">
        <f aca="false">-G895*(O895/3600)</f>
        <v>-0.0435416109789143</v>
      </c>
      <c r="S895" s="0" t="n">
        <f aca="false">-1*I895-(H895*(P895/3600))</f>
        <v>-19.5</v>
      </c>
      <c r="T895" s="0" t="n">
        <f aca="false">-H895*(O895/3600)</f>
        <v>-0.0985015379121778</v>
      </c>
      <c r="U895" s="0" t="n">
        <f aca="false">T895-S895</f>
        <v>19.4014984620878</v>
      </c>
      <c r="V895" s="0" t="n">
        <f aca="false">1/(1+EXP(U895))</f>
        <v>3.75004324197266E-009</v>
      </c>
      <c r="W895" s="0" t="n">
        <f aca="true">RAND()</f>
        <v>0.0625569986764287</v>
      </c>
      <c r="X895" s="0" t="n">
        <f aca="false">IF(W895&lt;V895,1,0)</f>
        <v>0</v>
      </c>
      <c r="Y895" s="0" t="n">
        <f aca="false">(M895*(1-X895)+N895*X895)*D895+M895*E895</f>
        <v>10777.4727571337</v>
      </c>
      <c r="Z895" s="0" t="n">
        <f aca="false">((1-X895)*O895+X895*P895)*D895+E895*O895</f>
        <v>10</v>
      </c>
      <c r="AA895" s="0" t="n">
        <f aca="false">IF(D895*X895&gt;0,AA894,Q895)</f>
        <v>0</v>
      </c>
      <c r="AB895" s="0" t="n">
        <f aca="false">(X895*D895)</f>
        <v>0</v>
      </c>
      <c r="AC895" s="0" t="n">
        <f aca="false">SUM(AB$10:AB894)/K895</f>
        <v>9.28723037016719E-005</v>
      </c>
      <c r="AD895" s="0" t="n">
        <f aca="false">R895*E895+D895*(X895*S895+(1-X895)*T895)</f>
        <v>-0.0435416109789143</v>
      </c>
      <c r="AE895" s="0" t="n">
        <f aca="false">Z895</f>
        <v>10</v>
      </c>
      <c r="AF895" s="0" t="n">
        <f aca="false">E895*O895</f>
        <v>10</v>
      </c>
      <c r="AG895" s="0" t="n">
        <f aca="false">((1-X895)*O895+X895*P895)*D895</f>
        <v>0</v>
      </c>
      <c r="AH895" s="0" t="n">
        <f aca="false">D895*(LN(EXP(S895)+EXP(T895)))</f>
        <v>-0</v>
      </c>
      <c r="AJ895" s="0" t="n">
        <f aca="false">$J$5</f>
        <v>10</v>
      </c>
      <c r="AK895" s="4" t="n">
        <f aca="false">AJ895+MAX(K895,AK$10:AK894)</f>
        <v>10777.4727571337</v>
      </c>
      <c r="AL895" s="5" t="n">
        <f aca="false">AK895-K895</f>
        <v>10</v>
      </c>
      <c r="AM895" s="0" t="n">
        <f aca="false">-G895*AL895/3600</f>
        <v>-0.0435416109789143</v>
      </c>
      <c r="AN895" s="0" t="n">
        <f aca="false">-H895*AL895/3600</f>
        <v>-0.0985015379121778</v>
      </c>
      <c r="AO895" s="0" t="n">
        <f aca="false">AM895*E895+AN895*D895</f>
        <v>-0.0435416109789143</v>
      </c>
      <c r="AP895" s="0" t="n">
        <f aca="false">AL895*D895</f>
        <v>0</v>
      </c>
      <c r="AR895" s="0" t="n">
        <f aca="false">AN895*D895</f>
        <v>-0</v>
      </c>
      <c r="AS895" s="0" t="n">
        <f aca="false">AH895-AR895</f>
        <v>0</v>
      </c>
    </row>
    <row r="896" customFormat="false" ht="12" hidden="false" customHeight="false" outlineLevel="0" collapsed="false">
      <c r="A896" s="3" t="n">
        <f aca="false">A895+1</f>
        <v>887</v>
      </c>
      <c r="B896" s="3" t="n">
        <f aca="false">IF(A896&lt;$N$4/3,0.1,(IF(A896&gt;2*$N$4/3,0.05,0.12)))</f>
        <v>0.05</v>
      </c>
      <c r="C896" s="4" t="n">
        <f aca="true">RAND()</f>
        <v>0.622116234256469</v>
      </c>
      <c r="D896" s="0" t="n">
        <f aca="false">IF((C896&gt;$M$2),1,0)</f>
        <v>0</v>
      </c>
      <c r="E896" s="0" t="n">
        <f aca="false">1-D896</f>
        <v>1</v>
      </c>
      <c r="F896" s="0" t="n">
        <f aca="true">RAND()</f>
        <v>0.576596580908034</v>
      </c>
      <c r="G896" s="0" t="n">
        <f aca="false">7.75+F896*10</f>
        <v>13.5159658090803</v>
      </c>
      <c r="H896" s="0" t="n">
        <f aca="false">LOGINV(F896,2.64,1.139)</f>
        <v>17.462369579123</v>
      </c>
      <c r="I896" s="0" t="n">
        <v>19.5</v>
      </c>
      <c r="J896" s="4" t="n">
        <f aca="true">-LN(RAND())/B896</f>
        <v>3.93320513324795</v>
      </c>
      <c r="K896" s="4" t="n">
        <f aca="false">K895+J896</f>
        <v>10771.405962267</v>
      </c>
      <c r="L896" s="4" t="n">
        <f aca="false">(1/$J$4)*(1+AB895)</f>
        <v>10</v>
      </c>
      <c r="M896" s="4" t="n">
        <f aca="false">L896+MAX(K896,Y$10:Y895)</f>
        <v>10787.4727571337</v>
      </c>
      <c r="N896" s="4" t="n">
        <f aca="false">K896</f>
        <v>10771.405962267</v>
      </c>
      <c r="O896" s="4" t="n">
        <f aca="false">M896-K896</f>
        <v>16.0667948667524</v>
      </c>
      <c r="P896" s="4" t="n">
        <f aca="false">N896-K896</f>
        <v>0</v>
      </c>
      <c r="Q896" s="4" t="n">
        <f aca="false">A896-MATCH(K896,$M$9:M895,1)</f>
        <v>1</v>
      </c>
      <c r="R896" s="0" t="n">
        <f aca="false">-G896*(O896/3600)</f>
        <v>-0.0603217361334813</v>
      </c>
      <c r="S896" s="0" t="n">
        <f aca="false">-1*I896-(H896*(P896/3600))</f>
        <v>-19.5</v>
      </c>
      <c r="T896" s="0" t="n">
        <f aca="false">-H896*(O896/3600)</f>
        <v>-0.0779345305319961</v>
      </c>
      <c r="U896" s="0" t="n">
        <f aca="false">T896-S896</f>
        <v>19.422065469468</v>
      </c>
      <c r="V896" s="0" t="n">
        <f aca="false">1/(1+EXP(U896))</f>
        <v>3.67370380308154E-009</v>
      </c>
      <c r="W896" s="0" t="n">
        <f aca="true">RAND()</f>
        <v>0.378186126948379</v>
      </c>
      <c r="X896" s="0" t="n">
        <f aca="false">IF(W896&lt;V896,1,0)</f>
        <v>0</v>
      </c>
      <c r="Y896" s="0" t="n">
        <f aca="false">(M896*(1-X896)+N896*X896)*D896+M896*E896</f>
        <v>10787.4727571337</v>
      </c>
      <c r="Z896" s="0" t="n">
        <f aca="false">((1-X896)*O896+X896*P896)*D896+E896*O896</f>
        <v>16.0667948667524</v>
      </c>
      <c r="AA896" s="0" t="n">
        <f aca="false">IF(D896*X896&gt;0,AA895,Q896)</f>
        <v>1</v>
      </c>
      <c r="AB896" s="0" t="n">
        <f aca="false">(X896*D896)</f>
        <v>0</v>
      </c>
      <c r="AC896" s="0" t="n">
        <f aca="false">SUM(AB$10:AB895)/K896</f>
        <v>9.28383911536781E-005</v>
      </c>
      <c r="AD896" s="0" t="n">
        <f aca="false">R896*E896+D896*(X896*S896+(1-X896)*T896)</f>
        <v>-0.0603217361334813</v>
      </c>
      <c r="AE896" s="0" t="n">
        <f aca="false">Z896</f>
        <v>16.0667948667524</v>
      </c>
      <c r="AF896" s="0" t="n">
        <f aca="false">E896*O896</f>
        <v>16.0667948667524</v>
      </c>
      <c r="AG896" s="0" t="n">
        <f aca="false">((1-X896)*O896+X896*P896)*D896</f>
        <v>0</v>
      </c>
      <c r="AH896" s="0" t="n">
        <f aca="false">D896*(LN(EXP(S896)+EXP(T896)))</f>
        <v>-0</v>
      </c>
      <c r="AJ896" s="0" t="n">
        <f aca="false">$J$5</f>
        <v>10</v>
      </c>
      <c r="AK896" s="4" t="n">
        <f aca="false">AJ896+MAX(K896,AK$10:AK895)</f>
        <v>10787.4727571337</v>
      </c>
      <c r="AL896" s="5" t="n">
        <f aca="false">AK896-K896</f>
        <v>16.0667948667524</v>
      </c>
      <c r="AM896" s="0" t="n">
        <f aca="false">-G896*AL896/3600</f>
        <v>-0.0603217361334813</v>
      </c>
      <c r="AN896" s="0" t="n">
        <f aca="false">-H896*AL896/3600</f>
        <v>-0.0779345305319961</v>
      </c>
      <c r="AO896" s="0" t="n">
        <f aca="false">AM896*E896+AN896*D896</f>
        <v>-0.0603217361334813</v>
      </c>
      <c r="AP896" s="0" t="n">
        <f aca="false">AL896*D896</f>
        <v>0</v>
      </c>
      <c r="AR896" s="0" t="n">
        <f aca="false">AN896*D896</f>
        <v>-0</v>
      </c>
      <c r="AS896" s="0" t="n">
        <f aca="false">AH896-AR896</f>
        <v>0</v>
      </c>
    </row>
    <row r="897" customFormat="false" ht="12" hidden="false" customHeight="false" outlineLevel="0" collapsed="false">
      <c r="A897" s="3" t="n">
        <f aca="false">A896+1</f>
        <v>888</v>
      </c>
      <c r="B897" s="3" t="n">
        <f aca="false">IF(A897&lt;$N$4/3,0.1,(IF(A897&gt;2*$N$4/3,0.05,0.12)))</f>
        <v>0.05</v>
      </c>
      <c r="C897" s="4" t="n">
        <f aca="true">RAND()</f>
        <v>0.748143827427157</v>
      </c>
      <c r="D897" s="0" t="n">
        <f aca="false">IF((C897&gt;$M$2),1,0)</f>
        <v>0</v>
      </c>
      <c r="E897" s="0" t="n">
        <f aca="false">1-D897</f>
        <v>1</v>
      </c>
      <c r="F897" s="0" t="n">
        <f aca="true">RAND()</f>
        <v>0.38730751929646</v>
      </c>
      <c r="G897" s="0" t="n">
        <f aca="false">7.75+F897*10</f>
        <v>11.6230751929646</v>
      </c>
      <c r="H897" s="0" t="n">
        <f aca="false">LOGINV(F897,2.64,1.139)</f>
        <v>10.1133339412172</v>
      </c>
      <c r="I897" s="0" t="n">
        <v>19.5</v>
      </c>
      <c r="J897" s="4" t="n">
        <f aca="true">-LN(RAND())/B897</f>
        <v>49.2891965482418</v>
      </c>
      <c r="K897" s="4" t="n">
        <f aca="false">K896+J897</f>
        <v>10820.6951588152</v>
      </c>
      <c r="L897" s="4" t="n">
        <f aca="false">(1/$J$4)*(1+AB896)</f>
        <v>10</v>
      </c>
      <c r="M897" s="4" t="n">
        <f aca="false">L897+MAX(K897,Y$10:Y896)</f>
        <v>10830.6951588152</v>
      </c>
      <c r="N897" s="4" t="n">
        <f aca="false">K897</f>
        <v>10820.6951588152</v>
      </c>
      <c r="O897" s="4" t="n">
        <f aca="false">M897-K897</f>
        <v>10</v>
      </c>
      <c r="P897" s="4" t="n">
        <f aca="false">N897-K897</f>
        <v>0</v>
      </c>
      <c r="Q897" s="4" t="n">
        <f aca="false">A897-MATCH(K897,$M$9:M896,1)</f>
        <v>0</v>
      </c>
      <c r="R897" s="0" t="n">
        <f aca="false">-G897*(O897/3600)</f>
        <v>-0.0322863199804572</v>
      </c>
      <c r="S897" s="0" t="n">
        <f aca="false">-1*I897-(H897*(P897/3600))</f>
        <v>-19.5</v>
      </c>
      <c r="T897" s="0" t="n">
        <f aca="false">-H897*(O897/3600)</f>
        <v>-0.0280925942811589</v>
      </c>
      <c r="U897" s="0" t="n">
        <f aca="false">T897-S897</f>
        <v>19.4719074057188</v>
      </c>
      <c r="V897" s="0" t="n">
        <f aca="false">1/(1+EXP(U897))</f>
        <v>3.495087558E-009</v>
      </c>
      <c r="W897" s="0" t="n">
        <f aca="true">RAND()</f>
        <v>0.336547154193616</v>
      </c>
      <c r="X897" s="0" t="n">
        <f aca="false">IF(W897&lt;V897,1,0)</f>
        <v>0</v>
      </c>
      <c r="Y897" s="0" t="n">
        <f aca="false">(M897*(1-X897)+N897*X897)*D897+M897*E897</f>
        <v>10830.6951588152</v>
      </c>
      <c r="Z897" s="0" t="n">
        <f aca="false">((1-X897)*O897+X897*P897)*D897+E897*O897</f>
        <v>10</v>
      </c>
      <c r="AA897" s="0" t="n">
        <f aca="false">IF(D897*X897&gt;0,AA896,Q897)</f>
        <v>0</v>
      </c>
      <c r="AB897" s="0" t="n">
        <f aca="false">(X897*D897)</f>
        <v>0</v>
      </c>
      <c r="AC897" s="0" t="n">
        <f aca="false">SUM(AB$10:AB896)/K897</f>
        <v>9.24155043019893E-005</v>
      </c>
      <c r="AD897" s="0" t="n">
        <f aca="false">R897*E897+D897*(X897*S897+(1-X897)*T897)</f>
        <v>-0.0322863199804572</v>
      </c>
      <c r="AE897" s="0" t="n">
        <f aca="false">Z897</f>
        <v>10</v>
      </c>
      <c r="AF897" s="0" t="n">
        <f aca="false">E897*O897</f>
        <v>10</v>
      </c>
      <c r="AG897" s="0" t="n">
        <f aca="false">((1-X897)*O897+X897*P897)*D897</f>
        <v>0</v>
      </c>
      <c r="AH897" s="0" t="n">
        <f aca="false">D897*(LN(EXP(S897)+EXP(T897)))</f>
        <v>-0</v>
      </c>
      <c r="AJ897" s="0" t="n">
        <f aca="false">$J$5</f>
        <v>10</v>
      </c>
      <c r="AK897" s="4" t="n">
        <f aca="false">AJ897+MAX(K897,AK$10:AK896)</f>
        <v>10830.6951588152</v>
      </c>
      <c r="AL897" s="5" t="n">
        <f aca="false">AK897-K897</f>
        <v>10</v>
      </c>
      <c r="AM897" s="0" t="n">
        <f aca="false">-G897*AL897/3600</f>
        <v>-0.0322863199804572</v>
      </c>
      <c r="AN897" s="0" t="n">
        <f aca="false">-H897*AL897/3600</f>
        <v>-0.0280925942811589</v>
      </c>
      <c r="AO897" s="0" t="n">
        <f aca="false">AM897*E897+AN897*D897</f>
        <v>-0.0322863199804572</v>
      </c>
      <c r="AP897" s="0" t="n">
        <f aca="false">AL897*D897</f>
        <v>0</v>
      </c>
      <c r="AR897" s="0" t="n">
        <f aca="false">AN897*D897</f>
        <v>-0</v>
      </c>
      <c r="AS897" s="0" t="n">
        <f aca="false">AH897-AR897</f>
        <v>0</v>
      </c>
    </row>
    <row r="898" customFormat="false" ht="12" hidden="false" customHeight="false" outlineLevel="0" collapsed="false">
      <c r="A898" s="3" t="n">
        <f aca="false">A897+1</f>
        <v>889</v>
      </c>
      <c r="B898" s="3" t="n">
        <f aca="false">IF(A898&lt;$N$4/3,0.1,(IF(A898&gt;2*$N$4/3,0.05,0.12)))</f>
        <v>0.05</v>
      </c>
      <c r="C898" s="4" t="n">
        <f aca="true">RAND()</f>
        <v>0.306873847909128</v>
      </c>
      <c r="D898" s="0" t="n">
        <f aca="false">IF((C898&gt;$M$2),1,0)</f>
        <v>0</v>
      </c>
      <c r="E898" s="0" t="n">
        <f aca="false">1-D898</f>
        <v>1</v>
      </c>
      <c r="F898" s="0" t="n">
        <f aca="true">RAND()</f>
        <v>0.153130064736463</v>
      </c>
      <c r="G898" s="0" t="n">
        <f aca="false">7.75+F898*10</f>
        <v>9.28130064736463</v>
      </c>
      <c r="H898" s="0" t="n">
        <f aca="false">LOGINV(F898,2.64,1.139)</f>
        <v>4.36967242346881</v>
      </c>
      <c r="I898" s="0" t="n">
        <v>19.5</v>
      </c>
      <c r="J898" s="4" t="n">
        <f aca="true">-LN(RAND())/B898</f>
        <v>0.484520893161961</v>
      </c>
      <c r="K898" s="4" t="n">
        <f aca="false">K897+J898</f>
        <v>10821.1796797084</v>
      </c>
      <c r="L898" s="4" t="n">
        <f aca="false">(1/$J$4)*(1+AB897)</f>
        <v>10</v>
      </c>
      <c r="M898" s="4" t="n">
        <f aca="false">L898+MAX(K898,Y$10:Y897)</f>
        <v>10840.6951588152</v>
      </c>
      <c r="N898" s="4" t="n">
        <f aca="false">K898</f>
        <v>10821.1796797084</v>
      </c>
      <c r="O898" s="4" t="n">
        <f aca="false">M898-K898</f>
        <v>19.515479106838</v>
      </c>
      <c r="P898" s="4" t="n">
        <f aca="false">N898-K898</f>
        <v>0</v>
      </c>
      <c r="Q898" s="4" t="n">
        <f aca="false">A898-MATCH(K898,$M$9:M897,1)</f>
        <v>1</v>
      </c>
      <c r="R898" s="0" t="n">
        <f aca="false">-G898*(O898/3600)</f>
        <v>-0.0503136191299797</v>
      </c>
      <c r="S898" s="0" t="n">
        <f aca="false">-1*I898-(H898*(P898/3600))</f>
        <v>-19.5</v>
      </c>
      <c r="T898" s="0" t="n">
        <f aca="false">-H898*(O898/3600)</f>
        <v>-0.0236878474677589</v>
      </c>
      <c r="U898" s="0" t="n">
        <f aca="false">T898-S898</f>
        <v>19.4763121525322</v>
      </c>
      <c r="V898" s="0" t="n">
        <f aca="false">1/(1+EXP(U898))</f>
        <v>3.47972643802814E-009</v>
      </c>
      <c r="W898" s="0" t="n">
        <f aca="true">RAND()</f>
        <v>0.343993747249603</v>
      </c>
      <c r="X898" s="0" t="n">
        <f aca="false">IF(W898&lt;V898,1,0)</f>
        <v>0</v>
      </c>
      <c r="Y898" s="0" t="n">
        <f aca="false">(M898*(1-X898)+N898*X898)*D898+M898*E898</f>
        <v>10840.6951588152</v>
      </c>
      <c r="Z898" s="0" t="n">
        <f aca="false">((1-X898)*O898+X898*P898)*D898+E898*O898</f>
        <v>19.515479106838</v>
      </c>
      <c r="AA898" s="0" t="n">
        <f aca="false">IF(D898*X898&gt;0,AA897,Q898)</f>
        <v>1</v>
      </c>
      <c r="AB898" s="0" t="n">
        <f aca="false">(X898*D898)</f>
        <v>0</v>
      </c>
      <c r="AC898" s="0" t="n">
        <f aca="false">SUM(AB$10:AB897)/K898</f>
        <v>9.24113663758101E-005</v>
      </c>
      <c r="AD898" s="0" t="n">
        <f aca="false">R898*E898+D898*(X898*S898+(1-X898)*T898)</f>
        <v>-0.0503136191299797</v>
      </c>
      <c r="AE898" s="0" t="n">
        <f aca="false">Z898</f>
        <v>19.515479106838</v>
      </c>
      <c r="AF898" s="0" t="n">
        <f aca="false">E898*O898</f>
        <v>19.515479106838</v>
      </c>
      <c r="AG898" s="0" t="n">
        <f aca="false">((1-X898)*O898+X898*P898)*D898</f>
        <v>0</v>
      </c>
      <c r="AH898" s="0" t="n">
        <f aca="false">D898*(LN(EXP(S898)+EXP(T898)))</f>
        <v>-0</v>
      </c>
      <c r="AJ898" s="0" t="n">
        <f aca="false">$J$5</f>
        <v>10</v>
      </c>
      <c r="AK898" s="4" t="n">
        <f aca="false">AJ898+MAX(K898,AK$10:AK897)</f>
        <v>10840.6951588152</v>
      </c>
      <c r="AL898" s="5" t="n">
        <f aca="false">AK898-K898</f>
        <v>19.515479106838</v>
      </c>
      <c r="AM898" s="0" t="n">
        <f aca="false">-G898*AL898/3600</f>
        <v>-0.0503136191299797</v>
      </c>
      <c r="AN898" s="0" t="n">
        <f aca="false">-H898*AL898/3600</f>
        <v>-0.0236878474677589</v>
      </c>
      <c r="AO898" s="0" t="n">
        <f aca="false">AM898*E898+AN898*D898</f>
        <v>-0.0503136191299797</v>
      </c>
      <c r="AP898" s="0" t="n">
        <f aca="false">AL898*D898</f>
        <v>0</v>
      </c>
      <c r="AR898" s="0" t="n">
        <f aca="false">AN898*D898</f>
        <v>-0</v>
      </c>
      <c r="AS898" s="0" t="n">
        <f aca="false">AH898-AR898</f>
        <v>0</v>
      </c>
    </row>
    <row r="899" customFormat="false" ht="12" hidden="false" customHeight="false" outlineLevel="0" collapsed="false">
      <c r="A899" s="3" t="n">
        <f aca="false">A898+1</f>
        <v>890</v>
      </c>
      <c r="B899" s="3" t="n">
        <f aca="false">IF(A899&lt;$N$4/3,0.1,(IF(A899&gt;2*$N$4/3,0.05,0.12)))</f>
        <v>0.05</v>
      </c>
      <c r="C899" s="4" t="n">
        <f aca="true">RAND()</f>
        <v>0.954818862180018</v>
      </c>
      <c r="D899" s="0" t="n">
        <f aca="false">IF((C899&gt;$M$2),1,0)</f>
        <v>1</v>
      </c>
      <c r="E899" s="0" t="n">
        <f aca="false">1-D899</f>
        <v>0</v>
      </c>
      <c r="F899" s="0" t="n">
        <f aca="true">RAND()</f>
        <v>0.79155539742118</v>
      </c>
      <c r="G899" s="0" t="n">
        <f aca="false">7.75+F899*10</f>
        <v>15.6655539742118</v>
      </c>
      <c r="H899" s="0" t="n">
        <f aca="false">LOGINV(F899,2.64,1.139)</f>
        <v>35.3279462992072</v>
      </c>
      <c r="I899" s="0" t="n">
        <v>19.5</v>
      </c>
      <c r="J899" s="4" t="n">
        <f aca="true">-LN(RAND())/B899</f>
        <v>4.84162618730593</v>
      </c>
      <c r="K899" s="4" t="n">
        <f aca="false">K898+J899</f>
        <v>10826.0213058957</v>
      </c>
      <c r="L899" s="4" t="n">
        <f aca="false">(1/$J$4)*(1+AB898)</f>
        <v>10</v>
      </c>
      <c r="M899" s="4" t="n">
        <f aca="false">L899+MAX(K899,Y$10:Y898)</f>
        <v>10850.6951588152</v>
      </c>
      <c r="N899" s="4" t="n">
        <f aca="false">K899</f>
        <v>10826.0213058957</v>
      </c>
      <c r="O899" s="4" t="n">
        <f aca="false">M899-K899</f>
        <v>24.6738529195318</v>
      </c>
      <c r="P899" s="4" t="n">
        <f aca="false">N899-K899</f>
        <v>0</v>
      </c>
      <c r="Q899" s="4" t="n">
        <f aca="false">A899-MATCH(K899,$M$9:M898,1)</f>
        <v>2</v>
      </c>
      <c r="R899" s="0" t="n">
        <f aca="false">-G899*(O899/3600)</f>
        <v>-0.107369326295191</v>
      </c>
      <c r="S899" s="0" t="n">
        <f aca="false">-1*I899-(H899*(P899/3600))</f>
        <v>-19.5</v>
      </c>
      <c r="T899" s="0" t="n">
        <f aca="false">-H899*(O899/3600)</f>
        <v>-0.242132375259932</v>
      </c>
      <c r="U899" s="0" t="n">
        <f aca="false">T899-S899</f>
        <v>19.2578676247401</v>
      </c>
      <c r="V899" s="0" t="n">
        <f aca="false">1/(1+EXP(U899))</f>
        <v>4.32926684526121E-009</v>
      </c>
      <c r="W899" s="0" t="n">
        <f aca="true">RAND()</f>
        <v>0.907139883620806</v>
      </c>
      <c r="X899" s="0" t="n">
        <f aca="false">IF(W899&lt;V899,1,0)</f>
        <v>0</v>
      </c>
      <c r="Y899" s="0" t="n">
        <f aca="false">(M899*(1-X899)+N899*X899)*D899+M899*E899</f>
        <v>10850.6951588152</v>
      </c>
      <c r="Z899" s="0" t="n">
        <f aca="false">((1-X899)*O899+X899*P899)*D899+E899*O899</f>
        <v>24.6738529195318</v>
      </c>
      <c r="AA899" s="0" t="n">
        <f aca="false">IF(D899*X899&gt;0,AA898,Q899)</f>
        <v>2</v>
      </c>
      <c r="AB899" s="0" t="n">
        <f aca="false">(X899*D899)</f>
        <v>0</v>
      </c>
      <c r="AC899" s="0" t="n">
        <f aca="false">SUM(AB$10:AB898)/K899</f>
        <v>9.23700380540927E-005</v>
      </c>
      <c r="AD899" s="0" t="n">
        <f aca="false">R899*E899+D899*(X899*S899+(1-X899)*T899)</f>
        <v>-0.242132375259932</v>
      </c>
      <c r="AE899" s="0" t="n">
        <f aca="false">Z899</f>
        <v>24.6738529195318</v>
      </c>
      <c r="AF899" s="0" t="n">
        <f aca="false">E899*O899</f>
        <v>0</v>
      </c>
      <c r="AG899" s="0" t="n">
        <f aca="false">((1-X899)*O899+X899*P899)*D899</f>
        <v>24.6738529195318</v>
      </c>
      <c r="AH899" s="0" t="n">
        <f aca="false">D899*(LN(EXP(S899)+EXP(T899)))</f>
        <v>-0.242132370930666</v>
      </c>
      <c r="AJ899" s="0" t="n">
        <f aca="false">$J$5</f>
        <v>10</v>
      </c>
      <c r="AK899" s="4" t="n">
        <f aca="false">AJ899+MAX(K899,AK$10:AK898)</f>
        <v>10850.6951588152</v>
      </c>
      <c r="AL899" s="5" t="n">
        <f aca="false">AK899-K899</f>
        <v>24.6738529195318</v>
      </c>
      <c r="AM899" s="0" t="n">
        <f aca="false">-G899*AL899/3600</f>
        <v>-0.107369326295191</v>
      </c>
      <c r="AN899" s="0" t="n">
        <f aca="false">-H899*AL899/3600</f>
        <v>-0.242132375259932</v>
      </c>
      <c r="AO899" s="0" t="n">
        <f aca="false">AM899*E899+AN899*D899</f>
        <v>-0.242132375259932</v>
      </c>
      <c r="AP899" s="0" t="n">
        <f aca="false">AL899*D899</f>
        <v>24.6738529195318</v>
      </c>
      <c r="AR899" s="0" t="n">
        <f aca="false">AN899*D899</f>
        <v>-0.242132375259932</v>
      </c>
      <c r="AS899" s="0" t="n">
        <f aca="false">AH899-AR899</f>
        <v>4.32926677840229E-009</v>
      </c>
    </row>
    <row r="900" customFormat="false" ht="12" hidden="false" customHeight="false" outlineLevel="0" collapsed="false">
      <c r="A900" s="3" t="n">
        <f aca="false">A899+1</f>
        <v>891</v>
      </c>
      <c r="B900" s="3" t="n">
        <f aca="false">IF(A900&lt;$N$4/3,0.1,(IF(A900&gt;2*$N$4/3,0.05,0.12)))</f>
        <v>0.05</v>
      </c>
      <c r="C900" s="4" t="n">
        <f aca="true">RAND()</f>
        <v>0.546130912922555</v>
      </c>
      <c r="D900" s="0" t="n">
        <f aca="false">IF((C900&gt;$M$2),1,0)</f>
        <v>0</v>
      </c>
      <c r="E900" s="0" t="n">
        <f aca="false">1-D900</f>
        <v>1</v>
      </c>
      <c r="F900" s="0" t="n">
        <f aca="true">RAND()</f>
        <v>0.885818270008645</v>
      </c>
      <c r="G900" s="0" t="n">
        <f aca="false">7.75+F900*10</f>
        <v>16.6081827000865</v>
      </c>
      <c r="H900" s="0" t="n">
        <f aca="false">LOGINV(F900,2.64,1.139)</f>
        <v>55.258522457743</v>
      </c>
      <c r="I900" s="0" t="n">
        <v>19.5</v>
      </c>
      <c r="J900" s="4" t="n">
        <f aca="true">-LN(RAND())/B900</f>
        <v>8.38502328400517</v>
      </c>
      <c r="K900" s="4" t="n">
        <f aca="false">K899+J900</f>
        <v>10834.4063291797</v>
      </c>
      <c r="L900" s="4" t="n">
        <f aca="false">(1/$J$4)*(1+AB899)</f>
        <v>10</v>
      </c>
      <c r="M900" s="4" t="n">
        <f aca="false">L900+MAX(K900,Y$10:Y899)</f>
        <v>10860.6951588152</v>
      </c>
      <c r="N900" s="4" t="n">
        <f aca="false">K900</f>
        <v>10834.4063291797</v>
      </c>
      <c r="O900" s="4" t="n">
        <f aca="false">M900-K900</f>
        <v>26.2888296355268</v>
      </c>
      <c r="P900" s="4" t="n">
        <f aca="false">N900-K900</f>
        <v>0</v>
      </c>
      <c r="Q900" s="4" t="n">
        <f aca="false">A900-MATCH(K900,$M$9:M899,1)</f>
        <v>2</v>
      </c>
      <c r="R900" s="0" t="n">
        <f aca="false">-G900*(O900/3600)</f>
        <v>-0.121280468210632</v>
      </c>
      <c r="S900" s="0" t="n">
        <f aca="false">-1*I900-(H900*(P900/3600))</f>
        <v>-19.5</v>
      </c>
      <c r="T900" s="0" t="n">
        <f aca="false">-H900*(O900/3600)</f>
        <v>-0.403522745222927</v>
      </c>
      <c r="U900" s="0" t="n">
        <f aca="false">T900-S900</f>
        <v>19.0964772547771</v>
      </c>
      <c r="V900" s="0" t="n">
        <f aca="false">1/(1+EXP(U900))</f>
        <v>5.08751030887841E-009</v>
      </c>
      <c r="W900" s="0" t="n">
        <f aca="true">RAND()</f>
        <v>0.0595002787684796</v>
      </c>
      <c r="X900" s="0" t="n">
        <f aca="false">IF(W900&lt;V900,1,0)</f>
        <v>0</v>
      </c>
      <c r="Y900" s="0" t="n">
        <f aca="false">(M900*(1-X900)+N900*X900)*D900+M900*E900</f>
        <v>10860.6951588152</v>
      </c>
      <c r="Z900" s="0" t="n">
        <f aca="false">((1-X900)*O900+X900*P900)*D900+E900*O900</f>
        <v>26.2888296355268</v>
      </c>
      <c r="AA900" s="0" t="n">
        <f aca="false">IF(D900*X900&gt;0,AA899,Q900)</f>
        <v>2</v>
      </c>
      <c r="AB900" s="0" t="n">
        <f aca="false">(X900*D900)</f>
        <v>0</v>
      </c>
      <c r="AC900" s="0" t="n">
        <f aca="false">SUM(AB$10:AB899)/K900</f>
        <v>9.22985505266458E-005</v>
      </c>
      <c r="AD900" s="0" t="n">
        <f aca="false">R900*E900+D900*(X900*S900+(1-X900)*T900)</f>
        <v>-0.121280468210632</v>
      </c>
      <c r="AE900" s="0" t="n">
        <f aca="false">Z900</f>
        <v>26.2888296355268</v>
      </c>
      <c r="AF900" s="0" t="n">
        <f aca="false">E900*O900</f>
        <v>26.2888296355268</v>
      </c>
      <c r="AG900" s="0" t="n">
        <f aca="false">((1-X900)*O900+X900*P900)*D900</f>
        <v>0</v>
      </c>
      <c r="AH900" s="0" t="n">
        <f aca="false">D900*(LN(EXP(S900)+EXP(T900)))</f>
        <v>-0</v>
      </c>
      <c r="AJ900" s="0" t="n">
        <f aca="false">$J$5</f>
        <v>10</v>
      </c>
      <c r="AK900" s="4" t="n">
        <f aca="false">AJ900+MAX(K900,AK$10:AK899)</f>
        <v>10860.6951588152</v>
      </c>
      <c r="AL900" s="5" t="n">
        <f aca="false">AK900-K900</f>
        <v>26.2888296355268</v>
      </c>
      <c r="AM900" s="0" t="n">
        <f aca="false">-G900*AL900/3600</f>
        <v>-0.121280468210632</v>
      </c>
      <c r="AN900" s="0" t="n">
        <f aca="false">-H900*AL900/3600</f>
        <v>-0.403522745222927</v>
      </c>
      <c r="AO900" s="0" t="n">
        <f aca="false">AM900*E900+AN900*D900</f>
        <v>-0.121280468210632</v>
      </c>
      <c r="AP900" s="0" t="n">
        <f aca="false">AL900*D900</f>
        <v>0</v>
      </c>
      <c r="AR900" s="0" t="n">
        <f aca="false">AN900*D900</f>
        <v>-0</v>
      </c>
      <c r="AS900" s="0" t="n">
        <f aca="false">AH900-AR900</f>
        <v>0</v>
      </c>
    </row>
    <row r="901" customFormat="false" ht="12" hidden="false" customHeight="false" outlineLevel="0" collapsed="false">
      <c r="A901" s="3" t="n">
        <f aca="false">A900+1</f>
        <v>892</v>
      </c>
      <c r="B901" s="3" t="n">
        <f aca="false">IF(A901&lt;$N$4/3,0.1,(IF(A901&gt;2*$N$4/3,0.05,0.12)))</f>
        <v>0.05</v>
      </c>
      <c r="C901" s="4" t="n">
        <f aca="true">RAND()</f>
        <v>0.726827728549025</v>
      </c>
      <c r="D901" s="0" t="n">
        <f aca="false">IF((C901&gt;$M$2),1,0)</f>
        <v>0</v>
      </c>
      <c r="E901" s="0" t="n">
        <f aca="false">1-D901</f>
        <v>1</v>
      </c>
      <c r="F901" s="0" t="n">
        <f aca="true">RAND()</f>
        <v>0.184135481015448</v>
      </c>
      <c r="G901" s="0" t="n">
        <f aca="false">7.75+F901*10</f>
        <v>9.59135481015448</v>
      </c>
      <c r="H901" s="0" t="n">
        <f aca="false">LOGINV(F901,2.64,1.139)</f>
        <v>5.02900687921689</v>
      </c>
      <c r="I901" s="0" t="n">
        <v>19.5</v>
      </c>
      <c r="J901" s="4" t="n">
        <f aca="true">-LN(RAND())/B901</f>
        <v>15.4799351299987</v>
      </c>
      <c r="K901" s="4" t="n">
        <f aca="false">K900+J901</f>
        <v>10849.8862643097</v>
      </c>
      <c r="L901" s="4" t="n">
        <f aca="false">(1/$J$4)*(1+AB900)</f>
        <v>10</v>
      </c>
      <c r="M901" s="4" t="n">
        <f aca="false">L901+MAX(K901,Y$10:Y900)</f>
        <v>10870.6951588152</v>
      </c>
      <c r="N901" s="4" t="n">
        <f aca="false">K901</f>
        <v>10849.8862643097</v>
      </c>
      <c r="O901" s="4" t="n">
        <f aca="false">M901-K901</f>
        <v>20.8088945055279</v>
      </c>
      <c r="P901" s="4" t="n">
        <f aca="false">N901-K901</f>
        <v>0</v>
      </c>
      <c r="Q901" s="4" t="n">
        <f aca="false">A901-MATCH(K901,$M$9:M900,1)</f>
        <v>2</v>
      </c>
      <c r="R901" s="0" t="n">
        <f aca="false">-G901*(O901/3600)</f>
        <v>-0.0554404140026644</v>
      </c>
      <c r="S901" s="0" t="n">
        <f aca="false">-1*I901-(H901*(P901/3600))</f>
        <v>-19.5</v>
      </c>
      <c r="T901" s="0" t="n">
        <f aca="false">-H901*(O901/3600)</f>
        <v>-0.0290689093381106</v>
      </c>
      <c r="U901" s="0" t="n">
        <f aca="false">T901-S901</f>
        <v>19.4709310906619</v>
      </c>
      <c r="V901" s="0" t="n">
        <f aca="false">1/(1+EXP(U901))</f>
        <v>3.49850153088168E-009</v>
      </c>
      <c r="W901" s="0" t="n">
        <f aca="true">RAND()</f>
        <v>0.0461094022746871</v>
      </c>
      <c r="X901" s="0" t="n">
        <f aca="false">IF(W901&lt;V901,1,0)</f>
        <v>0</v>
      </c>
      <c r="Y901" s="0" t="n">
        <f aca="false">(M901*(1-X901)+N901*X901)*D901+M901*E901</f>
        <v>10870.6951588152</v>
      </c>
      <c r="Z901" s="0" t="n">
        <f aca="false">((1-X901)*O901+X901*P901)*D901+E901*O901</f>
        <v>20.8088945055279</v>
      </c>
      <c r="AA901" s="0" t="n">
        <f aca="false">IF(D901*X901&gt;0,AA900,Q901)</f>
        <v>2</v>
      </c>
      <c r="AB901" s="0" t="n">
        <f aca="false">(X901*D901)</f>
        <v>0</v>
      </c>
      <c r="AC901" s="0" t="n">
        <f aca="false">SUM(AB$10:AB900)/K901</f>
        <v>9.21668647614737E-005</v>
      </c>
      <c r="AD901" s="0" t="n">
        <f aca="false">R901*E901+D901*(X901*S901+(1-X901)*T901)</f>
        <v>-0.0554404140026644</v>
      </c>
      <c r="AE901" s="0" t="n">
        <f aca="false">Z901</f>
        <v>20.8088945055279</v>
      </c>
      <c r="AF901" s="0" t="n">
        <f aca="false">E901*O901</f>
        <v>20.8088945055279</v>
      </c>
      <c r="AG901" s="0" t="n">
        <f aca="false">((1-X901)*O901+X901*P901)*D901</f>
        <v>0</v>
      </c>
      <c r="AH901" s="0" t="n">
        <f aca="false">D901*(LN(EXP(S901)+EXP(T901)))</f>
        <v>-0</v>
      </c>
      <c r="AJ901" s="0" t="n">
        <f aca="false">$J$5</f>
        <v>10</v>
      </c>
      <c r="AK901" s="4" t="n">
        <f aca="false">AJ901+MAX(K901,AK$10:AK900)</f>
        <v>10870.6951588152</v>
      </c>
      <c r="AL901" s="5" t="n">
        <f aca="false">AK901-K901</f>
        <v>20.8088945055279</v>
      </c>
      <c r="AM901" s="0" t="n">
        <f aca="false">-G901*AL901/3600</f>
        <v>-0.0554404140026644</v>
      </c>
      <c r="AN901" s="0" t="n">
        <f aca="false">-H901*AL901/3600</f>
        <v>-0.0290689093381106</v>
      </c>
      <c r="AO901" s="0" t="n">
        <f aca="false">AM901*E901+AN901*D901</f>
        <v>-0.0554404140026644</v>
      </c>
      <c r="AP901" s="0" t="n">
        <f aca="false">AL901*D901</f>
        <v>0</v>
      </c>
      <c r="AR901" s="0" t="n">
        <f aca="false">AN901*D901</f>
        <v>-0</v>
      </c>
      <c r="AS901" s="0" t="n">
        <f aca="false">AH901-AR901</f>
        <v>0</v>
      </c>
    </row>
    <row r="902" customFormat="false" ht="12" hidden="false" customHeight="false" outlineLevel="0" collapsed="false">
      <c r="A902" s="3" t="n">
        <f aca="false">A901+1</f>
        <v>893</v>
      </c>
      <c r="B902" s="3" t="n">
        <f aca="false">IF(A902&lt;$N$4/3,0.1,(IF(A902&gt;2*$N$4/3,0.05,0.12)))</f>
        <v>0.05</v>
      </c>
      <c r="C902" s="4" t="n">
        <f aca="true">RAND()</f>
        <v>0.11632270548473</v>
      </c>
      <c r="D902" s="0" t="n">
        <f aca="false">IF((C902&gt;$M$2),1,0)</f>
        <v>0</v>
      </c>
      <c r="E902" s="0" t="n">
        <f aca="false">1-D902</f>
        <v>1</v>
      </c>
      <c r="F902" s="0" t="n">
        <f aca="true">RAND()</f>
        <v>0.557222122557614</v>
      </c>
      <c r="G902" s="0" t="n">
        <f aca="false">7.75+F902*10</f>
        <v>13.3222212255761</v>
      </c>
      <c r="H902" s="0" t="n">
        <f aca="false">LOGINV(F902,2.64,1.139)</f>
        <v>16.5095046892127</v>
      </c>
      <c r="I902" s="0" t="n">
        <v>19.5</v>
      </c>
      <c r="J902" s="4" t="n">
        <f aca="true">-LN(RAND())/B902</f>
        <v>14.4104675718423</v>
      </c>
      <c r="K902" s="4" t="n">
        <f aca="false">K901+J902</f>
        <v>10864.2967318815</v>
      </c>
      <c r="L902" s="4" t="n">
        <f aca="false">(1/$J$4)*(1+AB901)</f>
        <v>10</v>
      </c>
      <c r="M902" s="4" t="n">
        <f aca="false">L902+MAX(K902,Y$10:Y901)</f>
        <v>10880.6951588152</v>
      </c>
      <c r="N902" s="4" t="n">
        <f aca="false">K902</f>
        <v>10864.2967318815</v>
      </c>
      <c r="O902" s="4" t="n">
        <f aca="false">M902-K902</f>
        <v>16.3984269336852</v>
      </c>
      <c r="P902" s="4" t="n">
        <f aca="false">N902-K902</f>
        <v>0</v>
      </c>
      <c r="Q902" s="4" t="n">
        <f aca="false">A902-MATCH(K902,$M$9:M901,1)</f>
        <v>1</v>
      </c>
      <c r="R902" s="0" t="n">
        <f aca="false">-G902*(O902/3600)</f>
        <v>-0.0606842976005556</v>
      </c>
      <c r="S902" s="0" t="n">
        <f aca="false">-1*I902-(H902*(P902/3600))</f>
        <v>-19.5</v>
      </c>
      <c r="T902" s="0" t="n">
        <f aca="false">-H902*(O902/3600)</f>
        <v>-0.075202751765941</v>
      </c>
      <c r="U902" s="0" t="n">
        <f aca="false">T902-S902</f>
        <v>19.4247972482341</v>
      </c>
      <c r="V902" s="0" t="n">
        <f aca="false">1/(1+EXP(U902))</f>
        <v>3.66368175232156E-009</v>
      </c>
      <c r="W902" s="0" t="n">
        <f aca="true">RAND()</f>
        <v>0.915588382156332</v>
      </c>
      <c r="X902" s="0" t="n">
        <f aca="false">IF(W902&lt;V902,1,0)</f>
        <v>0</v>
      </c>
      <c r="Y902" s="0" t="n">
        <f aca="false">(M902*(1-X902)+N902*X902)*D902+M902*E902</f>
        <v>10880.6951588152</v>
      </c>
      <c r="Z902" s="0" t="n">
        <f aca="false">((1-X902)*O902+X902*P902)*D902+E902*O902</f>
        <v>16.3984269336852</v>
      </c>
      <c r="AA902" s="0" t="n">
        <f aca="false">IF(D902*X902&gt;0,AA901,Q902)</f>
        <v>1</v>
      </c>
      <c r="AB902" s="0" t="n">
        <f aca="false">(X902*D902)</f>
        <v>0</v>
      </c>
      <c r="AC902" s="0" t="n">
        <f aca="false">SUM(AB$10:AB901)/K902</f>
        <v>9.20446140858321E-005</v>
      </c>
      <c r="AD902" s="0" t="n">
        <f aca="false">R902*E902+D902*(X902*S902+(1-X902)*T902)</f>
        <v>-0.0606842976005556</v>
      </c>
      <c r="AE902" s="0" t="n">
        <f aca="false">Z902</f>
        <v>16.3984269336852</v>
      </c>
      <c r="AF902" s="0" t="n">
        <f aca="false">E902*O902</f>
        <v>16.3984269336852</v>
      </c>
      <c r="AG902" s="0" t="n">
        <f aca="false">((1-X902)*O902+X902*P902)*D902</f>
        <v>0</v>
      </c>
      <c r="AH902" s="0" t="n">
        <f aca="false">D902*(LN(EXP(S902)+EXP(T902)))</f>
        <v>-0</v>
      </c>
      <c r="AJ902" s="0" t="n">
        <f aca="false">$J$5</f>
        <v>10</v>
      </c>
      <c r="AK902" s="4" t="n">
        <f aca="false">AJ902+MAX(K902,AK$10:AK901)</f>
        <v>10880.6951588152</v>
      </c>
      <c r="AL902" s="5" t="n">
        <f aca="false">AK902-K902</f>
        <v>16.3984269336852</v>
      </c>
      <c r="AM902" s="0" t="n">
        <f aca="false">-G902*AL902/3600</f>
        <v>-0.0606842976005556</v>
      </c>
      <c r="AN902" s="0" t="n">
        <f aca="false">-H902*AL902/3600</f>
        <v>-0.075202751765941</v>
      </c>
      <c r="AO902" s="0" t="n">
        <f aca="false">AM902*E902+AN902*D902</f>
        <v>-0.0606842976005556</v>
      </c>
      <c r="AP902" s="0" t="n">
        <f aca="false">AL902*D902</f>
        <v>0</v>
      </c>
      <c r="AR902" s="0" t="n">
        <f aca="false">AN902*D902</f>
        <v>-0</v>
      </c>
      <c r="AS902" s="0" t="n">
        <f aca="false">AH902-AR902</f>
        <v>0</v>
      </c>
    </row>
    <row r="903" customFormat="false" ht="12" hidden="false" customHeight="false" outlineLevel="0" collapsed="false">
      <c r="A903" s="3" t="n">
        <f aca="false">A902+1</f>
        <v>894</v>
      </c>
      <c r="B903" s="3" t="n">
        <f aca="false">IF(A903&lt;$N$4/3,0.1,(IF(A903&gt;2*$N$4/3,0.05,0.12)))</f>
        <v>0.05</v>
      </c>
      <c r="C903" s="4" t="n">
        <f aca="true">RAND()</f>
        <v>0.721752429367217</v>
      </c>
      <c r="D903" s="0" t="n">
        <f aca="false">IF((C903&gt;$M$2),1,0)</f>
        <v>0</v>
      </c>
      <c r="E903" s="0" t="n">
        <f aca="false">1-D903</f>
        <v>1</v>
      </c>
      <c r="F903" s="0" t="n">
        <f aca="true">RAND()</f>
        <v>0.698654232358585</v>
      </c>
      <c r="G903" s="0" t="n">
        <f aca="false">7.75+F903*10</f>
        <v>14.7365423235859</v>
      </c>
      <c r="H903" s="0" t="n">
        <f aca="false">LOGINV(F903,2.64,1.139)</f>
        <v>25.3527717923401</v>
      </c>
      <c r="I903" s="0" t="n">
        <v>19.5</v>
      </c>
      <c r="J903" s="4" t="n">
        <f aca="true">-LN(RAND())/B903</f>
        <v>35.0830573397796</v>
      </c>
      <c r="K903" s="4" t="n">
        <f aca="false">K902+J903</f>
        <v>10899.3797892213</v>
      </c>
      <c r="L903" s="4" t="n">
        <f aca="false">(1/$J$4)*(1+AB902)</f>
        <v>10</v>
      </c>
      <c r="M903" s="4" t="n">
        <f aca="false">L903+MAX(K903,Y$10:Y902)</f>
        <v>10909.3797892213</v>
      </c>
      <c r="N903" s="4" t="n">
        <f aca="false">K903</f>
        <v>10899.3797892213</v>
      </c>
      <c r="O903" s="4" t="n">
        <f aca="false">M903-K903</f>
        <v>10</v>
      </c>
      <c r="P903" s="4" t="n">
        <f aca="false">N903-K903</f>
        <v>0</v>
      </c>
      <c r="Q903" s="4" t="n">
        <f aca="false">A903-MATCH(K903,$M$9:M902,1)</f>
        <v>0</v>
      </c>
      <c r="R903" s="0" t="n">
        <f aca="false">-G903*(O903/3600)</f>
        <v>-0.0409348397877385</v>
      </c>
      <c r="S903" s="0" t="n">
        <f aca="false">-1*I903-(H903*(P903/3600))</f>
        <v>-19.5</v>
      </c>
      <c r="T903" s="0" t="n">
        <f aca="false">-H903*(O903/3600)</f>
        <v>-0.0704243660898337</v>
      </c>
      <c r="U903" s="0" t="n">
        <f aca="false">T903-S903</f>
        <v>19.4295756339102</v>
      </c>
      <c r="V903" s="0" t="n">
        <f aca="false">1/(1+EXP(U903))</f>
        <v>3.64621702780398E-009</v>
      </c>
      <c r="W903" s="0" t="n">
        <f aca="true">RAND()</f>
        <v>0.296397678009159</v>
      </c>
      <c r="X903" s="0" t="n">
        <f aca="false">IF(W903&lt;V903,1,0)</f>
        <v>0</v>
      </c>
      <c r="Y903" s="0" t="n">
        <f aca="false">(M903*(1-X903)+N903*X903)*D903+M903*E903</f>
        <v>10909.3797892213</v>
      </c>
      <c r="Z903" s="0" t="n">
        <f aca="false">((1-X903)*O903+X903*P903)*D903+E903*O903</f>
        <v>10</v>
      </c>
      <c r="AA903" s="0" t="n">
        <f aca="false">IF(D903*X903&gt;0,AA902,Q903)</f>
        <v>0</v>
      </c>
      <c r="AB903" s="0" t="n">
        <f aca="false">(X903*D903)</f>
        <v>0</v>
      </c>
      <c r="AC903" s="0" t="n">
        <f aca="false">SUM(AB$10:AB902)/K903</f>
        <v>9.17483397531417E-005</v>
      </c>
      <c r="AD903" s="0" t="n">
        <f aca="false">R903*E903+D903*(X903*S903+(1-X903)*T903)</f>
        <v>-0.0409348397877385</v>
      </c>
      <c r="AE903" s="0" t="n">
        <f aca="false">Z903</f>
        <v>10</v>
      </c>
      <c r="AF903" s="0" t="n">
        <f aca="false">E903*O903</f>
        <v>10</v>
      </c>
      <c r="AG903" s="0" t="n">
        <f aca="false">((1-X903)*O903+X903*P903)*D903</f>
        <v>0</v>
      </c>
      <c r="AH903" s="0" t="n">
        <f aca="false">D903*(LN(EXP(S903)+EXP(T903)))</f>
        <v>-0</v>
      </c>
      <c r="AJ903" s="0" t="n">
        <f aca="false">$J$5</f>
        <v>10</v>
      </c>
      <c r="AK903" s="4" t="n">
        <f aca="false">AJ903+MAX(K903,AK$10:AK902)</f>
        <v>10909.3797892213</v>
      </c>
      <c r="AL903" s="5" t="n">
        <f aca="false">AK903-K903</f>
        <v>10</v>
      </c>
      <c r="AM903" s="0" t="n">
        <f aca="false">-G903*AL903/3600</f>
        <v>-0.0409348397877385</v>
      </c>
      <c r="AN903" s="0" t="n">
        <f aca="false">-H903*AL903/3600</f>
        <v>-0.0704243660898337</v>
      </c>
      <c r="AO903" s="0" t="n">
        <f aca="false">AM903*E903+AN903*D903</f>
        <v>-0.0409348397877385</v>
      </c>
      <c r="AP903" s="0" t="n">
        <f aca="false">AL903*D903</f>
        <v>0</v>
      </c>
      <c r="AR903" s="0" t="n">
        <f aca="false">AN903*D903</f>
        <v>-0</v>
      </c>
      <c r="AS903" s="0" t="n">
        <f aca="false">AH903-AR903</f>
        <v>0</v>
      </c>
    </row>
    <row r="904" customFormat="false" ht="12" hidden="false" customHeight="false" outlineLevel="0" collapsed="false">
      <c r="A904" s="3" t="n">
        <f aca="false">A903+1</f>
        <v>895</v>
      </c>
      <c r="B904" s="3" t="n">
        <f aca="false">IF(A904&lt;$N$4/3,0.1,(IF(A904&gt;2*$N$4/3,0.05,0.12)))</f>
        <v>0.05</v>
      </c>
      <c r="C904" s="4" t="n">
        <f aca="true">RAND()</f>
        <v>0.733456877882638</v>
      </c>
      <c r="D904" s="0" t="n">
        <f aca="false">IF((C904&gt;$M$2),1,0)</f>
        <v>0</v>
      </c>
      <c r="E904" s="0" t="n">
        <f aca="false">1-D904</f>
        <v>1</v>
      </c>
      <c r="F904" s="0" t="n">
        <f aca="true">RAND()</f>
        <v>0.312625694926344</v>
      </c>
      <c r="G904" s="0" t="n">
        <f aca="false">7.75+F904*10</f>
        <v>10.8762569492634</v>
      </c>
      <c r="H904" s="0" t="n">
        <f aca="false">LOGINV(F904,2.64,1.139)</f>
        <v>8.03404414026441</v>
      </c>
      <c r="I904" s="0" t="n">
        <v>19.5</v>
      </c>
      <c r="J904" s="4" t="n">
        <f aca="true">-LN(RAND())/B904</f>
        <v>42.9393194737158</v>
      </c>
      <c r="K904" s="4" t="n">
        <f aca="false">K903+J904</f>
        <v>10942.319108695</v>
      </c>
      <c r="L904" s="4" t="n">
        <f aca="false">(1/$J$4)*(1+AB903)</f>
        <v>10</v>
      </c>
      <c r="M904" s="4" t="n">
        <f aca="false">L904+MAX(K904,Y$10:Y903)</f>
        <v>10952.319108695</v>
      </c>
      <c r="N904" s="4" t="n">
        <f aca="false">K904</f>
        <v>10942.319108695</v>
      </c>
      <c r="O904" s="4" t="n">
        <f aca="false">M904-K904</f>
        <v>10</v>
      </c>
      <c r="P904" s="4" t="n">
        <f aca="false">N904-K904</f>
        <v>0</v>
      </c>
      <c r="Q904" s="4" t="n">
        <f aca="false">A904-MATCH(K904,$M$9:M903,1)</f>
        <v>0</v>
      </c>
      <c r="R904" s="0" t="n">
        <f aca="false">-G904*(O904/3600)</f>
        <v>-0.0302118248590651</v>
      </c>
      <c r="S904" s="0" t="n">
        <f aca="false">-1*I904-(H904*(P904/3600))</f>
        <v>-19.5</v>
      </c>
      <c r="T904" s="0" t="n">
        <f aca="false">-H904*(O904/3600)</f>
        <v>-0.0223167892785122</v>
      </c>
      <c r="U904" s="0" t="n">
        <f aca="false">T904-S904</f>
        <v>19.4776832107215</v>
      </c>
      <c r="V904" s="0" t="n">
        <f aca="false">1/(1+EXP(U904))</f>
        <v>3.47495879971715E-009</v>
      </c>
      <c r="W904" s="0" t="n">
        <f aca="true">RAND()</f>
        <v>0.530146853972677</v>
      </c>
      <c r="X904" s="0" t="n">
        <f aca="false">IF(W904&lt;V904,1,0)</f>
        <v>0</v>
      </c>
      <c r="Y904" s="0" t="n">
        <f aca="false">(M904*(1-X904)+N904*X904)*D904+M904*E904</f>
        <v>10952.319108695</v>
      </c>
      <c r="Z904" s="0" t="n">
        <f aca="false">((1-X904)*O904+X904*P904)*D904+E904*O904</f>
        <v>10</v>
      </c>
      <c r="AA904" s="0" t="n">
        <f aca="false">IF(D904*X904&gt;0,AA903,Q904)</f>
        <v>0</v>
      </c>
      <c r="AB904" s="0" t="n">
        <f aca="false">(X904*D904)</f>
        <v>0</v>
      </c>
      <c r="AC904" s="0" t="n">
        <f aca="false">SUM(AB$10:AB903)/K904</f>
        <v>9.13883053552495E-005</v>
      </c>
      <c r="AD904" s="0" t="n">
        <f aca="false">R904*E904+D904*(X904*S904+(1-X904)*T904)</f>
        <v>-0.0302118248590651</v>
      </c>
      <c r="AE904" s="0" t="n">
        <f aca="false">Z904</f>
        <v>10</v>
      </c>
      <c r="AF904" s="0" t="n">
        <f aca="false">E904*O904</f>
        <v>10</v>
      </c>
      <c r="AG904" s="0" t="n">
        <f aca="false">((1-X904)*O904+X904*P904)*D904</f>
        <v>0</v>
      </c>
      <c r="AH904" s="0" t="n">
        <f aca="false">D904*(LN(EXP(S904)+EXP(T904)))</f>
        <v>-0</v>
      </c>
      <c r="AJ904" s="0" t="n">
        <f aca="false">$J$5</f>
        <v>10</v>
      </c>
      <c r="AK904" s="4" t="n">
        <f aca="false">AJ904+MAX(K904,AK$10:AK903)</f>
        <v>10952.319108695</v>
      </c>
      <c r="AL904" s="5" t="n">
        <f aca="false">AK904-K904</f>
        <v>10</v>
      </c>
      <c r="AM904" s="0" t="n">
        <f aca="false">-G904*AL904/3600</f>
        <v>-0.0302118248590651</v>
      </c>
      <c r="AN904" s="0" t="n">
        <f aca="false">-H904*AL904/3600</f>
        <v>-0.0223167892785122</v>
      </c>
      <c r="AO904" s="0" t="n">
        <f aca="false">AM904*E904+AN904*D904</f>
        <v>-0.0302118248590651</v>
      </c>
      <c r="AP904" s="0" t="n">
        <f aca="false">AL904*D904</f>
        <v>0</v>
      </c>
      <c r="AR904" s="0" t="n">
        <f aca="false">AN904*D904</f>
        <v>-0</v>
      </c>
      <c r="AS904" s="0" t="n">
        <f aca="false">AH904-AR904</f>
        <v>0</v>
      </c>
    </row>
    <row r="905" customFormat="false" ht="12" hidden="false" customHeight="false" outlineLevel="0" collapsed="false">
      <c r="A905" s="3" t="n">
        <f aca="false">A904+1</f>
        <v>896</v>
      </c>
      <c r="B905" s="3" t="n">
        <f aca="false">IF(A905&lt;$N$4/3,0.1,(IF(A905&gt;2*$N$4/3,0.05,0.12)))</f>
        <v>0.05</v>
      </c>
      <c r="C905" s="4" t="n">
        <f aca="true">RAND()</f>
        <v>0.125154035013272</v>
      </c>
      <c r="D905" s="0" t="n">
        <f aca="false">IF((C905&gt;$M$2),1,0)</f>
        <v>0</v>
      </c>
      <c r="E905" s="0" t="n">
        <f aca="false">1-D905</f>
        <v>1</v>
      </c>
      <c r="F905" s="0" t="n">
        <f aca="true">RAND()</f>
        <v>0.757087921848869</v>
      </c>
      <c r="G905" s="0" t="n">
        <f aca="false">7.75+F905*10</f>
        <v>15.3208792184887</v>
      </c>
      <c r="H905" s="0" t="n">
        <f aca="false">LOGINV(F905,2.64,1.139)</f>
        <v>30.9955647086597</v>
      </c>
      <c r="I905" s="0" t="n">
        <v>19.5</v>
      </c>
      <c r="J905" s="4" t="n">
        <f aca="true">-LN(RAND())/B905</f>
        <v>95.4096850467602</v>
      </c>
      <c r="K905" s="4" t="n">
        <f aca="false">K904+J905</f>
        <v>11037.7287937418</v>
      </c>
      <c r="L905" s="4" t="n">
        <f aca="false">(1/$J$4)*(1+AB904)</f>
        <v>10</v>
      </c>
      <c r="M905" s="4" t="n">
        <f aca="false">L905+MAX(K905,Y$10:Y904)</f>
        <v>11047.7287937418</v>
      </c>
      <c r="N905" s="4" t="n">
        <f aca="false">K905</f>
        <v>11037.7287937418</v>
      </c>
      <c r="O905" s="4" t="n">
        <f aca="false">M905-K905</f>
        <v>10</v>
      </c>
      <c r="P905" s="4" t="n">
        <f aca="false">N905-K905</f>
        <v>0</v>
      </c>
      <c r="Q905" s="4" t="n">
        <f aca="false">A905-MATCH(K905,$M$9:M904,1)</f>
        <v>0</v>
      </c>
      <c r="R905" s="0" t="n">
        <f aca="false">-G905*(O905/3600)</f>
        <v>-0.0425579978291352</v>
      </c>
      <c r="S905" s="0" t="n">
        <f aca="false">-1*I905-(H905*(P905/3600))</f>
        <v>-19.5</v>
      </c>
      <c r="T905" s="0" t="n">
        <f aca="false">-H905*(O905/3600)</f>
        <v>-0.0860987908573882</v>
      </c>
      <c r="U905" s="0" t="n">
        <f aca="false">T905-S905</f>
        <v>19.4139012091426</v>
      </c>
      <c r="V905" s="0" t="n">
        <f aca="false">1/(1+EXP(U905))</f>
        <v>3.70381964668962E-009</v>
      </c>
      <c r="W905" s="0" t="n">
        <f aca="true">RAND()</f>
        <v>0.0830557327942342</v>
      </c>
      <c r="X905" s="0" t="n">
        <f aca="false">IF(W905&lt;V905,1,0)</f>
        <v>0</v>
      </c>
      <c r="Y905" s="0" t="n">
        <f aca="false">(M905*(1-X905)+N905*X905)*D905+M905*E905</f>
        <v>11047.7287937418</v>
      </c>
      <c r="Z905" s="0" t="n">
        <f aca="false">((1-X905)*O905+X905*P905)*D905+E905*O905</f>
        <v>10</v>
      </c>
      <c r="AA905" s="0" t="n">
        <f aca="false">IF(D905*X905&gt;0,AA904,Q905)</f>
        <v>0</v>
      </c>
      <c r="AB905" s="0" t="n">
        <f aca="false">(X905*D905)</f>
        <v>0</v>
      </c>
      <c r="AC905" s="0" t="n">
        <f aca="false">SUM(AB$10:AB904)/K905</f>
        <v>9.05983485087065E-005</v>
      </c>
      <c r="AD905" s="0" t="n">
        <f aca="false">R905*E905+D905*(X905*S905+(1-X905)*T905)</f>
        <v>-0.0425579978291352</v>
      </c>
      <c r="AE905" s="0" t="n">
        <f aca="false">Z905</f>
        <v>10</v>
      </c>
      <c r="AF905" s="0" t="n">
        <f aca="false">E905*O905</f>
        <v>10</v>
      </c>
      <c r="AG905" s="0" t="n">
        <f aca="false">((1-X905)*O905+X905*P905)*D905</f>
        <v>0</v>
      </c>
      <c r="AH905" s="0" t="n">
        <f aca="false">D905*(LN(EXP(S905)+EXP(T905)))</f>
        <v>-0</v>
      </c>
      <c r="AJ905" s="0" t="n">
        <f aca="false">$J$5</f>
        <v>10</v>
      </c>
      <c r="AK905" s="4" t="n">
        <f aca="false">AJ905+MAX(K905,AK$10:AK904)</f>
        <v>11047.7287937418</v>
      </c>
      <c r="AL905" s="5" t="n">
        <f aca="false">AK905-K905</f>
        <v>10</v>
      </c>
      <c r="AM905" s="0" t="n">
        <f aca="false">-G905*AL905/3600</f>
        <v>-0.0425579978291352</v>
      </c>
      <c r="AN905" s="0" t="n">
        <f aca="false">-H905*AL905/3600</f>
        <v>-0.0860987908573882</v>
      </c>
      <c r="AO905" s="0" t="n">
        <f aca="false">AM905*E905+AN905*D905</f>
        <v>-0.0425579978291352</v>
      </c>
      <c r="AP905" s="0" t="n">
        <f aca="false">AL905*D905</f>
        <v>0</v>
      </c>
      <c r="AR905" s="0" t="n">
        <f aca="false">AN905*D905</f>
        <v>-0</v>
      </c>
      <c r="AS905" s="0" t="n">
        <f aca="false">AH905-AR905</f>
        <v>0</v>
      </c>
    </row>
    <row r="906" customFormat="false" ht="12" hidden="false" customHeight="false" outlineLevel="0" collapsed="false">
      <c r="A906" s="3" t="n">
        <f aca="false">A905+1</f>
        <v>897</v>
      </c>
      <c r="B906" s="3" t="n">
        <f aca="false">IF(A906&lt;$N$4/3,0.1,(IF(A906&gt;2*$N$4/3,0.05,0.12)))</f>
        <v>0.05</v>
      </c>
      <c r="C906" s="4" t="n">
        <f aca="true">RAND()</f>
        <v>0.451402524445124</v>
      </c>
      <c r="D906" s="0" t="n">
        <f aca="false">IF((C906&gt;$M$2),1,0)</f>
        <v>0</v>
      </c>
      <c r="E906" s="0" t="n">
        <f aca="false">1-D906</f>
        <v>1</v>
      </c>
      <c r="F906" s="0" t="n">
        <f aca="true">RAND()</f>
        <v>0.829145066027591</v>
      </c>
      <c r="G906" s="0" t="n">
        <f aca="false">7.75+F906*10</f>
        <v>16.0414506602759</v>
      </c>
      <c r="H906" s="0" t="n">
        <f aca="false">LOGINV(F906,2.64,1.139)</f>
        <v>41.3864001042612</v>
      </c>
      <c r="I906" s="0" t="n">
        <v>19.5</v>
      </c>
      <c r="J906" s="4" t="n">
        <f aca="true">-LN(RAND())/B906</f>
        <v>45.278538593674</v>
      </c>
      <c r="K906" s="4" t="n">
        <f aca="false">K905+J906</f>
        <v>11083.0073323354</v>
      </c>
      <c r="L906" s="4" t="n">
        <f aca="false">(1/$J$4)*(1+AB905)</f>
        <v>10</v>
      </c>
      <c r="M906" s="4" t="n">
        <f aca="false">L906+MAX(K906,Y$10:Y905)</f>
        <v>11093.0073323354</v>
      </c>
      <c r="N906" s="4" t="n">
        <f aca="false">K906</f>
        <v>11083.0073323354</v>
      </c>
      <c r="O906" s="4" t="n">
        <f aca="false">M906-K906</f>
        <v>10</v>
      </c>
      <c r="P906" s="4" t="n">
        <f aca="false">N906-K906</f>
        <v>0</v>
      </c>
      <c r="Q906" s="4" t="n">
        <f aca="false">A906-MATCH(K906,$M$9:M905,1)</f>
        <v>0</v>
      </c>
      <c r="R906" s="0" t="n">
        <f aca="false">-G906*(O906/3600)</f>
        <v>-0.0445595851674331</v>
      </c>
      <c r="S906" s="0" t="n">
        <f aca="false">-1*I906-(H906*(P906/3600))</f>
        <v>-19.5</v>
      </c>
      <c r="T906" s="0" t="n">
        <f aca="false">-H906*(O906/3600)</f>
        <v>-0.114962222511837</v>
      </c>
      <c r="U906" s="0" t="n">
        <f aca="false">T906-S906</f>
        <v>19.3850377774882</v>
      </c>
      <c r="V906" s="0" t="n">
        <f aca="false">1/(1+EXP(U906))</f>
        <v>3.81228236474071E-009</v>
      </c>
      <c r="W906" s="0" t="n">
        <f aca="true">RAND()</f>
        <v>0.485996184568568</v>
      </c>
      <c r="X906" s="0" t="n">
        <f aca="false">IF(W906&lt;V906,1,0)</f>
        <v>0</v>
      </c>
      <c r="Y906" s="0" t="n">
        <f aca="false">(M906*(1-X906)+N906*X906)*D906+M906*E906</f>
        <v>11093.0073323354</v>
      </c>
      <c r="Z906" s="0" t="n">
        <f aca="false">((1-X906)*O906+X906*P906)*D906+E906*O906</f>
        <v>10</v>
      </c>
      <c r="AA906" s="0" t="n">
        <f aca="false">IF(D906*X906&gt;0,AA905,Q906)</f>
        <v>0</v>
      </c>
      <c r="AB906" s="0" t="n">
        <f aca="false">(X906*D906)</f>
        <v>0</v>
      </c>
      <c r="AC906" s="0" t="n">
        <f aca="false">SUM(AB$10:AB905)/K906</f>
        <v>9.02282178486368E-005</v>
      </c>
      <c r="AD906" s="0" t="n">
        <f aca="false">R906*E906+D906*(X906*S906+(1-X906)*T906)</f>
        <v>-0.0445595851674331</v>
      </c>
      <c r="AE906" s="0" t="n">
        <f aca="false">Z906</f>
        <v>10</v>
      </c>
      <c r="AF906" s="0" t="n">
        <f aca="false">E906*O906</f>
        <v>10</v>
      </c>
      <c r="AG906" s="0" t="n">
        <f aca="false">((1-X906)*O906+X906*P906)*D906</f>
        <v>0</v>
      </c>
      <c r="AH906" s="0" t="n">
        <f aca="false">D906*(LN(EXP(S906)+EXP(T906)))</f>
        <v>-0</v>
      </c>
      <c r="AJ906" s="0" t="n">
        <f aca="false">$J$5</f>
        <v>10</v>
      </c>
      <c r="AK906" s="4" t="n">
        <f aca="false">AJ906+MAX(K906,AK$10:AK905)</f>
        <v>11093.0073323354</v>
      </c>
      <c r="AL906" s="5" t="n">
        <f aca="false">AK906-K906</f>
        <v>10</v>
      </c>
      <c r="AM906" s="0" t="n">
        <f aca="false">-G906*AL906/3600</f>
        <v>-0.0445595851674331</v>
      </c>
      <c r="AN906" s="0" t="n">
        <f aca="false">-H906*AL906/3600</f>
        <v>-0.114962222511837</v>
      </c>
      <c r="AO906" s="0" t="n">
        <f aca="false">AM906*E906+AN906*D906</f>
        <v>-0.0445595851674331</v>
      </c>
      <c r="AP906" s="0" t="n">
        <f aca="false">AL906*D906</f>
        <v>0</v>
      </c>
      <c r="AR906" s="0" t="n">
        <f aca="false">AN906*D906</f>
        <v>-0</v>
      </c>
      <c r="AS906" s="0" t="n">
        <f aca="false">AH906-AR906</f>
        <v>0</v>
      </c>
    </row>
    <row r="907" customFormat="false" ht="12" hidden="false" customHeight="false" outlineLevel="0" collapsed="false">
      <c r="A907" s="3" t="n">
        <f aca="false">A906+1</f>
        <v>898</v>
      </c>
      <c r="B907" s="3" t="n">
        <f aca="false">IF(A907&lt;$N$4/3,0.1,(IF(A907&gt;2*$N$4/3,0.05,0.12)))</f>
        <v>0.05</v>
      </c>
      <c r="C907" s="4" t="n">
        <f aca="true">RAND()</f>
        <v>0.885284654827627</v>
      </c>
      <c r="D907" s="0" t="n">
        <f aca="false">IF((C907&gt;$M$2),1,0)</f>
        <v>0</v>
      </c>
      <c r="E907" s="0" t="n">
        <f aca="false">1-D907</f>
        <v>1</v>
      </c>
      <c r="F907" s="0" t="n">
        <f aca="true">RAND()</f>
        <v>0.902624048634788</v>
      </c>
      <c r="G907" s="0" t="n">
        <f aca="false">7.75+F907*10</f>
        <v>16.7762404863479</v>
      </c>
      <c r="H907" s="0" t="n">
        <f aca="false">LOGINV(F907,2.64,1.139)</f>
        <v>61.3676904110363</v>
      </c>
      <c r="I907" s="0" t="n">
        <v>19.5</v>
      </c>
      <c r="J907" s="4" t="n">
        <f aca="true">-LN(RAND())/B907</f>
        <v>25.1572018837612</v>
      </c>
      <c r="K907" s="4" t="n">
        <f aca="false">K906+J907</f>
        <v>11108.1645342192</v>
      </c>
      <c r="L907" s="4" t="n">
        <f aca="false">(1/$J$4)*(1+AB906)</f>
        <v>10</v>
      </c>
      <c r="M907" s="4" t="n">
        <f aca="false">L907+MAX(K907,Y$10:Y906)</f>
        <v>11118.1645342192</v>
      </c>
      <c r="N907" s="4" t="n">
        <f aca="false">K907</f>
        <v>11108.1645342192</v>
      </c>
      <c r="O907" s="4" t="n">
        <f aca="false">M907-K907</f>
        <v>10</v>
      </c>
      <c r="P907" s="4" t="n">
        <f aca="false">N907-K907</f>
        <v>0</v>
      </c>
      <c r="Q907" s="4" t="n">
        <f aca="false">A907-MATCH(K907,$M$9:M906,1)</f>
        <v>0</v>
      </c>
      <c r="R907" s="0" t="n">
        <f aca="false">-G907*(O907/3600)</f>
        <v>-0.046600668017633</v>
      </c>
      <c r="S907" s="0" t="n">
        <f aca="false">-1*I907-(H907*(P907/3600))</f>
        <v>-19.5</v>
      </c>
      <c r="T907" s="0" t="n">
        <f aca="false">-H907*(O907/3600)</f>
        <v>-0.170465806697323</v>
      </c>
      <c r="U907" s="0" t="n">
        <f aca="false">T907-S907</f>
        <v>19.3295341933027</v>
      </c>
      <c r="V907" s="0" t="n">
        <f aca="false">1/(1+EXP(U907))</f>
        <v>4.02986001496208E-009</v>
      </c>
      <c r="W907" s="0" t="n">
        <f aca="true">RAND()</f>
        <v>0.271978703581888</v>
      </c>
      <c r="X907" s="0" t="n">
        <f aca="false">IF(W907&lt;V907,1,0)</f>
        <v>0</v>
      </c>
      <c r="Y907" s="0" t="n">
        <f aca="false">(M907*(1-X907)+N907*X907)*D907+M907*E907</f>
        <v>11118.1645342192</v>
      </c>
      <c r="Z907" s="0" t="n">
        <f aca="false">((1-X907)*O907+X907*P907)*D907+E907*O907</f>
        <v>10</v>
      </c>
      <c r="AA907" s="0" t="n">
        <f aca="false">IF(D907*X907&gt;0,AA906,Q907)</f>
        <v>0</v>
      </c>
      <c r="AB907" s="0" t="n">
        <f aca="false">(X907*D907)</f>
        <v>0</v>
      </c>
      <c r="AC907" s="0" t="n">
        <f aca="false">SUM(AB$10:AB906)/K907</f>
        <v>9.00238736039114E-005</v>
      </c>
      <c r="AD907" s="0" t="n">
        <f aca="false">R907*E907+D907*(X907*S907+(1-X907)*T907)</f>
        <v>-0.046600668017633</v>
      </c>
      <c r="AE907" s="0" t="n">
        <f aca="false">Z907</f>
        <v>10</v>
      </c>
      <c r="AF907" s="0" t="n">
        <f aca="false">E907*O907</f>
        <v>10</v>
      </c>
      <c r="AG907" s="0" t="n">
        <f aca="false">((1-X907)*O907+X907*P907)*D907</f>
        <v>0</v>
      </c>
      <c r="AH907" s="0" t="n">
        <f aca="false">D907*(LN(EXP(S907)+EXP(T907)))</f>
        <v>-0</v>
      </c>
      <c r="AJ907" s="0" t="n">
        <f aca="false">$J$5</f>
        <v>10</v>
      </c>
      <c r="AK907" s="4" t="n">
        <f aca="false">AJ907+MAX(K907,AK$10:AK906)</f>
        <v>11118.1645342192</v>
      </c>
      <c r="AL907" s="5" t="n">
        <f aca="false">AK907-K907</f>
        <v>10</v>
      </c>
      <c r="AM907" s="0" t="n">
        <f aca="false">-G907*AL907/3600</f>
        <v>-0.046600668017633</v>
      </c>
      <c r="AN907" s="0" t="n">
        <f aca="false">-H907*AL907/3600</f>
        <v>-0.170465806697323</v>
      </c>
      <c r="AO907" s="0" t="n">
        <f aca="false">AM907*E907+AN907*D907</f>
        <v>-0.046600668017633</v>
      </c>
      <c r="AP907" s="0" t="n">
        <f aca="false">AL907*D907</f>
        <v>0</v>
      </c>
      <c r="AR907" s="0" t="n">
        <f aca="false">AN907*D907</f>
        <v>-0</v>
      </c>
      <c r="AS907" s="0" t="n">
        <f aca="false">AH907-AR907</f>
        <v>0</v>
      </c>
    </row>
    <row r="908" customFormat="false" ht="12" hidden="false" customHeight="false" outlineLevel="0" collapsed="false">
      <c r="A908" s="3" t="n">
        <f aca="false">A907+1</f>
        <v>899</v>
      </c>
      <c r="B908" s="3" t="n">
        <f aca="false">IF(A908&lt;$N$4/3,0.1,(IF(A908&gt;2*$N$4/3,0.05,0.12)))</f>
        <v>0.05</v>
      </c>
      <c r="C908" s="4" t="n">
        <f aca="true">RAND()</f>
        <v>0.866381311996308</v>
      </c>
      <c r="D908" s="0" t="n">
        <f aca="false">IF((C908&gt;$M$2),1,0)</f>
        <v>0</v>
      </c>
      <c r="E908" s="0" t="n">
        <f aca="false">1-D908</f>
        <v>1</v>
      </c>
      <c r="F908" s="0" t="n">
        <f aca="true">RAND()</f>
        <v>0.393754913885929</v>
      </c>
      <c r="G908" s="0" t="n">
        <f aca="false">7.75+F908*10</f>
        <v>11.6875491388593</v>
      </c>
      <c r="H908" s="0" t="n">
        <f aca="false">LOGINV(F908,2.64,1.139)</f>
        <v>10.3086929923622</v>
      </c>
      <c r="I908" s="0" t="n">
        <v>19.5</v>
      </c>
      <c r="J908" s="4" t="n">
        <f aca="true">-LN(RAND())/B908</f>
        <v>0.844821222587779</v>
      </c>
      <c r="K908" s="4" t="n">
        <f aca="false">K907+J908</f>
        <v>11109.0093554418</v>
      </c>
      <c r="L908" s="4" t="n">
        <f aca="false">(1/$J$4)*(1+AB907)</f>
        <v>10</v>
      </c>
      <c r="M908" s="4" t="n">
        <f aca="false">L908+MAX(K908,Y$10:Y907)</f>
        <v>11128.1645342192</v>
      </c>
      <c r="N908" s="4" t="n">
        <f aca="false">K908</f>
        <v>11109.0093554418</v>
      </c>
      <c r="O908" s="4" t="n">
        <f aca="false">M908-K908</f>
        <v>19.1551787774115</v>
      </c>
      <c r="P908" s="4" t="n">
        <f aca="false">N908-K908</f>
        <v>0</v>
      </c>
      <c r="Q908" s="4" t="n">
        <f aca="false">A908-MATCH(K908,$M$9:M907,1)</f>
        <v>1</v>
      </c>
      <c r="R908" s="0" t="n">
        <f aca="false">-G908*(O908/3600)</f>
        <v>-0.0621880814512865</v>
      </c>
      <c r="S908" s="0" t="n">
        <f aca="false">-1*I908-(H908*(P908/3600))</f>
        <v>-19.5</v>
      </c>
      <c r="T908" s="0" t="n">
        <f aca="false">-H908*(O908/3600)</f>
        <v>-0.0548513492305965</v>
      </c>
      <c r="U908" s="0" t="n">
        <f aca="false">T908-S908</f>
        <v>19.4451486507694</v>
      </c>
      <c r="V908" s="0" t="n">
        <f aca="false">1/(1+EXP(U908))</f>
        <v>3.58987428071349E-009</v>
      </c>
      <c r="W908" s="0" t="n">
        <f aca="true">RAND()</f>
        <v>0.811782789375719</v>
      </c>
      <c r="X908" s="0" t="n">
        <f aca="false">IF(W908&lt;V908,1,0)</f>
        <v>0</v>
      </c>
      <c r="Y908" s="0" t="n">
        <f aca="false">(M908*(1-X908)+N908*X908)*D908+M908*E908</f>
        <v>11128.1645342192</v>
      </c>
      <c r="Z908" s="0" t="n">
        <f aca="false">((1-X908)*O908+X908*P908)*D908+E908*O908</f>
        <v>19.1551787774115</v>
      </c>
      <c r="AA908" s="0" t="n">
        <f aca="false">IF(D908*X908&gt;0,AA907,Q908)</f>
        <v>1</v>
      </c>
      <c r="AB908" s="0" t="n">
        <f aca="false">(X908*D908)</f>
        <v>0</v>
      </c>
      <c r="AC908" s="0" t="n">
        <f aca="false">SUM(AB$10:AB907)/K908</f>
        <v>9.00170274417986E-005</v>
      </c>
      <c r="AD908" s="0" t="n">
        <f aca="false">R908*E908+D908*(X908*S908+(1-X908)*T908)</f>
        <v>-0.0621880814512865</v>
      </c>
      <c r="AE908" s="0" t="n">
        <f aca="false">Z908</f>
        <v>19.1551787774115</v>
      </c>
      <c r="AF908" s="0" t="n">
        <f aca="false">E908*O908</f>
        <v>19.1551787774115</v>
      </c>
      <c r="AG908" s="0" t="n">
        <f aca="false">((1-X908)*O908+X908*P908)*D908</f>
        <v>0</v>
      </c>
      <c r="AH908" s="0" t="n">
        <f aca="false">D908*(LN(EXP(S908)+EXP(T908)))</f>
        <v>-0</v>
      </c>
      <c r="AJ908" s="0" t="n">
        <f aca="false">$J$5</f>
        <v>10</v>
      </c>
      <c r="AK908" s="4" t="n">
        <f aca="false">AJ908+MAX(K908,AK$10:AK907)</f>
        <v>11128.1645342192</v>
      </c>
      <c r="AL908" s="5" t="n">
        <f aca="false">AK908-K908</f>
        <v>19.1551787774115</v>
      </c>
      <c r="AM908" s="0" t="n">
        <f aca="false">-G908*AL908/3600</f>
        <v>-0.0621880814512865</v>
      </c>
      <c r="AN908" s="0" t="n">
        <f aca="false">-H908*AL908/3600</f>
        <v>-0.0548513492305965</v>
      </c>
      <c r="AO908" s="0" t="n">
        <f aca="false">AM908*E908+AN908*D908</f>
        <v>-0.0621880814512865</v>
      </c>
      <c r="AP908" s="0" t="n">
        <f aca="false">AL908*D908</f>
        <v>0</v>
      </c>
      <c r="AR908" s="0" t="n">
        <f aca="false">AN908*D908</f>
        <v>-0</v>
      </c>
      <c r="AS908" s="0" t="n">
        <f aca="false">AH908-AR908</f>
        <v>0</v>
      </c>
    </row>
    <row r="909" customFormat="false" ht="12" hidden="false" customHeight="false" outlineLevel="0" collapsed="false">
      <c r="A909" s="3" t="n">
        <f aca="false">A908+1</f>
        <v>900</v>
      </c>
      <c r="B909" s="3" t="n">
        <f aca="false">IF(A909&lt;$N$4/3,0.1,(IF(A909&gt;2*$N$4/3,0.05,0.12)))</f>
        <v>0.05</v>
      </c>
      <c r="C909" s="4" t="n">
        <f aca="true">RAND()</f>
        <v>0.851024021388753</v>
      </c>
      <c r="D909" s="0" t="n">
        <f aca="false">IF((C909&gt;$M$2),1,0)</f>
        <v>0</v>
      </c>
      <c r="E909" s="0" t="n">
        <f aca="false">1-D909</f>
        <v>1</v>
      </c>
      <c r="F909" s="0" t="n">
        <f aca="true">RAND()</f>
        <v>0.199154393799888</v>
      </c>
      <c r="G909" s="0" t="n">
        <f aca="false">7.75+F909*10</f>
        <v>9.74154393799888</v>
      </c>
      <c r="H909" s="0" t="n">
        <f aca="false">LOGINV(F909,2.64,1.139)</f>
        <v>5.35456118963905</v>
      </c>
      <c r="I909" s="0" t="n">
        <v>19.5</v>
      </c>
      <c r="J909" s="4" t="n">
        <f aca="true">-LN(RAND())/B909</f>
        <v>3.94484444160132</v>
      </c>
      <c r="K909" s="4" t="n">
        <f aca="false">K908+J909</f>
        <v>11112.9541998834</v>
      </c>
      <c r="L909" s="4" t="n">
        <f aca="false">(1/$J$4)*(1+AB908)</f>
        <v>10</v>
      </c>
      <c r="M909" s="4" t="n">
        <f aca="false">L909+MAX(K909,Y$10:Y908)</f>
        <v>11138.1645342192</v>
      </c>
      <c r="N909" s="4" t="n">
        <f aca="false">K909</f>
        <v>11112.9541998834</v>
      </c>
      <c r="O909" s="4" t="n">
        <f aca="false">M909-K909</f>
        <v>25.2103343358103</v>
      </c>
      <c r="P909" s="4" t="n">
        <f aca="false">N909-K909</f>
        <v>0</v>
      </c>
      <c r="Q909" s="4" t="n">
        <f aca="false">A909-MATCH(K909,$M$9:M908,1)</f>
        <v>2</v>
      </c>
      <c r="R909" s="0" t="n">
        <f aca="false">-G909*(O909/3600)</f>
        <v>-0.0682187721177606</v>
      </c>
      <c r="S909" s="0" t="n">
        <f aca="false">-1*I909-(H909*(P909/3600))</f>
        <v>-19.5</v>
      </c>
      <c r="T909" s="0" t="n">
        <f aca="false">-H909*(O909/3600)</f>
        <v>-0.0374972993923208</v>
      </c>
      <c r="U909" s="0" t="n">
        <f aca="false">T909-S909</f>
        <v>19.4625027006077</v>
      </c>
      <c r="V909" s="0" t="n">
        <f aca="false">1/(1+EXP(U909))</f>
        <v>3.52811287898766E-009</v>
      </c>
      <c r="W909" s="0" t="n">
        <f aca="true">RAND()</f>
        <v>0.408095196424144</v>
      </c>
      <c r="X909" s="0" t="n">
        <f aca="false">IF(W909&lt;V909,1,0)</f>
        <v>0</v>
      </c>
      <c r="Y909" s="0" t="n">
        <f aca="false">(M909*(1-X909)+N909*X909)*D909+M909*E909</f>
        <v>11138.1645342192</v>
      </c>
      <c r="Z909" s="0" t="n">
        <f aca="false">((1-X909)*O909+X909*P909)*D909+E909*O909</f>
        <v>25.2103343358103</v>
      </c>
      <c r="AA909" s="0" t="n">
        <f aca="false">IF(D909*X909&gt;0,AA908,Q909)</f>
        <v>2</v>
      </c>
      <c r="AB909" s="0" t="n">
        <f aca="false">(X909*D909)</f>
        <v>0</v>
      </c>
      <c r="AC909" s="0" t="n">
        <f aca="false">SUM(AB$10:AB908)/K909</f>
        <v>8.99850734569295E-005</v>
      </c>
      <c r="AD909" s="0" t="n">
        <f aca="false">R909*E909+D909*(X909*S909+(1-X909)*T909)</f>
        <v>-0.0682187721177606</v>
      </c>
      <c r="AE909" s="0" t="n">
        <f aca="false">Z909</f>
        <v>25.2103343358103</v>
      </c>
      <c r="AF909" s="0" t="n">
        <f aca="false">E909*O909</f>
        <v>25.2103343358103</v>
      </c>
      <c r="AG909" s="0" t="n">
        <f aca="false">((1-X909)*O909+X909*P909)*D909</f>
        <v>0</v>
      </c>
      <c r="AH909" s="0" t="n">
        <f aca="false">D909*(LN(EXP(S909)+EXP(T909)))</f>
        <v>-0</v>
      </c>
      <c r="AJ909" s="0" t="n">
        <f aca="false">$J$5</f>
        <v>10</v>
      </c>
      <c r="AK909" s="4" t="n">
        <f aca="false">AJ909+MAX(K909,AK$10:AK908)</f>
        <v>11138.1645342192</v>
      </c>
      <c r="AL909" s="5" t="n">
        <f aca="false">AK909-K909</f>
        <v>25.2103343358103</v>
      </c>
      <c r="AM909" s="0" t="n">
        <f aca="false">-G909*AL909/3600</f>
        <v>-0.0682187721177606</v>
      </c>
      <c r="AN909" s="0" t="n">
        <f aca="false">-H909*AL909/3600</f>
        <v>-0.0374972993923208</v>
      </c>
      <c r="AO909" s="0" t="n">
        <f aca="false">AM909*E909+AN909*D909</f>
        <v>-0.0682187721177606</v>
      </c>
      <c r="AP909" s="0" t="n">
        <f aca="false">AL909*D909</f>
        <v>0</v>
      </c>
      <c r="AR909" s="0" t="n">
        <f aca="false">AN909*D909</f>
        <v>-0</v>
      </c>
      <c r="AS909" s="0" t="n">
        <f aca="false">AH909-AR909</f>
        <v>0</v>
      </c>
    </row>
    <row r="910" customFormat="false" ht="12" hidden="false" customHeight="false" outlineLevel="0" collapsed="false">
      <c r="A910" s="3" t="n">
        <f aca="false">A909+1</f>
        <v>901</v>
      </c>
      <c r="B910" s="3" t="n">
        <f aca="false">IF(A910&lt;$N$4/3,0.1,(IF(A910&gt;2*$N$4/3,0.05,0.12)))</f>
        <v>0.05</v>
      </c>
      <c r="C910" s="4" t="n">
        <f aca="true">RAND()</f>
        <v>0.363792630976556</v>
      </c>
      <c r="D910" s="0" t="n">
        <f aca="false">IF((C910&gt;$M$2),1,0)</f>
        <v>0</v>
      </c>
      <c r="E910" s="0" t="n">
        <f aca="false">1-D910</f>
        <v>1</v>
      </c>
      <c r="F910" s="0" t="n">
        <f aca="true">RAND()</f>
        <v>0.0497896887472015</v>
      </c>
      <c r="G910" s="0" t="n">
        <f aca="false">7.75+F910*10</f>
        <v>8.24789688747202</v>
      </c>
      <c r="H910" s="0" t="n">
        <f aca="false">LOGINV(F910,2.64,1.139)</f>
        <v>2.14724408094797</v>
      </c>
      <c r="I910" s="0" t="n">
        <v>19.5</v>
      </c>
      <c r="J910" s="4" t="n">
        <f aca="true">-LN(RAND())/B910</f>
        <v>6.62406600089549</v>
      </c>
      <c r="K910" s="4" t="n">
        <f aca="false">K909+J910</f>
        <v>11119.5782658843</v>
      </c>
      <c r="L910" s="4" t="n">
        <f aca="false">(1/$J$4)*(1+AB909)</f>
        <v>10</v>
      </c>
      <c r="M910" s="4" t="n">
        <f aca="false">L910+MAX(K910,Y$10:Y909)</f>
        <v>11148.1645342192</v>
      </c>
      <c r="N910" s="4" t="n">
        <f aca="false">K910</f>
        <v>11119.5782658843</v>
      </c>
      <c r="O910" s="4" t="n">
        <f aca="false">M910-K910</f>
        <v>28.5862683349151</v>
      </c>
      <c r="P910" s="4" t="n">
        <f aca="false">N910-K910</f>
        <v>0</v>
      </c>
      <c r="Q910" s="4" t="n">
        <f aca="false">A910-MATCH(K910,$M$9:M909,1)</f>
        <v>2</v>
      </c>
      <c r="R910" s="0" t="n">
        <f aca="false">-G910*(O910/3600)</f>
        <v>-0.065493498228885</v>
      </c>
      <c r="S910" s="0" t="n">
        <f aca="false">-1*I910-(H910*(P910/3600))</f>
        <v>-19.5</v>
      </c>
      <c r="T910" s="0" t="n">
        <f aca="false">-H910*(O910/3600)</f>
        <v>-0.0170504709662602</v>
      </c>
      <c r="U910" s="0" t="n">
        <f aca="false">T910-S910</f>
        <v>19.4829495290337</v>
      </c>
      <c r="V910" s="0" t="n">
        <f aca="false">1/(1+EXP(U910))</f>
        <v>3.45670666358239E-009</v>
      </c>
      <c r="W910" s="0" t="n">
        <f aca="true">RAND()</f>
        <v>0.249234677017428</v>
      </c>
      <c r="X910" s="0" t="n">
        <f aca="false">IF(W910&lt;V910,1,0)</f>
        <v>0</v>
      </c>
      <c r="Y910" s="0" t="n">
        <f aca="false">(M910*(1-X910)+N910*X910)*D910+M910*E910</f>
        <v>11148.1645342192</v>
      </c>
      <c r="Z910" s="0" t="n">
        <f aca="false">((1-X910)*O910+X910*P910)*D910+E910*O910</f>
        <v>28.5862683349151</v>
      </c>
      <c r="AA910" s="0" t="n">
        <f aca="false">IF(D910*X910&gt;0,AA909,Q910)</f>
        <v>2</v>
      </c>
      <c r="AB910" s="0" t="n">
        <f aca="false">(X910*D910)</f>
        <v>0</v>
      </c>
      <c r="AC910" s="0" t="n">
        <f aca="false">SUM(AB$10:AB909)/K910</f>
        <v>8.99314682705258E-005</v>
      </c>
      <c r="AD910" s="0" t="n">
        <f aca="false">R910*E910+D910*(X910*S910+(1-X910)*T910)</f>
        <v>-0.065493498228885</v>
      </c>
      <c r="AE910" s="0" t="n">
        <f aca="false">Z910</f>
        <v>28.5862683349151</v>
      </c>
      <c r="AF910" s="0" t="n">
        <f aca="false">E910*O910</f>
        <v>28.5862683349151</v>
      </c>
      <c r="AG910" s="0" t="n">
        <f aca="false">((1-X910)*O910+X910*P910)*D910</f>
        <v>0</v>
      </c>
      <c r="AH910" s="0" t="n">
        <f aca="false">D910*(LN(EXP(S910)+EXP(T910)))</f>
        <v>-0</v>
      </c>
      <c r="AJ910" s="0" t="n">
        <f aca="false">$J$5</f>
        <v>10</v>
      </c>
      <c r="AK910" s="4" t="n">
        <f aca="false">AJ910+MAX(K910,AK$10:AK909)</f>
        <v>11148.1645342192</v>
      </c>
      <c r="AL910" s="5" t="n">
        <f aca="false">AK910-K910</f>
        <v>28.5862683349151</v>
      </c>
      <c r="AM910" s="0" t="n">
        <f aca="false">-G910*AL910/3600</f>
        <v>-0.065493498228885</v>
      </c>
      <c r="AN910" s="0" t="n">
        <f aca="false">-H910*AL910/3600</f>
        <v>-0.0170504709662602</v>
      </c>
      <c r="AO910" s="0" t="n">
        <f aca="false">AM910*E910+AN910*D910</f>
        <v>-0.065493498228885</v>
      </c>
      <c r="AP910" s="0" t="n">
        <f aca="false">AL910*D910</f>
        <v>0</v>
      </c>
      <c r="AR910" s="0" t="n">
        <f aca="false">AN910*D910</f>
        <v>-0</v>
      </c>
      <c r="AS910" s="0" t="n">
        <f aca="false">AH910-AR910</f>
        <v>0</v>
      </c>
    </row>
    <row r="911" customFormat="false" ht="12" hidden="false" customHeight="false" outlineLevel="0" collapsed="false">
      <c r="A911" s="3" t="n">
        <f aca="false">A910+1</f>
        <v>902</v>
      </c>
      <c r="B911" s="3" t="n">
        <f aca="false">IF(A911&lt;$N$4/3,0.1,(IF(A911&gt;2*$N$4/3,0.05,0.12)))</f>
        <v>0.05</v>
      </c>
      <c r="C911" s="4" t="n">
        <f aca="true">RAND()</f>
        <v>0.0434012743839129</v>
      </c>
      <c r="D911" s="0" t="n">
        <f aca="false">IF((C911&gt;$M$2),1,0)</f>
        <v>0</v>
      </c>
      <c r="E911" s="0" t="n">
        <f aca="false">1-D911</f>
        <v>1</v>
      </c>
      <c r="F911" s="0" t="n">
        <f aca="true">RAND()</f>
        <v>0.0511419921141075</v>
      </c>
      <c r="G911" s="0" t="n">
        <f aca="false">7.75+F911*10</f>
        <v>8.26141992114108</v>
      </c>
      <c r="H911" s="0" t="n">
        <f aca="false">LOGINV(F911,2.64,1.139)</f>
        <v>2.17931438115925</v>
      </c>
      <c r="I911" s="0" t="n">
        <v>19.5</v>
      </c>
      <c r="J911" s="4" t="n">
        <f aca="true">-LN(RAND())/B911</f>
        <v>30.5551029771772</v>
      </c>
      <c r="K911" s="4" t="n">
        <f aca="false">K910+J911</f>
        <v>11150.1333688615</v>
      </c>
      <c r="L911" s="4" t="n">
        <f aca="false">(1/$J$4)*(1+AB910)</f>
        <v>10</v>
      </c>
      <c r="M911" s="4" t="n">
        <f aca="false">L911+MAX(K911,Y$10:Y910)</f>
        <v>11160.1333688615</v>
      </c>
      <c r="N911" s="4" t="n">
        <f aca="false">K911</f>
        <v>11150.1333688615</v>
      </c>
      <c r="O911" s="4" t="n">
        <f aca="false">M911-K911</f>
        <v>10</v>
      </c>
      <c r="P911" s="4" t="n">
        <f aca="false">N911-K911</f>
        <v>0</v>
      </c>
      <c r="Q911" s="4" t="n">
        <f aca="false">A911-MATCH(K911,$M$9:M910,1)</f>
        <v>0</v>
      </c>
      <c r="R911" s="0" t="n">
        <f aca="false">-G911*(O911/3600)</f>
        <v>-0.0229483886698363</v>
      </c>
      <c r="S911" s="0" t="n">
        <f aca="false">-1*I911-(H911*(P911/3600))</f>
        <v>-19.5</v>
      </c>
      <c r="T911" s="0" t="n">
        <f aca="false">-H911*(O911/3600)</f>
        <v>-0.0060536510587757</v>
      </c>
      <c r="U911" s="0" t="n">
        <f aca="false">T911-S911</f>
        <v>19.4939463489412</v>
      </c>
      <c r="V911" s="0" t="n">
        <f aca="false">1/(1+EXP(U911))</f>
        <v>3.4189021288645E-009</v>
      </c>
      <c r="W911" s="0" t="n">
        <f aca="true">RAND()</f>
        <v>0.516555901827237</v>
      </c>
      <c r="X911" s="0" t="n">
        <f aca="false">IF(W911&lt;V911,1,0)</f>
        <v>0</v>
      </c>
      <c r="Y911" s="0" t="n">
        <f aca="false">(M911*(1-X911)+N911*X911)*D911+M911*E911</f>
        <v>11160.1333688615</v>
      </c>
      <c r="Z911" s="0" t="n">
        <f aca="false">((1-X911)*O911+X911*P911)*D911+E911*O911</f>
        <v>10</v>
      </c>
      <c r="AA911" s="0" t="n">
        <f aca="false">IF(D911*X911&gt;0,AA910,Q911)</f>
        <v>0</v>
      </c>
      <c r="AB911" s="0" t="n">
        <f aca="false">(X911*D911)</f>
        <v>0</v>
      </c>
      <c r="AC911" s="0" t="n">
        <f aca="false">SUM(AB$10:AB910)/K911</f>
        <v>8.96850259022606E-005</v>
      </c>
      <c r="AD911" s="0" t="n">
        <f aca="false">R911*E911+D911*(X911*S911+(1-X911)*T911)</f>
        <v>-0.0229483886698363</v>
      </c>
      <c r="AE911" s="0" t="n">
        <f aca="false">Z911</f>
        <v>10</v>
      </c>
      <c r="AF911" s="0" t="n">
        <f aca="false">E911*O911</f>
        <v>10</v>
      </c>
      <c r="AG911" s="0" t="n">
        <f aca="false">((1-X911)*O911+X911*P911)*D911</f>
        <v>0</v>
      </c>
      <c r="AH911" s="0" t="n">
        <f aca="false">D911*(LN(EXP(S911)+EXP(T911)))</f>
        <v>-0</v>
      </c>
      <c r="AJ911" s="0" t="n">
        <f aca="false">$J$5</f>
        <v>10</v>
      </c>
      <c r="AK911" s="4" t="n">
        <f aca="false">AJ911+MAX(K911,AK$10:AK910)</f>
        <v>11160.1333688615</v>
      </c>
      <c r="AL911" s="5" t="n">
        <f aca="false">AK911-K911</f>
        <v>10</v>
      </c>
      <c r="AM911" s="0" t="n">
        <f aca="false">-G911*AL911/3600</f>
        <v>-0.0229483886698363</v>
      </c>
      <c r="AN911" s="0" t="n">
        <f aca="false">-H911*AL911/3600</f>
        <v>-0.0060536510587757</v>
      </c>
      <c r="AO911" s="0" t="n">
        <f aca="false">AM911*E911+AN911*D911</f>
        <v>-0.0229483886698363</v>
      </c>
      <c r="AP911" s="0" t="n">
        <f aca="false">AL911*D911</f>
        <v>0</v>
      </c>
      <c r="AR911" s="0" t="n">
        <f aca="false">AN911*D911</f>
        <v>-0</v>
      </c>
      <c r="AS911" s="0" t="n">
        <f aca="false">AH911-AR911</f>
        <v>0</v>
      </c>
    </row>
    <row r="912" customFormat="false" ht="12" hidden="false" customHeight="false" outlineLevel="0" collapsed="false">
      <c r="A912" s="3" t="n">
        <f aca="false">A911+1</f>
        <v>903</v>
      </c>
      <c r="B912" s="3" t="n">
        <f aca="false">IF(A912&lt;$N$4/3,0.1,(IF(A912&gt;2*$N$4/3,0.05,0.12)))</f>
        <v>0.05</v>
      </c>
      <c r="C912" s="4" t="n">
        <f aca="true">RAND()</f>
        <v>0.758765282095919</v>
      </c>
      <c r="D912" s="0" t="n">
        <f aca="false">IF((C912&gt;$M$2),1,0)</f>
        <v>0</v>
      </c>
      <c r="E912" s="0" t="n">
        <f aca="false">1-D912</f>
        <v>1</v>
      </c>
      <c r="F912" s="0" t="n">
        <f aca="true">RAND()</f>
        <v>0.0109677753215278</v>
      </c>
      <c r="G912" s="0" t="n">
        <f aca="false">7.75+F912*10</f>
        <v>7.85967775321528</v>
      </c>
      <c r="H912" s="0" t="n">
        <f aca="false">LOGINV(F912,2.64,1.139)</f>
        <v>1.03045657419203</v>
      </c>
      <c r="I912" s="0" t="n">
        <v>19.5</v>
      </c>
      <c r="J912" s="4" t="n">
        <f aca="true">-LN(RAND())/B912</f>
        <v>5.78289006888874</v>
      </c>
      <c r="K912" s="4" t="n">
        <f aca="false">K911+J912</f>
        <v>11155.9162589303</v>
      </c>
      <c r="L912" s="4" t="n">
        <f aca="false">(1/$J$4)*(1+AB911)</f>
        <v>10</v>
      </c>
      <c r="M912" s="4" t="n">
        <f aca="false">L912+MAX(K912,Y$10:Y911)</f>
        <v>11170.1333688615</v>
      </c>
      <c r="N912" s="4" t="n">
        <f aca="false">K912</f>
        <v>11155.9162589303</v>
      </c>
      <c r="O912" s="4" t="n">
        <f aca="false">M912-K912</f>
        <v>14.2171099311108</v>
      </c>
      <c r="P912" s="4" t="n">
        <f aca="false">N912-K912</f>
        <v>0</v>
      </c>
      <c r="Q912" s="4" t="n">
        <f aca="false">A912-MATCH(K912,$M$9:M911,1)</f>
        <v>1</v>
      </c>
      <c r="R912" s="0" t="n">
        <f aca="false">-G912*(O912/3600)</f>
        <v>-0.0310394174001577</v>
      </c>
      <c r="S912" s="0" t="n">
        <f aca="false">-1*I912-(H912*(P912/3600))</f>
        <v>-19.5</v>
      </c>
      <c r="T912" s="0" t="n">
        <f aca="false">-H912*(O912/3600)</f>
        <v>-0.00406947622070108</v>
      </c>
      <c r="U912" s="0" t="n">
        <f aca="false">T912-S912</f>
        <v>19.4959305237793</v>
      </c>
      <c r="V912" s="0" t="n">
        <f aca="false">1/(1+EXP(U912))</f>
        <v>3.41212515488372E-009</v>
      </c>
      <c r="W912" s="0" t="n">
        <f aca="true">RAND()</f>
        <v>0.408426679055466</v>
      </c>
      <c r="X912" s="0" t="n">
        <f aca="false">IF(W912&lt;V912,1,0)</f>
        <v>0</v>
      </c>
      <c r="Y912" s="0" t="n">
        <f aca="false">(M912*(1-X912)+N912*X912)*D912+M912*E912</f>
        <v>11170.1333688615</v>
      </c>
      <c r="Z912" s="0" t="n">
        <f aca="false">((1-X912)*O912+X912*P912)*D912+E912*O912</f>
        <v>14.2171099311108</v>
      </c>
      <c r="AA912" s="0" t="n">
        <f aca="false">IF(D912*X912&gt;0,AA911,Q912)</f>
        <v>1</v>
      </c>
      <c r="AB912" s="0" t="n">
        <f aca="false">(X912*D912)</f>
        <v>0</v>
      </c>
      <c r="AC912" s="0" t="n">
        <f aca="false">SUM(AB$10:AB911)/K912</f>
        <v>8.96385358934096E-005</v>
      </c>
      <c r="AD912" s="0" t="n">
        <f aca="false">R912*E912+D912*(X912*S912+(1-X912)*T912)</f>
        <v>-0.0310394174001577</v>
      </c>
      <c r="AE912" s="0" t="n">
        <f aca="false">Z912</f>
        <v>14.2171099311108</v>
      </c>
      <c r="AF912" s="0" t="n">
        <f aca="false">E912*O912</f>
        <v>14.2171099311108</v>
      </c>
      <c r="AG912" s="0" t="n">
        <f aca="false">((1-X912)*O912+X912*P912)*D912</f>
        <v>0</v>
      </c>
      <c r="AH912" s="0" t="n">
        <f aca="false">D912*(LN(EXP(S912)+EXP(T912)))</f>
        <v>-0</v>
      </c>
      <c r="AJ912" s="0" t="n">
        <f aca="false">$J$5</f>
        <v>10</v>
      </c>
      <c r="AK912" s="4" t="n">
        <f aca="false">AJ912+MAX(K912,AK$10:AK911)</f>
        <v>11170.1333688615</v>
      </c>
      <c r="AL912" s="5" t="n">
        <f aca="false">AK912-K912</f>
        <v>14.2171099311108</v>
      </c>
      <c r="AM912" s="0" t="n">
        <f aca="false">-G912*AL912/3600</f>
        <v>-0.0310394174001577</v>
      </c>
      <c r="AN912" s="0" t="n">
        <f aca="false">-H912*AL912/3600</f>
        <v>-0.00406947622070108</v>
      </c>
      <c r="AO912" s="0" t="n">
        <f aca="false">AM912*E912+AN912*D912</f>
        <v>-0.0310394174001577</v>
      </c>
      <c r="AP912" s="0" t="n">
        <f aca="false">AL912*D912</f>
        <v>0</v>
      </c>
      <c r="AR912" s="0" t="n">
        <f aca="false">AN912*D912</f>
        <v>-0</v>
      </c>
      <c r="AS912" s="0" t="n">
        <f aca="false">AH912-AR912</f>
        <v>0</v>
      </c>
    </row>
    <row r="913" customFormat="false" ht="12" hidden="false" customHeight="false" outlineLevel="0" collapsed="false">
      <c r="A913" s="3" t="n">
        <f aca="false">A912+1</f>
        <v>904</v>
      </c>
      <c r="B913" s="3" t="n">
        <f aca="false">IF(A913&lt;$N$4/3,0.1,(IF(A913&gt;2*$N$4/3,0.05,0.12)))</f>
        <v>0.05</v>
      </c>
      <c r="C913" s="4" t="n">
        <f aca="true">RAND()</f>
        <v>0.326429168691238</v>
      </c>
      <c r="D913" s="0" t="n">
        <f aca="false">IF((C913&gt;$M$2),1,0)</f>
        <v>0</v>
      </c>
      <c r="E913" s="0" t="n">
        <f aca="false">1-D913</f>
        <v>1</v>
      </c>
      <c r="F913" s="0" t="n">
        <f aca="true">RAND()</f>
        <v>0.5216054756685</v>
      </c>
      <c r="G913" s="0" t="n">
        <f aca="false">7.75+F913*10</f>
        <v>12.966054756685</v>
      </c>
      <c r="H913" s="0" t="n">
        <f aca="false">LOGINV(F913,2.64,1.139)</f>
        <v>14.9052707049367</v>
      </c>
      <c r="I913" s="0" t="n">
        <v>19.5</v>
      </c>
      <c r="J913" s="4" t="n">
        <f aca="true">-LN(RAND())/B913</f>
        <v>2.58242711644464</v>
      </c>
      <c r="K913" s="4" t="n">
        <f aca="false">K912+J913</f>
        <v>11158.4986860468</v>
      </c>
      <c r="L913" s="4" t="n">
        <f aca="false">(1/$J$4)*(1+AB912)</f>
        <v>10</v>
      </c>
      <c r="M913" s="4" t="n">
        <f aca="false">L913+MAX(K913,Y$10:Y912)</f>
        <v>11180.1333688615</v>
      </c>
      <c r="N913" s="4" t="n">
        <f aca="false">K913</f>
        <v>11158.4986860468</v>
      </c>
      <c r="O913" s="4" t="n">
        <f aca="false">M913-K913</f>
        <v>21.634682814667</v>
      </c>
      <c r="P913" s="4" t="n">
        <f aca="false">N913-K913</f>
        <v>0</v>
      </c>
      <c r="Q913" s="4" t="n">
        <f aca="false">A913-MATCH(K913,$M$9:M912,1)</f>
        <v>2</v>
      </c>
      <c r="R913" s="0" t="n">
        <f aca="false">-G913*(O913/3600)</f>
        <v>-0.0779212450051347</v>
      </c>
      <c r="S913" s="0" t="n">
        <f aca="false">-1*I913-(H913*(P913/3600))</f>
        <v>-19.5</v>
      </c>
      <c r="T913" s="0" t="n">
        <f aca="false">-H913*(O913/3600)</f>
        <v>-0.0895752233244596</v>
      </c>
      <c r="U913" s="0" t="n">
        <f aca="false">T913-S913</f>
        <v>19.4104247766755</v>
      </c>
      <c r="V913" s="0" t="n">
        <f aca="false">1/(1+EXP(U913))</f>
        <v>3.7167181328813E-009</v>
      </c>
      <c r="W913" s="0" t="n">
        <f aca="true">RAND()</f>
        <v>0.580310796428368</v>
      </c>
      <c r="X913" s="0" t="n">
        <f aca="false">IF(W913&lt;V913,1,0)</f>
        <v>0</v>
      </c>
      <c r="Y913" s="0" t="n">
        <f aca="false">(M913*(1-X913)+N913*X913)*D913+M913*E913</f>
        <v>11180.1333688615</v>
      </c>
      <c r="Z913" s="0" t="n">
        <f aca="false">((1-X913)*O913+X913*P913)*D913+E913*O913</f>
        <v>21.634682814667</v>
      </c>
      <c r="AA913" s="0" t="n">
        <f aca="false">IF(D913*X913&gt;0,AA912,Q913)</f>
        <v>2</v>
      </c>
      <c r="AB913" s="0" t="n">
        <f aca="false">(X913*D913)</f>
        <v>0</v>
      </c>
      <c r="AC913" s="0" t="n">
        <f aca="false">SUM(AB$10:AB912)/K913</f>
        <v>8.96177907204E-005</v>
      </c>
      <c r="AD913" s="0" t="n">
        <f aca="false">R913*E913+D913*(X913*S913+(1-X913)*T913)</f>
        <v>-0.0779212450051347</v>
      </c>
      <c r="AE913" s="0" t="n">
        <f aca="false">Z913</f>
        <v>21.634682814667</v>
      </c>
      <c r="AF913" s="0" t="n">
        <f aca="false">E913*O913</f>
        <v>21.634682814667</v>
      </c>
      <c r="AG913" s="0" t="n">
        <f aca="false">((1-X913)*O913+X913*P913)*D913</f>
        <v>0</v>
      </c>
      <c r="AH913" s="0" t="n">
        <f aca="false">D913*(LN(EXP(S913)+EXP(T913)))</f>
        <v>-0</v>
      </c>
      <c r="AJ913" s="0" t="n">
        <f aca="false">$J$5</f>
        <v>10</v>
      </c>
      <c r="AK913" s="4" t="n">
        <f aca="false">AJ913+MAX(K913,AK$10:AK912)</f>
        <v>11180.1333688615</v>
      </c>
      <c r="AL913" s="5" t="n">
        <f aca="false">AK913-K913</f>
        <v>21.634682814667</v>
      </c>
      <c r="AM913" s="0" t="n">
        <f aca="false">-G913*AL913/3600</f>
        <v>-0.0779212450051346</v>
      </c>
      <c r="AN913" s="0" t="n">
        <f aca="false">-H913*AL913/3600</f>
        <v>-0.0895752233244596</v>
      </c>
      <c r="AO913" s="0" t="n">
        <f aca="false">AM913*E913+AN913*D913</f>
        <v>-0.0779212450051346</v>
      </c>
      <c r="AP913" s="0" t="n">
        <f aca="false">AL913*D913</f>
        <v>0</v>
      </c>
      <c r="AR913" s="0" t="n">
        <f aca="false">AN913*D913</f>
        <v>-0</v>
      </c>
      <c r="AS913" s="0" t="n">
        <f aca="false">AH913-AR913</f>
        <v>0</v>
      </c>
    </row>
    <row r="914" customFormat="false" ht="12" hidden="false" customHeight="false" outlineLevel="0" collapsed="false">
      <c r="A914" s="3" t="n">
        <f aca="false">A913+1</f>
        <v>905</v>
      </c>
      <c r="B914" s="3" t="n">
        <f aca="false">IF(A914&lt;$N$4/3,0.1,(IF(A914&gt;2*$N$4/3,0.05,0.12)))</f>
        <v>0.05</v>
      </c>
      <c r="C914" s="4" t="n">
        <f aca="true">RAND()</f>
        <v>0.100105876055969</v>
      </c>
      <c r="D914" s="0" t="n">
        <f aca="false">IF((C914&gt;$M$2),1,0)</f>
        <v>0</v>
      </c>
      <c r="E914" s="0" t="n">
        <f aca="false">1-D914</f>
        <v>1</v>
      </c>
      <c r="F914" s="0" t="n">
        <f aca="true">RAND()</f>
        <v>0.474549031160707</v>
      </c>
      <c r="G914" s="0" t="n">
        <f aca="false">7.75+F914*10</f>
        <v>12.4954903116071</v>
      </c>
      <c r="H914" s="0" t="n">
        <f aca="false">LOGINV(F914,2.64,1.139)</f>
        <v>13.0304230962822</v>
      </c>
      <c r="I914" s="0" t="n">
        <v>19.5</v>
      </c>
      <c r="J914" s="4" t="n">
        <f aca="true">-LN(RAND())/B914</f>
        <v>2.09284265854614</v>
      </c>
      <c r="K914" s="4" t="n">
        <f aca="false">K913+J914</f>
        <v>11160.5915287053</v>
      </c>
      <c r="L914" s="4" t="n">
        <f aca="false">(1/$J$4)*(1+AB913)</f>
        <v>10</v>
      </c>
      <c r="M914" s="4" t="n">
        <f aca="false">L914+MAX(K914,Y$10:Y913)</f>
        <v>11190.1333688615</v>
      </c>
      <c r="N914" s="4" t="n">
        <f aca="false">K914</f>
        <v>11160.5915287053</v>
      </c>
      <c r="O914" s="4" t="n">
        <f aca="false">M914-K914</f>
        <v>29.5418401561201</v>
      </c>
      <c r="P914" s="4" t="n">
        <f aca="false">N914-K914</f>
        <v>0</v>
      </c>
      <c r="Q914" s="4" t="n">
        <f aca="false">A914-MATCH(K914,$M$9:M913,1)</f>
        <v>2</v>
      </c>
      <c r="R914" s="0" t="n">
        <f aca="false">-G914*(O914/3600)</f>
        <v>-0.102538827071623</v>
      </c>
      <c r="S914" s="0" t="n">
        <f aca="false">-1*I914-(H914*(P914/3600))</f>
        <v>-19.5</v>
      </c>
      <c r="T914" s="0" t="n">
        <f aca="false">-H914*(O914/3600)</f>
        <v>-0.106928521188051</v>
      </c>
      <c r="U914" s="0" t="n">
        <f aca="false">T914-S914</f>
        <v>19.3930714788119</v>
      </c>
      <c r="V914" s="0" t="n">
        <f aca="false">1/(1+EXP(U914))</f>
        <v>3.78177832122531E-009</v>
      </c>
      <c r="W914" s="0" t="n">
        <f aca="true">RAND()</f>
        <v>0.707855615848913</v>
      </c>
      <c r="X914" s="0" t="n">
        <f aca="false">IF(W914&lt;V914,1,0)</f>
        <v>0</v>
      </c>
      <c r="Y914" s="0" t="n">
        <f aca="false">(M914*(1-X914)+N914*X914)*D914+M914*E914</f>
        <v>11190.1333688615</v>
      </c>
      <c r="Z914" s="0" t="n">
        <f aca="false">((1-X914)*O914+X914*P914)*D914+E914*O914</f>
        <v>29.5418401561201</v>
      </c>
      <c r="AA914" s="0" t="n">
        <f aca="false">IF(D914*X914&gt;0,AA913,Q914)</f>
        <v>2</v>
      </c>
      <c r="AB914" s="0" t="n">
        <f aca="false">(X914*D914)</f>
        <v>0</v>
      </c>
      <c r="AC914" s="0" t="n">
        <f aca="false">SUM(AB$10:AB913)/K914</f>
        <v>8.96009855237488E-005</v>
      </c>
      <c r="AD914" s="0" t="n">
        <f aca="false">R914*E914+D914*(X914*S914+(1-X914)*T914)</f>
        <v>-0.102538827071623</v>
      </c>
      <c r="AE914" s="0" t="n">
        <f aca="false">Z914</f>
        <v>29.5418401561201</v>
      </c>
      <c r="AF914" s="0" t="n">
        <f aca="false">E914*O914</f>
        <v>29.5418401561201</v>
      </c>
      <c r="AG914" s="0" t="n">
        <f aca="false">((1-X914)*O914+X914*P914)*D914</f>
        <v>0</v>
      </c>
      <c r="AH914" s="0" t="n">
        <f aca="false">D914*(LN(EXP(S914)+EXP(T914)))</f>
        <v>-0</v>
      </c>
      <c r="AJ914" s="0" t="n">
        <f aca="false">$J$5</f>
        <v>10</v>
      </c>
      <c r="AK914" s="4" t="n">
        <f aca="false">AJ914+MAX(K914,AK$10:AK913)</f>
        <v>11190.1333688615</v>
      </c>
      <c r="AL914" s="5" t="n">
        <f aca="false">AK914-K914</f>
        <v>29.5418401561201</v>
      </c>
      <c r="AM914" s="0" t="n">
        <f aca="false">-G914*AL914/3600</f>
        <v>-0.102538827071623</v>
      </c>
      <c r="AN914" s="0" t="n">
        <f aca="false">-H914*AL914/3600</f>
        <v>-0.106928521188051</v>
      </c>
      <c r="AO914" s="0" t="n">
        <f aca="false">AM914*E914+AN914*D914</f>
        <v>-0.102538827071623</v>
      </c>
      <c r="AP914" s="0" t="n">
        <f aca="false">AL914*D914</f>
        <v>0</v>
      </c>
      <c r="AR914" s="0" t="n">
        <f aca="false">AN914*D914</f>
        <v>-0</v>
      </c>
      <c r="AS914" s="0" t="n">
        <f aca="false">AH914-AR914</f>
        <v>0</v>
      </c>
    </row>
    <row r="915" customFormat="false" ht="12" hidden="false" customHeight="false" outlineLevel="0" collapsed="false">
      <c r="A915" s="3" t="n">
        <f aca="false">A914+1</f>
        <v>906</v>
      </c>
      <c r="B915" s="3" t="n">
        <f aca="false">IF(A915&lt;$N$4/3,0.1,(IF(A915&gt;2*$N$4/3,0.05,0.12)))</f>
        <v>0.05</v>
      </c>
      <c r="C915" s="4" t="n">
        <f aca="true">RAND()</f>
        <v>0.0985745782095239</v>
      </c>
      <c r="D915" s="0" t="n">
        <f aca="false">IF((C915&gt;$M$2),1,0)</f>
        <v>0</v>
      </c>
      <c r="E915" s="0" t="n">
        <f aca="false">1-D915</f>
        <v>1</v>
      </c>
      <c r="F915" s="0" t="n">
        <f aca="true">RAND()</f>
        <v>0.681435169997438</v>
      </c>
      <c r="G915" s="0" t="n">
        <f aca="false">7.75+F915*10</f>
        <v>14.5643516999744</v>
      </c>
      <c r="H915" s="0" t="n">
        <f aca="false">LOGINV(F915,2.64,1.139)</f>
        <v>23.9815382038046</v>
      </c>
      <c r="I915" s="0" t="n">
        <v>19.5</v>
      </c>
      <c r="J915" s="4" t="n">
        <f aca="true">-LN(RAND())/B915</f>
        <v>16.7778499455269</v>
      </c>
      <c r="K915" s="4" t="n">
        <f aca="false">K914+J915</f>
        <v>11177.3693786509</v>
      </c>
      <c r="L915" s="4" t="n">
        <f aca="false">(1/$J$4)*(1+AB914)</f>
        <v>10</v>
      </c>
      <c r="M915" s="4" t="n">
        <f aca="false">L915+MAX(K915,Y$10:Y914)</f>
        <v>11200.1333688615</v>
      </c>
      <c r="N915" s="4" t="n">
        <f aca="false">K915</f>
        <v>11177.3693786509</v>
      </c>
      <c r="O915" s="4" t="n">
        <f aca="false">M915-K915</f>
        <v>22.763990210593</v>
      </c>
      <c r="P915" s="4" t="n">
        <f aca="false">N915-K915</f>
        <v>0</v>
      </c>
      <c r="Q915" s="4" t="n">
        <f aca="false">A915-MATCH(K915,$M$9:M914,1)</f>
        <v>2</v>
      </c>
      <c r="R915" s="0" t="n">
        <f aca="false">-G915*(O915/3600)</f>
        <v>-0.0920952109782916</v>
      </c>
      <c r="S915" s="0" t="n">
        <f aca="false">-1*I915-(H915*(P915/3600))</f>
        <v>-19.5</v>
      </c>
      <c r="T915" s="0" t="n">
        <f aca="false">-H915*(O915/3600)</f>
        <v>-0.151643194696214</v>
      </c>
      <c r="U915" s="0" t="n">
        <f aca="false">T915-S915</f>
        <v>19.3483568053038</v>
      </c>
      <c r="V915" s="0" t="n">
        <f aca="false">1/(1+EXP(U915))</f>
        <v>3.95471693681212E-009</v>
      </c>
      <c r="W915" s="0" t="n">
        <f aca="true">RAND()</f>
        <v>0.400168812031761</v>
      </c>
      <c r="X915" s="0" t="n">
        <f aca="false">IF(W915&lt;V915,1,0)</f>
        <v>0</v>
      </c>
      <c r="Y915" s="0" t="n">
        <f aca="false">(M915*(1-X915)+N915*X915)*D915+M915*E915</f>
        <v>11200.1333688615</v>
      </c>
      <c r="Z915" s="0" t="n">
        <f aca="false">((1-X915)*O915+X915*P915)*D915+E915*O915</f>
        <v>22.763990210593</v>
      </c>
      <c r="AA915" s="0" t="n">
        <f aca="false">IF(D915*X915&gt;0,AA914,Q915)</f>
        <v>2</v>
      </c>
      <c r="AB915" s="0" t="n">
        <f aca="false">(X915*D915)</f>
        <v>0</v>
      </c>
      <c r="AC915" s="0" t="n">
        <f aca="false">SUM(AB$10:AB914)/K915</f>
        <v>8.94664894863394E-005</v>
      </c>
      <c r="AD915" s="0" t="n">
        <f aca="false">R915*E915+D915*(X915*S915+(1-X915)*T915)</f>
        <v>-0.0920952109782916</v>
      </c>
      <c r="AE915" s="0" t="n">
        <f aca="false">Z915</f>
        <v>22.763990210593</v>
      </c>
      <c r="AF915" s="0" t="n">
        <f aca="false">E915*O915</f>
        <v>22.763990210593</v>
      </c>
      <c r="AG915" s="0" t="n">
        <f aca="false">((1-X915)*O915+X915*P915)*D915</f>
        <v>0</v>
      </c>
      <c r="AH915" s="0" t="n">
        <f aca="false">D915*(LN(EXP(S915)+EXP(T915)))</f>
        <v>-0</v>
      </c>
      <c r="AJ915" s="0" t="n">
        <f aca="false">$J$5</f>
        <v>10</v>
      </c>
      <c r="AK915" s="4" t="n">
        <f aca="false">AJ915+MAX(K915,AK$10:AK914)</f>
        <v>11200.1333688615</v>
      </c>
      <c r="AL915" s="5" t="n">
        <f aca="false">AK915-K915</f>
        <v>22.763990210593</v>
      </c>
      <c r="AM915" s="0" t="n">
        <f aca="false">-G915*AL915/3600</f>
        <v>-0.0920952109782916</v>
      </c>
      <c r="AN915" s="0" t="n">
        <f aca="false">-H915*AL915/3600</f>
        <v>-0.151643194696214</v>
      </c>
      <c r="AO915" s="0" t="n">
        <f aca="false">AM915*E915+AN915*D915</f>
        <v>-0.0920952109782916</v>
      </c>
      <c r="AP915" s="0" t="n">
        <f aca="false">AL915*D915</f>
        <v>0</v>
      </c>
      <c r="AR915" s="0" t="n">
        <f aca="false">AN915*D915</f>
        <v>-0</v>
      </c>
      <c r="AS915" s="0" t="n">
        <f aca="false">AH915-AR915</f>
        <v>0</v>
      </c>
    </row>
    <row r="916" customFormat="false" ht="12" hidden="false" customHeight="false" outlineLevel="0" collapsed="false">
      <c r="A916" s="3" t="n">
        <f aca="false">A915+1</f>
        <v>907</v>
      </c>
      <c r="B916" s="3" t="n">
        <f aca="false">IF(A916&lt;$N$4/3,0.1,(IF(A916&gt;2*$N$4/3,0.05,0.12)))</f>
        <v>0.05</v>
      </c>
      <c r="C916" s="4" t="n">
        <f aca="true">RAND()</f>
        <v>0.663563119380625</v>
      </c>
      <c r="D916" s="0" t="n">
        <f aca="false">IF((C916&gt;$M$2),1,0)</f>
        <v>0</v>
      </c>
      <c r="E916" s="0" t="n">
        <f aca="false">1-D916</f>
        <v>1</v>
      </c>
      <c r="F916" s="0" t="n">
        <f aca="true">RAND()</f>
        <v>0.295145891522917</v>
      </c>
      <c r="G916" s="0" t="n">
        <f aca="false">7.75+F916*10</f>
        <v>10.7014589152292</v>
      </c>
      <c r="H916" s="0" t="n">
        <f aca="false">LOGINV(F916,2.64,1.139)</f>
        <v>7.58936034532286</v>
      </c>
      <c r="I916" s="0" t="n">
        <v>19.5</v>
      </c>
      <c r="J916" s="4" t="n">
        <f aca="true">-LN(RAND())/B916</f>
        <v>36.4416833548703</v>
      </c>
      <c r="K916" s="4" t="n">
        <f aca="false">K915+J916</f>
        <v>11213.8110620057</v>
      </c>
      <c r="L916" s="4" t="n">
        <f aca="false">(1/$J$4)*(1+AB915)</f>
        <v>10</v>
      </c>
      <c r="M916" s="4" t="n">
        <f aca="false">L916+MAX(K916,Y$10:Y915)</f>
        <v>11223.8110620057</v>
      </c>
      <c r="N916" s="4" t="n">
        <f aca="false">K916</f>
        <v>11213.8110620057</v>
      </c>
      <c r="O916" s="4" t="n">
        <f aca="false">M916-K916</f>
        <v>10</v>
      </c>
      <c r="P916" s="4" t="n">
        <f aca="false">N916-K916</f>
        <v>0</v>
      </c>
      <c r="Q916" s="4" t="n">
        <f aca="false">A916-MATCH(K916,$M$9:M915,1)</f>
        <v>0</v>
      </c>
      <c r="R916" s="0" t="n">
        <f aca="false">-G916*(O916/3600)</f>
        <v>-0.0297262747645255</v>
      </c>
      <c r="S916" s="0" t="n">
        <f aca="false">-1*I916-(H916*(P916/3600))</f>
        <v>-19.5</v>
      </c>
      <c r="T916" s="0" t="n">
        <f aca="false">-H916*(O916/3600)</f>
        <v>-0.0210815565147857</v>
      </c>
      <c r="U916" s="0" t="n">
        <f aca="false">T916-S916</f>
        <v>19.4789184434852</v>
      </c>
      <c r="V916" s="0" t="n">
        <f aca="false">1/(1+EXP(U916))</f>
        <v>3.47066906672484E-009</v>
      </c>
      <c r="W916" s="0" t="n">
        <f aca="true">RAND()</f>
        <v>0.361819033177048</v>
      </c>
      <c r="X916" s="0" t="n">
        <f aca="false">IF(W916&lt;V916,1,0)</f>
        <v>0</v>
      </c>
      <c r="Y916" s="0" t="n">
        <f aca="false">(M916*(1-X916)+N916*X916)*D916+M916*E916</f>
        <v>11223.8110620057</v>
      </c>
      <c r="Z916" s="0" t="n">
        <f aca="false">((1-X916)*O916+X916*P916)*D916+E916*O916</f>
        <v>10</v>
      </c>
      <c r="AA916" s="0" t="n">
        <f aca="false">IF(D916*X916&gt;0,AA915,Q916)</f>
        <v>0</v>
      </c>
      <c r="AB916" s="0" t="n">
        <f aca="false">(X916*D916)</f>
        <v>0</v>
      </c>
      <c r="AC916" s="0" t="n">
        <f aca="false">SUM(AB$10:AB915)/K916</f>
        <v>8.91757489465974E-005</v>
      </c>
      <c r="AD916" s="0" t="n">
        <f aca="false">R916*E916+D916*(X916*S916+(1-X916)*T916)</f>
        <v>-0.0297262747645255</v>
      </c>
      <c r="AE916" s="0" t="n">
        <f aca="false">Z916</f>
        <v>10</v>
      </c>
      <c r="AF916" s="0" t="n">
        <f aca="false">E916*O916</f>
        <v>10</v>
      </c>
      <c r="AG916" s="0" t="n">
        <f aca="false">((1-X916)*O916+X916*P916)*D916</f>
        <v>0</v>
      </c>
      <c r="AH916" s="0" t="n">
        <f aca="false">D916*(LN(EXP(S916)+EXP(T916)))</f>
        <v>-0</v>
      </c>
      <c r="AJ916" s="0" t="n">
        <f aca="false">$J$5</f>
        <v>10</v>
      </c>
      <c r="AK916" s="4" t="n">
        <f aca="false">AJ916+MAX(K916,AK$10:AK915)</f>
        <v>11223.8110620057</v>
      </c>
      <c r="AL916" s="5" t="n">
        <f aca="false">AK916-K916</f>
        <v>10</v>
      </c>
      <c r="AM916" s="0" t="n">
        <f aca="false">-G916*AL916/3600</f>
        <v>-0.0297262747645255</v>
      </c>
      <c r="AN916" s="0" t="n">
        <f aca="false">-H916*AL916/3600</f>
        <v>-0.0210815565147857</v>
      </c>
      <c r="AO916" s="0" t="n">
        <f aca="false">AM916*E916+AN916*D916</f>
        <v>-0.0297262747645255</v>
      </c>
      <c r="AP916" s="0" t="n">
        <f aca="false">AL916*D916</f>
        <v>0</v>
      </c>
      <c r="AR916" s="0" t="n">
        <f aca="false">AN916*D916</f>
        <v>-0</v>
      </c>
      <c r="AS916" s="0" t="n">
        <f aca="false">AH916-AR916</f>
        <v>0</v>
      </c>
    </row>
    <row r="917" customFormat="false" ht="12" hidden="false" customHeight="false" outlineLevel="0" collapsed="false">
      <c r="A917" s="3" t="n">
        <f aca="false">A916+1</f>
        <v>908</v>
      </c>
      <c r="B917" s="3" t="n">
        <f aca="false">IF(A917&lt;$N$4/3,0.1,(IF(A917&gt;2*$N$4/3,0.05,0.12)))</f>
        <v>0.05</v>
      </c>
      <c r="C917" s="4" t="n">
        <f aca="true">RAND()</f>
        <v>0.822024031508645</v>
      </c>
      <c r="D917" s="0" t="n">
        <f aca="false">IF((C917&gt;$M$2),1,0)</f>
        <v>0</v>
      </c>
      <c r="E917" s="0" t="n">
        <f aca="false">1-D917</f>
        <v>1</v>
      </c>
      <c r="F917" s="0" t="n">
        <f aca="true">RAND()</f>
        <v>0.397978010505543</v>
      </c>
      <c r="G917" s="0" t="n">
        <f aca="false">7.75+F917*10</f>
        <v>11.7297801050554</v>
      </c>
      <c r="H917" s="0" t="n">
        <f aca="false">LOGINV(F917,2.64,1.139)</f>
        <v>10.4382037816021</v>
      </c>
      <c r="I917" s="0" t="n">
        <v>19.5</v>
      </c>
      <c r="J917" s="4" t="n">
        <f aca="true">-LN(RAND())/B917</f>
        <v>8.15788551440925</v>
      </c>
      <c r="K917" s="4" t="n">
        <f aca="false">K916+J917</f>
        <v>11221.9689475201</v>
      </c>
      <c r="L917" s="4" t="n">
        <f aca="false">(1/$J$4)*(1+AB916)</f>
        <v>10</v>
      </c>
      <c r="M917" s="4" t="n">
        <f aca="false">L917+MAX(K917,Y$10:Y916)</f>
        <v>11233.8110620057</v>
      </c>
      <c r="N917" s="4" t="n">
        <f aca="false">K917</f>
        <v>11221.9689475201</v>
      </c>
      <c r="O917" s="4" t="n">
        <f aca="false">M917-K917</f>
        <v>11.8421144855911</v>
      </c>
      <c r="P917" s="4" t="n">
        <f aca="false">N917-K917</f>
        <v>0</v>
      </c>
      <c r="Q917" s="4" t="n">
        <f aca="false">A917-MATCH(K917,$M$9:M916,1)</f>
        <v>1</v>
      </c>
      <c r="R917" s="0" t="n">
        <f aca="false">-G917*(O917/3600)</f>
        <v>-0.0385848330263542</v>
      </c>
      <c r="S917" s="0" t="n">
        <f aca="false">-1*I917-(H917*(P917/3600))</f>
        <v>-19.5</v>
      </c>
      <c r="T917" s="0" t="n">
        <f aca="false">-H917*(O917/3600)</f>
        <v>-0.0343362233904616</v>
      </c>
      <c r="U917" s="0" t="n">
        <f aca="false">T917-S917</f>
        <v>19.4656637766095</v>
      </c>
      <c r="V917" s="0" t="n">
        <f aca="false">1/(1+EXP(U917))</f>
        <v>3.51697785467447E-009</v>
      </c>
      <c r="W917" s="0" t="n">
        <f aca="true">RAND()</f>
        <v>0.125875753704127</v>
      </c>
      <c r="X917" s="0" t="n">
        <f aca="false">IF(W917&lt;V917,1,0)</f>
        <v>0</v>
      </c>
      <c r="Y917" s="0" t="n">
        <f aca="false">(M917*(1-X917)+N917*X917)*D917+M917*E917</f>
        <v>11233.8110620057</v>
      </c>
      <c r="Z917" s="0" t="n">
        <f aca="false">((1-X917)*O917+X917*P917)*D917+E917*O917</f>
        <v>11.8421144855911</v>
      </c>
      <c r="AA917" s="0" t="n">
        <f aca="false">IF(D917*X917&gt;0,AA916,Q917)</f>
        <v>1</v>
      </c>
      <c r="AB917" s="0" t="n">
        <f aca="false">(X917*D917)</f>
        <v>0</v>
      </c>
      <c r="AC917" s="0" t="n">
        <f aca="false">SUM(AB$10:AB916)/K917</f>
        <v>8.91109220384166E-005</v>
      </c>
      <c r="AD917" s="0" t="n">
        <f aca="false">R917*E917+D917*(X917*S917+(1-X917)*T917)</f>
        <v>-0.0385848330263542</v>
      </c>
      <c r="AE917" s="0" t="n">
        <f aca="false">Z917</f>
        <v>11.8421144855911</v>
      </c>
      <c r="AF917" s="0" t="n">
        <f aca="false">E917*O917</f>
        <v>11.8421144855911</v>
      </c>
      <c r="AG917" s="0" t="n">
        <f aca="false">((1-X917)*O917+X917*P917)*D917</f>
        <v>0</v>
      </c>
      <c r="AH917" s="0" t="n">
        <f aca="false">D917*(LN(EXP(S917)+EXP(T917)))</f>
        <v>-0</v>
      </c>
      <c r="AJ917" s="0" t="n">
        <f aca="false">$J$5</f>
        <v>10</v>
      </c>
      <c r="AK917" s="4" t="n">
        <f aca="false">AJ917+MAX(K917,AK$10:AK916)</f>
        <v>11233.8110620057</v>
      </c>
      <c r="AL917" s="5" t="n">
        <f aca="false">AK917-K917</f>
        <v>11.8421144855911</v>
      </c>
      <c r="AM917" s="0" t="n">
        <f aca="false">-G917*AL917/3600</f>
        <v>-0.0385848330263542</v>
      </c>
      <c r="AN917" s="0" t="n">
        <f aca="false">-H917*AL917/3600</f>
        <v>-0.0343362233904616</v>
      </c>
      <c r="AO917" s="0" t="n">
        <f aca="false">AM917*E917+AN917*D917</f>
        <v>-0.0385848330263542</v>
      </c>
      <c r="AP917" s="0" t="n">
        <f aca="false">AL917*D917</f>
        <v>0</v>
      </c>
      <c r="AR917" s="0" t="n">
        <f aca="false">AN917*D917</f>
        <v>-0</v>
      </c>
      <c r="AS917" s="0" t="n">
        <f aca="false">AH917-AR917</f>
        <v>0</v>
      </c>
    </row>
    <row r="918" customFormat="false" ht="12" hidden="false" customHeight="false" outlineLevel="0" collapsed="false">
      <c r="A918" s="3" t="n">
        <f aca="false">A917+1</f>
        <v>909</v>
      </c>
      <c r="B918" s="3" t="n">
        <f aca="false">IF(A918&lt;$N$4/3,0.1,(IF(A918&gt;2*$N$4/3,0.05,0.12)))</f>
        <v>0.05</v>
      </c>
      <c r="C918" s="4" t="n">
        <f aca="true">RAND()</f>
        <v>0.57502343892798</v>
      </c>
      <c r="D918" s="0" t="n">
        <f aca="false">IF((C918&gt;$M$2),1,0)</f>
        <v>0</v>
      </c>
      <c r="E918" s="0" t="n">
        <f aca="false">1-D918</f>
        <v>1</v>
      </c>
      <c r="F918" s="0" t="n">
        <f aca="true">RAND()</f>
        <v>0.331106669317156</v>
      </c>
      <c r="G918" s="0" t="n">
        <f aca="false">7.75+F918*10</f>
        <v>11.0610666931716</v>
      </c>
      <c r="H918" s="0" t="n">
        <f aca="false">LOGINV(F918,2.64,1.139)</f>
        <v>8.52000711994012</v>
      </c>
      <c r="I918" s="0" t="n">
        <v>19.5</v>
      </c>
      <c r="J918" s="4" t="n">
        <f aca="true">-LN(RAND())/B918</f>
        <v>1.70675664577554</v>
      </c>
      <c r="K918" s="4" t="n">
        <f aca="false">K917+J918</f>
        <v>11223.6757041659</v>
      </c>
      <c r="L918" s="4" t="n">
        <f aca="false">(1/$J$4)*(1+AB917)</f>
        <v>10</v>
      </c>
      <c r="M918" s="4" t="n">
        <f aca="false">L918+MAX(K918,Y$10:Y917)</f>
        <v>11243.8110620057</v>
      </c>
      <c r="N918" s="4" t="n">
        <f aca="false">K918</f>
        <v>11223.6757041659</v>
      </c>
      <c r="O918" s="4" t="n">
        <f aca="false">M918-K918</f>
        <v>20.1353578398157</v>
      </c>
      <c r="P918" s="4" t="n">
        <f aca="false">N918-K918</f>
        <v>0</v>
      </c>
      <c r="Q918" s="4" t="n">
        <f aca="false">A918-MATCH(K918,$M$9:M917,1)</f>
        <v>2</v>
      </c>
      <c r="R918" s="0" t="n">
        <f aca="false">-G918*(O918/3600)</f>
        <v>-0.0618662599880767</v>
      </c>
      <c r="S918" s="0" t="n">
        <f aca="false">-1*I918-(H918*(P918/3600))</f>
        <v>-19.5</v>
      </c>
      <c r="T918" s="0" t="n">
        <f aca="false">-H918*(O918/3600)</f>
        <v>-0.0476537200438255</v>
      </c>
      <c r="U918" s="0" t="n">
        <f aca="false">T918-S918</f>
        <v>19.4523462799562</v>
      </c>
      <c r="V918" s="0" t="n">
        <f aca="false">1/(1+EXP(U918))</f>
        <v>3.56412846248086E-009</v>
      </c>
      <c r="W918" s="0" t="n">
        <f aca="true">RAND()</f>
        <v>0.130084849450547</v>
      </c>
      <c r="X918" s="0" t="n">
        <f aca="false">IF(W918&lt;V918,1,0)</f>
        <v>0</v>
      </c>
      <c r="Y918" s="0" t="n">
        <f aca="false">(M918*(1-X918)+N918*X918)*D918+M918*E918</f>
        <v>11243.8110620057</v>
      </c>
      <c r="Z918" s="0" t="n">
        <f aca="false">((1-X918)*O918+X918*P918)*D918+E918*O918</f>
        <v>20.1353578398157</v>
      </c>
      <c r="AA918" s="0" t="n">
        <f aca="false">IF(D918*X918&gt;0,AA917,Q918)</f>
        <v>2</v>
      </c>
      <c r="AB918" s="0" t="n">
        <f aca="false">(X918*D918)</f>
        <v>0</v>
      </c>
      <c r="AC918" s="0" t="n">
        <f aca="false">SUM(AB$10:AB917)/K918</f>
        <v>8.90973711605751E-005</v>
      </c>
      <c r="AD918" s="0" t="n">
        <f aca="false">R918*E918+D918*(X918*S918+(1-X918)*T918)</f>
        <v>-0.0618662599880767</v>
      </c>
      <c r="AE918" s="0" t="n">
        <f aca="false">Z918</f>
        <v>20.1353578398157</v>
      </c>
      <c r="AF918" s="0" t="n">
        <f aca="false">E918*O918</f>
        <v>20.1353578398157</v>
      </c>
      <c r="AG918" s="0" t="n">
        <f aca="false">((1-X918)*O918+X918*P918)*D918</f>
        <v>0</v>
      </c>
      <c r="AH918" s="0" t="n">
        <f aca="false">D918*(LN(EXP(S918)+EXP(T918)))</f>
        <v>-0</v>
      </c>
      <c r="AJ918" s="0" t="n">
        <f aca="false">$J$5</f>
        <v>10</v>
      </c>
      <c r="AK918" s="4" t="n">
        <f aca="false">AJ918+MAX(K918,AK$10:AK917)</f>
        <v>11243.8110620057</v>
      </c>
      <c r="AL918" s="5" t="n">
        <f aca="false">AK918-K918</f>
        <v>20.1353578398157</v>
      </c>
      <c r="AM918" s="0" t="n">
        <f aca="false">-G918*AL918/3600</f>
        <v>-0.0618662599880767</v>
      </c>
      <c r="AN918" s="0" t="n">
        <f aca="false">-H918*AL918/3600</f>
        <v>-0.0476537200438255</v>
      </c>
      <c r="AO918" s="0" t="n">
        <f aca="false">AM918*E918+AN918*D918</f>
        <v>-0.0618662599880767</v>
      </c>
      <c r="AP918" s="0" t="n">
        <f aca="false">AL918*D918</f>
        <v>0</v>
      </c>
      <c r="AR918" s="0" t="n">
        <f aca="false">AN918*D918</f>
        <v>-0</v>
      </c>
      <c r="AS918" s="0" t="n">
        <f aca="false">AH918-AR918</f>
        <v>0</v>
      </c>
    </row>
    <row r="919" customFormat="false" ht="12" hidden="false" customHeight="false" outlineLevel="0" collapsed="false">
      <c r="A919" s="3" t="n">
        <f aca="false">A918+1</f>
        <v>910</v>
      </c>
      <c r="B919" s="3" t="n">
        <f aca="false">IF(A919&lt;$N$4/3,0.1,(IF(A919&gt;2*$N$4/3,0.05,0.12)))</f>
        <v>0.05</v>
      </c>
      <c r="C919" s="4" t="n">
        <f aca="true">RAND()</f>
        <v>0.412183832850285</v>
      </c>
      <c r="D919" s="0" t="n">
        <f aca="false">IF((C919&gt;$M$2),1,0)</f>
        <v>0</v>
      </c>
      <c r="E919" s="0" t="n">
        <f aca="false">1-D919</f>
        <v>1</v>
      </c>
      <c r="F919" s="0" t="n">
        <f aca="true">RAND()</f>
        <v>0.110456515680293</v>
      </c>
      <c r="G919" s="0" t="n">
        <f aca="false">7.75+F919*10</f>
        <v>8.85456515680293</v>
      </c>
      <c r="H919" s="0" t="n">
        <f aca="false">LOGINV(F919,2.64,1.139)</f>
        <v>3.47552534803879</v>
      </c>
      <c r="I919" s="0" t="n">
        <v>19.5</v>
      </c>
      <c r="J919" s="4" t="n">
        <f aca="true">-LN(RAND())/B919</f>
        <v>2.51208323170576</v>
      </c>
      <c r="K919" s="4" t="n">
        <f aca="false">K918+J919</f>
        <v>11226.1877873976</v>
      </c>
      <c r="L919" s="4" t="n">
        <f aca="false">(1/$J$4)*(1+AB918)</f>
        <v>10</v>
      </c>
      <c r="M919" s="4" t="n">
        <f aca="false">L919+MAX(K919,Y$10:Y918)</f>
        <v>11253.8110620057</v>
      </c>
      <c r="N919" s="4" t="n">
        <f aca="false">K919</f>
        <v>11226.1877873976</v>
      </c>
      <c r="O919" s="4" t="n">
        <f aca="false">M919-K919</f>
        <v>27.6232746081096</v>
      </c>
      <c r="P919" s="4" t="n">
        <f aca="false">N919-K919</f>
        <v>0</v>
      </c>
      <c r="Q919" s="4" t="n">
        <f aca="false">A919-MATCH(K919,$M$9:M918,1)</f>
        <v>2</v>
      </c>
      <c r="R919" s="0" t="n">
        <f aca="false">-G919*(O919/3600)</f>
        <v>-0.067942245794935</v>
      </c>
      <c r="S919" s="0" t="n">
        <f aca="false">-1*I919-(H919*(P919/3600))</f>
        <v>-19.5</v>
      </c>
      <c r="T919" s="0" t="n">
        <f aca="false">-H919*(O919/3600)</f>
        <v>-0.0266681641934225</v>
      </c>
      <c r="U919" s="0" t="n">
        <f aca="false">T919-S919</f>
        <v>19.4733318358066</v>
      </c>
      <c r="V919" s="0" t="n">
        <f aca="false">1/(1+EXP(U919))</f>
        <v>3.49011259422572E-009</v>
      </c>
      <c r="W919" s="0" t="n">
        <f aca="true">RAND()</f>
        <v>0.157745860755453</v>
      </c>
      <c r="X919" s="0" t="n">
        <f aca="false">IF(W919&lt;V919,1,0)</f>
        <v>0</v>
      </c>
      <c r="Y919" s="0" t="n">
        <f aca="false">(M919*(1-X919)+N919*X919)*D919+M919*E919</f>
        <v>11253.8110620057</v>
      </c>
      <c r="Z919" s="0" t="n">
        <f aca="false">((1-X919)*O919+X919*P919)*D919+E919*O919</f>
        <v>27.6232746081096</v>
      </c>
      <c r="AA919" s="0" t="n">
        <f aca="false">IF(D919*X919&gt;0,AA918,Q919)</f>
        <v>2</v>
      </c>
      <c r="AB919" s="0" t="n">
        <f aca="false">(X919*D919)</f>
        <v>0</v>
      </c>
      <c r="AC919" s="0" t="n">
        <f aca="false">SUM(AB$10:AB918)/K919</f>
        <v>8.9077433848255E-005</v>
      </c>
      <c r="AD919" s="0" t="n">
        <f aca="false">R919*E919+D919*(X919*S919+(1-X919)*T919)</f>
        <v>-0.067942245794935</v>
      </c>
      <c r="AE919" s="0" t="n">
        <f aca="false">Z919</f>
        <v>27.6232746081096</v>
      </c>
      <c r="AF919" s="0" t="n">
        <f aca="false">E919*O919</f>
        <v>27.6232746081096</v>
      </c>
      <c r="AG919" s="0" t="n">
        <f aca="false">((1-X919)*O919+X919*P919)*D919</f>
        <v>0</v>
      </c>
      <c r="AH919" s="0" t="n">
        <f aca="false">D919*(LN(EXP(S919)+EXP(T919)))</f>
        <v>-0</v>
      </c>
      <c r="AJ919" s="0" t="n">
        <f aca="false">$J$5</f>
        <v>10</v>
      </c>
      <c r="AK919" s="4" t="n">
        <f aca="false">AJ919+MAX(K919,AK$10:AK918)</f>
        <v>11253.8110620057</v>
      </c>
      <c r="AL919" s="5" t="n">
        <f aca="false">AK919-K919</f>
        <v>27.6232746081096</v>
      </c>
      <c r="AM919" s="0" t="n">
        <f aca="false">-G919*AL919/3600</f>
        <v>-0.067942245794935</v>
      </c>
      <c r="AN919" s="0" t="n">
        <f aca="false">-H919*AL919/3600</f>
        <v>-0.0266681641934225</v>
      </c>
      <c r="AO919" s="0" t="n">
        <f aca="false">AM919*E919+AN919*D919</f>
        <v>-0.067942245794935</v>
      </c>
      <c r="AP919" s="0" t="n">
        <f aca="false">AL919*D919</f>
        <v>0</v>
      </c>
      <c r="AR919" s="0" t="n">
        <f aca="false">AN919*D919</f>
        <v>-0</v>
      </c>
      <c r="AS919" s="0" t="n">
        <f aca="false">AH919-AR919</f>
        <v>0</v>
      </c>
    </row>
    <row r="920" customFormat="false" ht="12" hidden="false" customHeight="false" outlineLevel="0" collapsed="false">
      <c r="A920" s="3" t="n">
        <f aca="false">A919+1</f>
        <v>911</v>
      </c>
      <c r="B920" s="3" t="n">
        <f aca="false">IF(A920&lt;$N$4/3,0.1,(IF(A920&gt;2*$N$4/3,0.05,0.12)))</f>
        <v>0.05</v>
      </c>
      <c r="C920" s="4" t="n">
        <f aca="true">RAND()</f>
        <v>0.68385163973888</v>
      </c>
      <c r="D920" s="0" t="n">
        <f aca="false">IF((C920&gt;$M$2),1,0)</f>
        <v>0</v>
      </c>
      <c r="E920" s="0" t="n">
        <f aca="false">1-D920</f>
        <v>1</v>
      </c>
      <c r="F920" s="0" t="n">
        <f aca="true">RAND()</f>
        <v>0.275284209899152</v>
      </c>
      <c r="G920" s="0" t="n">
        <f aca="false">7.75+F920*10</f>
        <v>10.5028420989915</v>
      </c>
      <c r="H920" s="0" t="n">
        <f aca="false">LOGINV(F920,2.64,1.139)</f>
        <v>7.10018705522536</v>
      </c>
      <c r="I920" s="0" t="n">
        <v>19.5</v>
      </c>
      <c r="J920" s="4" t="n">
        <f aca="true">-LN(RAND())/B920</f>
        <v>2.54695910073829</v>
      </c>
      <c r="K920" s="4" t="n">
        <f aca="false">K919+J920</f>
        <v>11228.7347464984</v>
      </c>
      <c r="L920" s="4" t="n">
        <f aca="false">(1/$J$4)*(1+AB919)</f>
        <v>10</v>
      </c>
      <c r="M920" s="4" t="n">
        <f aca="false">L920+MAX(K920,Y$10:Y919)</f>
        <v>11263.8110620057</v>
      </c>
      <c r="N920" s="4" t="n">
        <f aca="false">K920</f>
        <v>11228.7347464984</v>
      </c>
      <c r="O920" s="4" t="n">
        <f aca="false">M920-K920</f>
        <v>35.076315507371</v>
      </c>
      <c r="P920" s="4" t="n">
        <f aca="false">N920-K920</f>
        <v>0</v>
      </c>
      <c r="Q920" s="4" t="n">
        <f aca="false">A920-MATCH(K920,$M$9:M919,1)</f>
        <v>3</v>
      </c>
      <c r="R920" s="0" t="n">
        <f aca="false">-G920*(O920/3600)</f>
        <v>-0.102333611996757</v>
      </c>
      <c r="S920" s="0" t="n">
        <f aca="false">-1*I920-(H920*(P920/3600))</f>
        <v>-19.5</v>
      </c>
      <c r="T920" s="0" t="n">
        <f aca="false">-H920*(O920/3600)</f>
        <v>-0.0691801114751211</v>
      </c>
      <c r="U920" s="0" t="n">
        <f aca="false">T920-S920</f>
        <v>19.4308198885249</v>
      </c>
      <c r="V920" s="0" t="n">
        <f aca="false">1/(1+EXP(U920))</f>
        <v>3.64168302676821E-009</v>
      </c>
      <c r="W920" s="0" t="n">
        <f aca="true">RAND()</f>
        <v>0.00566897202060154</v>
      </c>
      <c r="X920" s="0" t="n">
        <f aca="false">IF(W920&lt;V920,1,0)</f>
        <v>0</v>
      </c>
      <c r="Y920" s="0" t="n">
        <f aca="false">(M920*(1-X920)+N920*X920)*D920+M920*E920</f>
        <v>11263.8110620057</v>
      </c>
      <c r="Z920" s="0" t="n">
        <f aca="false">((1-X920)*O920+X920*P920)*D920+E920*O920</f>
        <v>35.076315507371</v>
      </c>
      <c r="AA920" s="0" t="n">
        <f aca="false">IF(D920*X920&gt;0,AA919,Q920)</f>
        <v>3</v>
      </c>
      <c r="AB920" s="0" t="n">
        <f aca="false">(X920*D920)</f>
        <v>0</v>
      </c>
      <c r="AC920" s="0" t="n">
        <f aca="false">SUM(AB$10:AB919)/K920</f>
        <v>8.90572288486774E-005</v>
      </c>
      <c r="AD920" s="0" t="n">
        <f aca="false">R920*E920+D920*(X920*S920+(1-X920)*T920)</f>
        <v>-0.102333611996757</v>
      </c>
      <c r="AE920" s="0" t="n">
        <f aca="false">Z920</f>
        <v>35.076315507371</v>
      </c>
      <c r="AF920" s="0" t="n">
        <f aca="false">E920*O920</f>
        <v>35.076315507371</v>
      </c>
      <c r="AG920" s="0" t="n">
        <f aca="false">((1-X920)*O920+X920*P920)*D920</f>
        <v>0</v>
      </c>
      <c r="AH920" s="0" t="n">
        <f aca="false">D920*(LN(EXP(S920)+EXP(T920)))</f>
        <v>-0</v>
      </c>
      <c r="AJ920" s="0" t="n">
        <f aca="false">$J$5</f>
        <v>10</v>
      </c>
      <c r="AK920" s="4" t="n">
        <f aca="false">AJ920+MAX(K920,AK$10:AK919)</f>
        <v>11263.8110620057</v>
      </c>
      <c r="AL920" s="5" t="n">
        <f aca="false">AK920-K920</f>
        <v>35.076315507371</v>
      </c>
      <c r="AM920" s="0" t="n">
        <f aca="false">-G920*AL920/3600</f>
        <v>-0.102333611996757</v>
      </c>
      <c r="AN920" s="0" t="n">
        <f aca="false">-H920*AL920/3600</f>
        <v>-0.0691801114751211</v>
      </c>
      <c r="AO920" s="0" t="n">
        <f aca="false">AM920*E920+AN920*D920</f>
        <v>-0.102333611996757</v>
      </c>
      <c r="AP920" s="0" t="n">
        <f aca="false">AL920*D920</f>
        <v>0</v>
      </c>
      <c r="AR920" s="0" t="n">
        <f aca="false">AN920*D920</f>
        <v>-0</v>
      </c>
      <c r="AS920" s="0" t="n">
        <f aca="false">AH920-AR920</f>
        <v>0</v>
      </c>
    </row>
    <row r="921" customFormat="false" ht="12" hidden="false" customHeight="false" outlineLevel="0" collapsed="false">
      <c r="A921" s="3" t="n">
        <f aca="false">A920+1</f>
        <v>912</v>
      </c>
      <c r="B921" s="3" t="n">
        <f aca="false">IF(A921&lt;$N$4/3,0.1,(IF(A921&gt;2*$N$4/3,0.05,0.12)))</f>
        <v>0.05</v>
      </c>
      <c r="C921" s="4" t="n">
        <f aca="true">RAND()</f>
        <v>0.749361487852534</v>
      </c>
      <c r="D921" s="0" t="n">
        <f aca="false">IF((C921&gt;$M$2),1,0)</f>
        <v>0</v>
      </c>
      <c r="E921" s="0" t="n">
        <f aca="false">1-D921</f>
        <v>1</v>
      </c>
      <c r="F921" s="0" t="n">
        <f aca="true">RAND()</f>
        <v>0.826968102166433</v>
      </c>
      <c r="G921" s="0" t="n">
        <f aca="false">7.75+F921*10</f>
        <v>16.0196810216643</v>
      </c>
      <c r="H921" s="0" t="n">
        <f aca="false">LOGINV(F921,2.64,1.139)</f>
        <v>40.9857593865449</v>
      </c>
      <c r="I921" s="0" t="n">
        <v>19.5</v>
      </c>
      <c r="J921" s="4" t="n">
        <f aca="true">-LN(RAND())/B921</f>
        <v>14.847909774293</v>
      </c>
      <c r="K921" s="4" t="n">
        <f aca="false">K920+J921</f>
        <v>11243.5826562727</v>
      </c>
      <c r="L921" s="4" t="n">
        <f aca="false">(1/$J$4)*(1+AB920)</f>
        <v>10</v>
      </c>
      <c r="M921" s="4" t="n">
        <f aca="false">L921+MAX(K921,Y$10:Y920)</f>
        <v>11273.8110620057</v>
      </c>
      <c r="N921" s="4" t="n">
        <f aca="false">K921</f>
        <v>11243.5826562727</v>
      </c>
      <c r="O921" s="4" t="n">
        <f aca="false">M921-K921</f>
        <v>30.228405733078</v>
      </c>
      <c r="P921" s="4" t="n">
        <f aca="false">N921-K921</f>
        <v>0</v>
      </c>
      <c r="Q921" s="4" t="n">
        <f aca="false">A921-MATCH(K921,$M$9:M920,1)</f>
        <v>3</v>
      </c>
      <c r="R921" s="0" t="n">
        <f aca="false">-G921*(O921/3600)</f>
        <v>-0.134513727121489</v>
      </c>
      <c r="S921" s="0" t="n">
        <f aca="false">-1*I921-(H921*(P921/3600))</f>
        <v>-19.5</v>
      </c>
      <c r="T921" s="0" t="n">
        <f aca="false">-H921*(O921/3600)</f>
        <v>-0.344148378892997</v>
      </c>
      <c r="U921" s="0" t="n">
        <f aca="false">T921-S921</f>
        <v>19.155851621107</v>
      </c>
      <c r="V921" s="0" t="n">
        <f aca="false">1/(1+EXP(U921))</f>
        <v>4.79423527148103E-009</v>
      </c>
      <c r="W921" s="0" t="n">
        <f aca="true">RAND()</f>
        <v>0.625284518070873</v>
      </c>
      <c r="X921" s="0" t="n">
        <f aca="false">IF(W921&lt;V921,1,0)</f>
        <v>0</v>
      </c>
      <c r="Y921" s="0" t="n">
        <f aca="false">(M921*(1-X921)+N921*X921)*D921+M921*E921</f>
        <v>11273.8110620057</v>
      </c>
      <c r="Z921" s="0" t="n">
        <f aca="false">((1-X921)*O921+X921*P921)*D921+E921*O921</f>
        <v>30.228405733078</v>
      </c>
      <c r="AA921" s="0" t="n">
        <f aca="false">IF(D921*X921&gt;0,AA920,Q921)</f>
        <v>3</v>
      </c>
      <c r="AB921" s="0" t="n">
        <f aca="false">(X921*D921)</f>
        <v>0</v>
      </c>
      <c r="AC921" s="0" t="n">
        <f aca="false">SUM(AB$10:AB920)/K921</f>
        <v>8.89396227671357E-005</v>
      </c>
      <c r="AD921" s="0" t="n">
        <f aca="false">R921*E921+D921*(X921*S921+(1-X921)*T921)</f>
        <v>-0.134513727121489</v>
      </c>
      <c r="AE921" s="0" t="n">
        <f aca="false">Z921</f>
        <v>30.228405733078</v>
      </c>
      <c r="AF921" s="0" t="n">
        <f aca="false">E921*O921</f>
        <v>30.228405733078</v>
      </c>
      <c r="AG921" s="0" t="n">
        <f aca="false">((1-X921)*O921+X921*P921)*D921</f>
        <v>0</v>
      </c>
      <c r="AH921" s="0" t="n">
        <f aca="false">D921*(LN(EXP(S921)+EXP(T921)))</f>
        <v>-0</v>
      </c>
      <c r="AJ921" s="0" t="n">
        <f aca="false">$J$5</f>
        <v>10</v>
      </c>
      <c r="AK921" s="4" t="n">
        <f aca="false">AJ921+MAX(K921,AK$10:AK920)</f>
        <v>11273.8110620057</v>
      </c>
      <c r="AL921" s="5" t="n">
        <f aca="false">AK921-K921</f>
        <v>30.228405733078</v>
      </c>
      <c r="AM921" s="0" t="n">
        <f aca="false">-G921*AL921/3600</f>
        <v>-0.134513727121489</v>
      </c>
      <c r="AN921" s="0" t="n">
        <f aca="false">-H921*AL921/3600</f>
        <v>-0.344148378892997</v>
      </c>
      <c r="AO921" s="0" t="n">
        <f aca="false">AM921*E921+AN921*D921</f>
        <v>-0.134513727121489</v>
      </c>
      <c r="AP921" s="0" t="n">
        <f aca="false">AL921*D921</f>
        <v>0</v>
      </c>
      <c r="AR921" s="0" t="n">
        <f aca="false">AN921*D921</f>
        <v>-0</v>
      </c>
      <c r="AS921" s="0" t="n">
        <f aca="false">AH921-AR921</f>
        <v>0</v>
      </c>
    </row>
    <row r="922" customFormat="false" ht="12" hidden="false" customHeight="false" outlineLevel="0" collapsed="false">
      <c r="A922" s="3" t="n">
        <f aca="false">A921+1</f>
        <v>913</v>
      </c>
      <c r="B922" s="3" t="n">
        <f aca="false">IF(A922&lt;$N$4/3,0.1,(IF(A922&gt;2*$N$4/3,0.05,0.12)))</f>
        <v>0.05</v>
      </c>
      <c r="C922" s="4" t="n">
        <f aca="true">RAND()</f>
        <v>0.627229974016738</v>
      </c>
      <c r="D922" s="0" t="n">
        <f aca="false">IF((C922&gt;$M$2),1,0)</f>
        <v>0</v>
      </c>
      <c r="E922" s="0" t="n">
        <f aca="false">1-D922</f>
        <v>1</v>
      </c>
      <c r="F922" s="0" t="n">
        <f aca="true">RAND()</f>
        <v>0.684964590784074</v>
      </c>
      <c r="G922" s="0" t="n">
        <f aca="false">7.75+F922*10</f>
        <v>14.5996459078407</v>
      </c>
      <c r="H922" s="0" t="n">
        <f aca="false">LOGINV(F922,2.64,1.139)</f>
        <v>24.2538011028564</v>
      </c>
      <c r="I922" s="0" t="n">
        <v>19.5</v>
      </c>
      <c r="J922" s="4" t="n">
        <f aca="true">-LN(RAND())/B922</f>
        <v>4.58260491992221</v>
      </c>
      <c r="K922" s="4" t="n">
        <f aca="false">K921+J922</f>
        <v>11248.1652611926</v>
      </c>
      <c r="L922" s="4" t="n">
        <f aca="false">(1/$J$4)*(1+AB921)</f>
        <v>10</v>
      </c>
      <c r="M922" s="4" t="n">
        <f aca="false">L922+MAX(K922,Y$10:Y921)</f>
        <v>11283.8110620057</v>
      </c>
      <c r="N922" s="4" t="n">
        <f aca="false">K922</f>
        <v>11248.1652611926</v>
      </c>
      <c r="O922" s="4" t="n">
        <f aca="false">M922-K922</f>
        <v>35.6458008131558</v>
      </c>
      <c r="P922" s="4" t="n">
        <f aca="false">N922-K922</f>
        <v>0</v>
      </c>
      <c r="Q922" s="4" t="n">
        <f aca="false">A922-MATCH(K922,$M$9:M921,1)</f>
        <v>3</v>
      </c>
      <c r="R922" s="0" t="n">
        <f aca="false">-G922*(O922/3600)</f>
        <v>-0.144560019437082</v>
      </c>
      <c r="S922" s="0" t="n">
        <f aca="false">-1*I922-(H922*(P922/3600))</f>
        <v>-19.5</v>
      </c>
      <c r="T922" s="0" t="n">
        <f aca="false">-H922*(O922/3600)</f>
        <v>-0.240151711965088</v>
      </c>
      <c r="U922" s="0" t="n">
        <f aca="false">T922-S922</f>
        <v>19.2598482880349</v>
      </c>
      <c r="V922" s="0" t="n">
        <f aca="false">1/(1+EXP(U922))</f>
        <v>4.32070051167601E-009</v>
      </c>
      <c r="W922" s="0" t="n">
        <f aca="true">RAND()</f>
        <v>0.442870440362392</v>
      </c>
      <c r="X922" s="0" t="n">
        <f aca="false">IF(W922&lt;V922,1,0)</f>
        <v>0</v>
      </c>
      <c r="Y922" s="0" t="n">
        <f aca="false">(M922*(1-X922)+N922*X922)*D922+M922*E922</f>
        <v>11283.8110620057</v>
      </c>
      <c r="Z922" s="0" t="n">
        <f aca="false">((1-X922)*O922+X922*P922)*D922+E922*O922</f>
        <v>35.6458008131558</v>
      </c>
      <c r="AA922" s="0" t="n">
        <f aca="false">IF(D922*X922&gt;0,AA921,Q922)</f>
        <v>3</v>
      </c>
      <c r="AB922" s="0" t="n">
        <f aca="false">(X922*D922)</f>
        <v>0</v>
      </c>
      <c r="AC922" s="0" t="n">
        <f aca="false">SUM(AB$10:AB921)/K922</f>
        <v>8.89033879551993E-005</v>
      </c>
      <c r="AD922" s="0" t="n">
        <f aca="false">R922*E922+D922*(X922*S922+(1-X922)*T922)</f>
        <v>-0.144560019437082</v>
      </c>
      <c r="AE922" s="0" t="n">
        <f aca="false">Z922</f>
        <v>35.6458008131558</v>
      </c>
      <c r="AF922" s="0" t="n">
        <f aca="false">E922*O922</f>
        <v>35.6458008131558</v>
      </c>
      <c r="AG922" s="0" t="n">
        <f aca="false">((1-X922)*O922+X922*P922)*D922</f>
        <v>0</v>
      </c>
      <c r="AH922" s="0" t="n">
        <f aca="false">D922*(LN(EXP(S922)+EXP(T922)))</f>
        <v>-0</v>
      </c>
      <c r="AJ922" s="0" t="n">
        <f aca="false">$J$5</f>
        <v>10</v>
      </c>
      <c r="AK922" s="4" t="n">
        <f aca="false">AJ922+MAX(K922,AK$10:AK921)</f>
        <v>11283.8110620057</v>
      </c>
      <c r="AL922" s="5" t="n">
        <f aca="false">AK922-K922</f>
        <v>35.6458008131558</v>
      </c>
      <c r="AM922" s="0" t="n">
        <f aca="false">-G922*AL922/3600</f>
        <v>-0.144560019437082</v>
      </c>
      <c r="AN922" s="0" t="n">
        <f aca="false">-H922*AL922/3600</f>
        <v>-0.240151711965088</v>
      </c>
      <c r="AO922" s="0" t="n">
        <f aca="false">AM922*E922+AN922*D922</f>
        <v>-0.144560019437082</v>
      </c>
      <c r="AP922" s="0" t="n">
        <f aca="false">AL922*D922</f>
        <v>0</v>
      </c>
      <c r="AR922" s="0" t="n">
        <f aca="false">AN922*D922</f>
        <v>-0</v>
      </c>
      <c r="AS922" s="0" t="n">
        <f aca="false">AH922-AR922</f>
        <v>0</v>
      </c>
    </row>
    <row r="923" customFormat="false" ht="12" hidden="false" customHeight="false" outlineLevel="0" collapsed="false">
      <c r="A923" s="3" t="n">
        <f aca="false">A922+1</f>
        <v>914</v>
      </c>
      <c r="B923" s="3" t="n">
        <f aca="false">IF(A923&lt;$N$4/3,0.1,(IF(A923&gt;2*$N$4/3,0.05,0.12)))</f>
        <v>0.05</v>
      </c>
      <c r="C923" s="4" t="n">
        <f aca="true">RAND()</f>
        <v>0.310447137489906</v>
      </c>
      <c r="D923" s="0" t="n">
        <f aca="false">IF((C923&gt;$M$2),1,0)</f>
        <v>0</v>
      </c>
      <c r="E923" s="0" t="n">
        <f aca="false">1-D923</f>
        <v>1</v>
      </c>
      <c r="F923" s="0" t="n">
        <f aca="true">RAND()</f>
        <v>0.263327751561006</v>
      </c>
      <c r="G923" s="0" t="n">
        <f aca="false">7.75+F923*10</f>
        <v>10.3832775156101</v>
      </c>
      <c r="H923" s="0" t="n">
        <f aca="false">LOGINV(F923,2.64,1.139)</f>
        <v>6.81330081957384</v>
      </c>
      <c r="I923" s="0" t="n">
        <v>19.5</v>
      </c>
      <c r="J923" s="4" t="n">
        <f aca="true">-LN(RAND())/B923</f>
        <v>22.0608414070748</v>
      </c>
      <c r="K923" s="4" t="n">
        <f aca="false">K922+J923</f>
        <v>11270.2261025997</v>
      </c>
      <c r="L923" s="4" t="n">
        <f aca="false">(1/$J$4)*(1+AB922)</f>
        <v>10</v>
      </c>
      <c r="M923" s="4" t="n">
        <f aca="false">L923+MAX(K923,Y$10:Y922)</f>
        <v>11293.8110620057</v>
      </c>
      <c r="N923" s="4" t="n">
        <f aca="false">K923</f>
        <v>11270.2261025997</v>
      </c>
      <c r="O923" s="4" t="n">
        <f aca="false">M923-K923</f>
        <v>23.5849594060801</v>
      </c>
      <c r="P923" s="4" t="n">
        <f aca="false">N923-K923</f>
        <v>0</v>
      </c>
      <c r="Q923" s="4" t="n">
        <f aca="false">A923-MATCH(K923,$M$9:M922,1)</f>
        <v>2</v>
      </c>
      <c r="R923" s="0" t="n">
        <f aca="false">-G923*(O923/3600)</f>
        <v>-0.0680247718632576</v>
      </c>
      <c r="S923" s="0" t="n">
        <f aca="false">-1*I923-(H923*(P923/3600))</f>
        <v>-19.5</v>
      </c>
      <c r="T923" s="0" t="n">
        <f aca="false">-H923*(O923/3600)</f>
        <v>-0.0446365064586281</v>
      </c>
      <c r="U923" s="0" t="n">
        <f aca="false">T923-S923</f>
        <v>19.4553634935414</v>
      </c>
      <c r="V923" s="0" t="n">
        <f aca="false">1/(1+EXP(U923))</f>
        <v>3.55339093255908E-009</v>
      </c>
      <c r="W923" s="0" t="n">
        <f aca="true">RAND()</f>
        <v>0.758153677127521</v>
      </c>
      <c r="X923" s="0" t="n">
        <f aca="false">IF(W923&lt;V923,1,0)</f>
        <v>0</v>
      </c>
      <c r="Y923" s="0" t="n">
        <f aca="false">(M923*(1-X923)+N923*X923)*D923+M923*E923</f>
        <v>11293.8110620057</v>
      </c>
      <c r="Z923" s="0" t="n">
        <f aca="false">((1-X923)*O923+X923*P923)*D923+E923*O923</f>
        <v>23.5849594060801</v>
      </c>
      <c r="AA923" s="0" t="n">
        <f aca="false">IF(D923*X923&gt;0,AA922,Q923)</f>
        <v>2</v>
      </c>
      <c r="AB923" s="0" t="n">
        <f aca="false">(X923*D923)</f>
        <v>0</v>
      </c>
      <c r="AC923" s="0" t="n">
        <f aca="false">SUM(AB$10:AB922)/K923</f>
        <v>8.87293645128676E-005</v>
      </c>
      <c r="AD923" s="0" t="n">
        <f aca="false">R923*E923+D923*(X923*S923+(1-X923)*T923)</f>
        <v>-0.0680247718632576</v>
      </c>
      <c r="AE923" s="0" t="n">
        <f aca="false">Z923</f>
        <v>23.5849594060801</v>
      </c>
      <c r="AF923" s="0" t="n">
        <f aca="false">E923*O923</f>
        <v>23.5849594060801</v>
      </c>
      <c r="AG923" s="0" t="n">
        <f aca="false">((1-X923)*O923+X923*P923)*D923</f>
        <v>0</v>
      </c>
      <c r="AH923" s="0" t="n">
        <f aca="false">D923*(LN(EXP(S923)+EXP(T923)))</f>
        <v>-0</v>
      </c>
      <c r="AJ923" s="0" t="n">
        <f aca="false">$J$5</f>
        <v>10</v>
      </c>
      <c r="AK923" s="4" t="n">
        <f aca="false">AJ923+MAX(K923,AK$10:AK922)</f>
        <v>11293.8110620057</v>
      </c>
      <c r="AL923" s="5" t="n">
        <f aca="false">AK923-K923</f>
        <v>23.5849594060801</v>
      </c>
      <c r="AM923" s="0" t="n">
        <f aca="false">-G923*AL923/3600</f>
        <v>-0.0680247718632576</v>
      </c>
      <c r="AN923" s="0" t="n">
        <f aca="false">-H923*AL923/3600</f>
        <v>-0.0446365064586281</v>
      </c>
      <c r="AO923" s="0" t="n">
        <f aca="false">AM923*E923+AN923*D923</f>
        <v>-0.0680247718632576</v>
      </c>
      <c r="AP923" s="0" t="n">
        <f aca="false">AL923*D923</f>
        <v>0</v>
      </c>
      <c r="AR923" s="0" t="n">
        <f aca="false">AN923*D923</f>
        <v>-0</v>
      </c>
      <c r="AS923" s="0" t="n">
        <f aca="false">AH923-AR923</f>
        <v>0</v>
      </c>
    </row>
    <row r="924" customFormat="false" ht="12" hidden="false" customHeight="false" outlineLevel="0" collapsed="false">
      <c r="A924" s="3" t="n">
        <f aca="false">A923+1</f>
        <v>915</v>
      </c>
      <c r="B924" s="3" t="n">
        <f aca="false">IF(A924&lt;$N$4/3,0.1,(IF(A924&gt;2*$N$4/3,0.05,0.12)))</f>
        <v>0.05</v>
      </c>
      <c r="C924" s="4" t="n">
        <f aca="true">RAND()</f>
        <v>0.461800743999226</v>
      </c>
      <c r="D924" s="0" t="n">
        <f aca="false">IF((C924&gt;$M$2),1,0)</f>
        <v>0</v>
      </c>
      <c r="E924" s="0" t="n">
        <f aca="false">1-D924</f>
        <v>1</v>
      </c>
      <c r="F924" s="0" t="n">
        <f aca="true">RAND()</f>
        <v>0.298565845818005</v>
      </c>
      <c r="G924" s="0" t="n">
        <f aca="false">7.75+F924*10</f>
        <v>10.7356584581801</v>
      </c>
      <c r="H924" s="0" t="n">
        <f aca="false">LOGINV(F924,2.64,1.139)</f>
        <v>7.67527861350411</v>
      </c>
      <c r="I924" s="0" t="n">
        <v>19.5</v>
      </c>
      <c r="J924" s="4" t="n">
        <f aca="true">-LN(RAND())/B924</f>
        <v>11.2143653348077</v>
      </c>
      <c r="K924" s="4" t="n">
        <f aca="false">K923+J924</f>
        <v>11281.4404679345</v>
      </c>
      <c r="L924" s="4" t="n">
        <f aca="false">(1/$J$4)*(1+AB923)</f>
        <v>10</v>
      </c>
      <c r="M924" s="4" t="n">
        <f aca="false">L924+MAX(K924,Y$10:Y923)</f>
        <v>11303.8110620057</v>
      </c>
      <c r="N924" s="4" t="n">
        <f aca="false">K924</f>
        <v>11281.4404679345</v>
      </c>
      <c r="O924" s="4" t="n">
        <f aca="false">M924-K924</f>
        <v>22.3705940712716</v>
      </c>
      <c r="P924" s="4" t="n">
        <f aca="false">N924-K924</f>
        <v>0</v>
      </c>
      <c r="Q924" s="4" t="n">
        <f aca="false">A924-MATCH(K924,$M$9:M923,1)</f>
        <v>2</v>
      </c>
      <c r="R924" s="0" t="n">
        <f aca="false">-G924*(O924/3600)</f>
        <v>-0.0667119604043777</v>
      </c>
      <c r="S924" s="0" t="n">
        <f aca="false">-1*I924-(H924*(P924/3600))</f>
        <v>-19.5</v>
      </c>
      <c r="T924" s="0" t="n">
        <f aca="false">-H924*(O924/3600)</f>
        <v>-0.0476945950685036</v>
      </c>
      <c r="U924" s="0" t="n">
        <f aca="false">T924-S924</f>
        <v>19.4523054049315</v>
      </c>
      <c r="V924" s="0" t="n">
        <f aca="false">1/(1+EXP(U924))</f>
        <v>3.56427414929665E-009</v>
      </c>
      <c r="W924" s="0" t="n">
        <f aca="true">RAND()</f>
        <v>0.587051398397282</v>
      </c>
      <c r="X924" s="0" t="n">
        <f aca="false">IF(W924&lt;V924,1,0)</f>
        <v>0</v>
      </c>
      <c r="Y924" s="0" t="n">
        <f aca="false">(M924*(1-X924)+N924*X924)*D924+M924*E924</f>
        <v>11303.8110620057</v>
      </c>
      <c r="Z924" s="0" t="n">
        <f aca="false">((1-X924)*O924+X924*P924)*D924+E924*O924</f>
        <v>22.3705940712716</v>
      </c>
      <c r="AA924" s="0" t="n">
        <f aca="false">IF(D924*X924&gt;0,AA923,Q924)</f>
        <v>2</v>
      </c>
      <c r="AB924" s="0" t="n">
        <f aca="false">(X924*D924)</f>
        <v>0</v>
      </c>
      <c r="AC924" s="0" t="n">
        <f aca="false">SUM(AB$10:AB923)/K924</f>
        <v>8.86411626992427E-005</v>
      </c>
      <c r="AD924" s="0" t="n">
        <f aca="false">R924*E924+D924*(X924*S924+(1-X924)*T924)</f>
        <v>-0.0667119604043777</v>
      </c>
      <c r="AE924" s="0" t="n">
        <f aca="false">Z924</f>
        <v>22.3705940712716</v>
      </c>
      <c r="AF924" s="0" t="n">
        <f aca="false">E924*O924</f>
        <v>22.3705940712716</v>
      </c>
      <c r="AG924" s="0" t="n">
        <f aca="false">((1-X924)*O924+X924*P924)*D924</f>
        <v>0</v>
      </c>
      <c r="AH924" s="0" t="n">
        <f aca="false">D924*(LN(EXP(S924)+EXP(T924)))</f>
        <v>-0</v>
      </c>
      <c r="AJ924" s="0" t="n">
        <f aca="false">$J$5</f>
        <v>10</v>
      </c>
      <c r="AK924" s="4" t="n">
        <f aca="false">AJ924+MAX(K924,AK$10:AK923)</f>
        <v>11303.8110620057</v>
      </c>
      <c r="AL924" s="5" t="n">
        <f aca="false">AK924-K924</f>
        <v>22.3705940712716</v>
      </c>
      <c r="AM924" s="0" t="n">
        <f aca="false">-G924*AL924/3600</f>
        <v>-0.0667119604043777</v>
      </c>
      <c r="AN924" s="0" t="n">
        <f aca="false">-H924*AL924/3600</f>
        <v>-0.0476945950685036</v>
      </c>
      <c r="AO924" s="0" t="n">
        <f aca="false">AM924*E924+AN924*D924</f>
        <v>-0.0667119604043777</v>
      </c>
      <c r="AP924" s="0" t="n">
        <f aca="false">AL924*D924</f>
        <v>0</v>
      </c>
      <c r="AR924" s="0" t="n">
        <f aca="false">AN924*D924</f>
        <v>-0</v>
      </c>
      <c r="AS924" s="0" t="n">
        <f aca="false">AH924-AR924</f>
        <v>0</v>
      </c>
    </row>
    <row r="925" customFormat="false" ht="12" hidden="false" customHeight="false" outlineLevel="0" collapsed="false">
      <c r="A925" s="3" t="n">
        <f aca="false">A924+1</f>
        <v>916</v>
      </c>
      <c r="B925" s="3" t="n">
        <f aca="false">IF(A925&lt;$N$4/3,0.1,(IF(A925&gt;2*$N$4/3,0.05,0.12)))</f>
        <v>0.05</v>
      </c>
      <c r="C925" s="4" t="n">
        <f aca="true">RAND()</f>
        <v>0.765600657577581</v>
      </c>
      <c r="D925" s="0" t="n">
        <f aca="false">IF((C925&gt;$M$2),1,0)</f>
        <v>0</v>
      </c>
      <c r="E925" s="0" t="n">
        <f aca="false">1-D925</f>
        <v>1</v>
      </c>
      <c r="F925" s="0" t="n">
        <f aca="true">RAND()</f>
        <v>0.129669232903807</v>
      </c>
      <c r="G925" s="0" t="n">
        <f aca="false">7.75+F925*10</f>
        <v>9.04669232903807</v>
      </c>
      <c r="H925" s="0" t="n">
        <f aca="false">LOGINV(F925,2.64,1.139)</f>
        <v>3.87776136298211</v>
      </c>
      <c r="I925" s="0" t="n">
        <v>19.5</v>
      </c>
      <c r="J925" s="4" t="n">
        <f aca="true">-LN(RAND())/B925</f>
        <v>60.9797040296454</v>
      </c>
      <c r="K925" s="4" t="n">
        <f aca="false">K924+J925</f>
        <v>11342.4201719641</v>
      </c>
      <c r="L925" s="4" t="n">
        <f aca="false">(1/$J$4)*(1+AB924)</f>
        <v>10</v>
      </c>
      <c r="M925" s="4" t="n">
        <f aca="false">L925+MAX(K925,Y$10:Y924)</f>
        <v>11352.4201719641</v>
      </c>
      <c r="N925" s="4" t="n">
        <f aca="false">K925</f>
        <v>11342.4201719641</v>
      </c>
      <c r="O925" s="4" t="n">
        <f aca="false">M925-K925</f>
        <v>10</v>
      </c>
      <c r="P925" s="4" t="n">
        <f aca="false">N925-K925</f>
        <v>0</v>
      </c>
      <c r="Q925" s="4" t="n">
        <f aca="false">A925-MATCH(K925,$M$9:M924,1)</f>
        <v>0</v>
      </c>
      <c r="R925" s="0" t="n">
        <f aca="false">-G925*(O925/3600)</f>
        <v>-0.0251297009139946</v>
      </c>
      <c r="S925" s="0" t="n">
        <f aca="false">-1*I925-(H925*(P925/3600))</f>
        <v>-19.5</v>
      </c>
      <c r="T925" s="0" t="n">
        <f aca="false">-H925*(O925/3600)</f>
        <v>-0.010771559341617</v>
      </c>
      <c r="U925" s="0" t="n">
        <f aca="false">T925-S925</f>
        <v>19.4892284406584</v>
      </c>
      <c r="V925" s="0" t="n">
        <f aca="false">1/(1+EXP(U925))</f>
        <v>3.43507030547812E-009</v>
      </c>
      <c r="W925" s="0" t="n">
        <f aca="true">RAND()</f>
        <v>0.749062252301276</v>
      </c>
      <c r="X925" s="0" t="n">
        <f aca="false">IF(W925&lt;V925,1,0)</f>
        <v>0</v>
      </c>
      <c r="Y925" s="0" t="n">
        <f aca="false">(M925*(1-X925)+N925*X925)*D925+M925*E925</f>
        <v>11352.4201719641</v>
      </c>
      <c r="Z925" s="0" t="n">
        <f aca="false">((1-X925)*O925+X925*P925)*D925+E925*O925</f>
        <v>10</v>
      </c>
      <c r="AA925" s="0" t="n">
        <f aca="false">IF(D925*X925&gt;0,AA924,Q925)</f>
        <v>0</v>
      </c>
      <c r="AB925" s="0" t="n">
        <f aca="false">(X925*D925)</f>
        <v>0</v>
      </c>
      <c r="AC925" s="0" t="n">
        <f aca="false">SUM(AB$10:AB924)/K925</f>
        <v>8.8164605510892E-005</v>
      </c>
      <c r="AD925" s="0" t="n">
        <f aca="false">R925*E925+D925*(X925*S925+(1-X925)*T925)</f>
        <v>-0.0251297009139946</v>
      </c>
      <c r="AE925" s="0" t="n">
        <f aca="false">Z925</f>
        <v>10</v>
      </c>
      <c r="AF925" s="0" t="n">
        <f aca="false">E925*O925</f>
        <v>10</v>
      </c>
      <c r="AG925" s="0" t="n">
        <f aca="false">((1-X925)*O925+X925*P925)*D925</f>
        <v>0</v>
      </c>
      <c r="AH925" s="0" t="n">
        <f aca="false">D925*(LN(EXP(S925)+EXP(T925)))</f>
        <v>-0</v>
      </c>
      <c r="AJ925" s="0" t="n">
        <f aca="false">$J$5</f>
        <v>10</v>
      </c>
      <c r="AK925" s="4" t="n">
        <f aca="false">AJ925+MAX(K925,AK$10:AK924)</f>
        <v>11352.4201719641</v>
      </c>
      <c r="AL925" s="5" t="n">
        <f aca="false">AK925-K925</f>
        <v>10</v>
      </c>
      <c r="AM925" s="0" t="n">
        <f aca="false">-G925*AL925/3600</f>
        <v>-0.0251297009139946</v>
      </c>
      <c r="AN925" s="0" t="n">
        <f aca="false">-H925*AL925/3600</f>
        <v>-0.010771559341617</v>
      </c>
      <c r="AO925" s="0" t="n">
        <f aca="false">AM925*E925+AN925*D925</f>
        <v>-0.0251297009139946</v>
      </c>
      <c r="AP925" s="0" t="n">
        <f aca="false">AL925*D925</f>
        <v>0</v>
      </c>
      <c r="AR925" s="0" t="n">
        <f aca="false">AN925*D925</f>
        <v>-0</v>
      </c>
      <c r="AS925" s="0" t="n">
        <f aca="false">AH925-AR925</f>
        <v>0</v>
      </c>
    </row>
    <row r="926" customFormat="false" ht="12" hidden="false" customHeight="false" outlineLevel="0" collapsed="false">
      <c r="A926" s="3" t="n">
        <f aca="false">A925+1</f>
        <v>917</v>
      </c>
      <c r="B926" s="3" t="n">
        <f aca="false">IF(A926&lt;$N$4/3,0.1,(IF(A926&gt;2*$N$4/3,0.05,0.12)))</f>
        <v>0.05</v>
      </c>
      <c r="C926" s="4" t="n">
        <f aca="true">RAND()</f>
        <v>0.21777399370201</v>
      </c>
      <c r="D926" s="0" t="n">
        <f aca="false">IF((C926&gt;$M$2),1,0)</f>
        <v>0</v>
      </c>
      <c r="E926" s="0" t="n">
        <f aca="false">1-D926</f>
        <v>1</v>
      </c>
      <c r="F926" s="0" t="n">
        <f aca="true">RAND()</f>
        <v>0.255763637539085</v>
      </c>
      <c r="G926" s="0" t="n">
        <f aca="false">7.75+F926*10</f>
        <v>10.3076363753909</v>
      </c>
      <c r="H926" s="0" t="n">
        <f aca="false">LOGINV(F926,2.64,1.139)</f>
        <v>6.63454725042951</v>
      </c>
      <c r="I926" s="0" t="n">
        <v>19.5</v>
      </c>
      <c r="J926" s="4" t="n">
        <f aca="true">-LN(RAND())/B926</f>
        <v>4.15788298083294</v>
      </c>
      <c r="K926" s="4" t="n">
        <f aca="false">K925+J926</f>
        <v>11346.5780549449</v>
      </c>
      <c r="L926" s="4" t="n">
        <f aca="false">(1/$J$4)*(1+AB925)</f>
        <v>10</v>
      </c>
      <c r="M926" s="4" t="n">
        <f aca="false">L926+MAX(K926,Y$10:Y925)</f>
        <v>11362.4201719641</v>
      </c>
      <c r="N926" s="4" t="n">
        <f aca="false">K926</f>
        <v>11346.5780549449</v>
      </c>
      <c r="O926" s="4" t="n">
        <f aca="false">M926-K926</f>
        <v>15.8421170191668</v>
      </c>
      <c r="P926" s="4" t="n">
        <f aca="false">N926-K926</f>
        <v>0</v>
      </c>
      <c r="Q926" s="4" t="n">
        <f aca="false">A926-MATCH(K926,$M$9:M925,1)</f>
        <v>1</v>
      </c>
      <c r="R926" s="0" t="n">
        <f aca="false">-G926*(O926/3600)</f>
        <v>-0.0453596615694341</v>
      </c>
      <c r="S926" s="0" t="n">
        <f aca="false">-1*I926-(H926*(P926/3600))</f>
        <v>-19.5</v>
      </c>
      <c r="T926" s="0" t="n">
        <f aca="false">-H926*(O926/3600)</f>
        <v>-0.0291959094195822</v>
      </c>
      <c r="U926" s="0" t="n">
        <f aca="false">T926-S926</f>
        <v>19.4708040905804</v>
      </c>
      <c r="V926" s="0" t="n">
        <f aca="false">1/(1+EXP(U926))</f>
        <v>3.49894586907447E-009</v>
      </c>
      <c r="W926" s="0" t="n">
        <f aca="true">RAND()</f>
        <v>0.766869811294444</v>
      </c>
      <c r="X926" s="0" t="n">
        <f aca="false">IF(W926&lt;V926,1,0)</f>
        <v>0</v>
      </c>
      <c r="Y926" s="0" t="n">
        <f aca="false">(M926*(1-X926)+N926*X926)*D926+M926*E926</f>
        <v>11362.4201719641</v>
      </c>
      <c r="Z926" s="0" t="n">
        <f aca="false">((1-X926)*O926+X926*P926)*D926+E926*O926</f>
        <v>15.8421170191668</v>
      </c>
      <c r="AA926" s="0" t="n">
        <f aca="false">IF(D926*X926&gt;0,AA925,Q926)</f>
        <v>1</v>
      </c>
      <c r="AB926" s="0" t="n">
        <f aca="false">(X926*D926)</f>
        <v>0</v>
      </c>
      <c r="AC926" s="0" t="n">
        <f aca="false">SUM(AB$10:AB925)/K926</f>
        <v>8.81322981393664E-005</v>
      </c>
      <c r="AD926" s="0" t="n">
        <f aca="false">R926*E926+D926*(X926*S926+(1-X926)*T926)</f>
        <v>-0.0453596615694341</v>
      </c>
      <c r="AE926" s="0" t="n">
        <f aca="false">Z926</f>
        <v>15.8421170191668</v>
      </c>
      <c r="AF926" s="0" t="n">
        <f aca="false">E926*O926</f>
        <v>15.8421170191668</v>
      </c>
      <c r="AG926" s="0" t="n">
        <f aca="false">((1-X926)*O926+X926*P926)*D926</f>
        <v>0</v>
      </c>
      <c r="AH926" s="0" t="n">
        <f aca="false">D926*(LN(EXP(S926)+EXP(T926)))</f>
        <v>-0</v>
      </c>
      <c r="AJ926" s="0" t="n">
        <f aca="false">$J$5</f>
        <v>10</v>
      </c>
      <c r="AK926" s="4" t="n">
        <f aca="false">AJ926+MAX(K926,AK$10:AK925)</f>
        <v>11362.4201719641</v>
      </c>
      <c r="AL926" s="5" t="n">
        <f aca="false">AK926-K926</f>
        <v>15.8421170191668</v>
      </c>
      <c r="AM926" s="0" t="n">
        <f aca="false">-G926*AL926/3600</f>
        <v>-0.0453596615694341</v>
      </c>
      <c r="AN926" s="0" t="n">
        <f aca="false">-H926*AL926/3600</f>
        <v>-0.0291959094195822</v>
      </c>
      <c r="AO926" s="0" t="n">
        <f aca="false">AM926*E926+AN926*D926</f>
        <v>-0.0453596615694341</v>
      </c>
      <c r="AP926" s="0" t="n">
        <f aca="false">AL926*D926</f>
        <v>0</v>
      </c>
      <c r="AR926" s="0" t="n">
        <f aca="false">AN926*D926</f>
        <v>-0</v>
      </c>
      <c r="AS926" s="0" t="n">
        <f aca="false">AH926-AR926</f>
        <v>0</v>
      </c>
    </row>
    <row r="927" customFormat="false" ht="12" hidden="false" customHeight="false" outlineLevel="0" collapsed="false">
      <c r="A927" s="3" t="n">
        <f aca="false">A926+1</f>
        <v>918</v>
      </c>
      <c r="B927" s="3" t="n">
        <f aca="false">IF(A927&lt;$N$4/3,0.1,(IF(A927&gt;2*$N$4/3,0.05,0.12)))</f>
        <v>0.05</v>
      </c>
      <c r="C927" s="4" t="n">
        <f aca="true">RAND()</f>
        <v>0.309098901438819</v>
      </c>
      <c r="D927" s="0" t="n">
        <f aca="false">IF((C927&gt;$M$2),1,0)</f>
        <v>0</v>
      </c>
      <c r="E927" s="0" t="n">
        <f aca="false">1-D927</f>
        <v>1</v>
      </c>
      <c r="F927" s="0" t="n">
        <f aca="true">RAND()</f>
        <v>0.938298509146689</v>
      </c>
      <c r="G927" s="0" t="n">
        <f aca="false">7.75+F927*10</f>
        <v>17.1329850914669</v>
      </c>
      <c r="H927" s="0" t="n">
        <f aca="false">LOGINV(F927,2.64,1.139)</f>
        <v>81.0280766835851</v>
      </c>
      <c r="I927" s="0" t="n">
        <v>19.5</v>
      </c>
      <c r="J927" s="4" t="n">
        <f aca="true">-LN(RAND())/B927</f>
        <v>14.7867085454955</v>
      </c>
      <c r="K927" s="4" t="n">
        <f aca="false">K926+J927</f>
        <v>11361.3647634904</v>
      </c>
      <c r="L927" s="4" t="n">
        <f aca="false">(1/$J$4)*(1+AB926)</f>
        <v>10</v>
      </c>
      <c r="M927" s="4" t="n">
        <f aca="false">L927+MAX(K927,Y$10:Y926)</f>
        <v>11372.4201719641</v>
      </c>
      <c r="N927" s="4" t="n">
        <f aca="false">K927</f>
        <v>11361.3647634904</v>
      </c>
      <c r="O927" s="4" t="n">
        <f aca="false">M927-K927</f>
        <v>11.0554084736705</v>
      </c>
      <c r="P927" s="4" t="n">
        <f aca="false">N927-K927</f>
        <v>0</v>
      </c>
      <c r="Q927" s="4" t="n">
        <f aca="false">A927-MATCH(K927,$M$9:M926,1)</f>
        <v>1</v>
      </c>
      <c r="R927" s="0" t="n">
        <f aca="false">-G927*(O927/3600)</f>
        <v>-0.0526144857109647</v>
      </c>
      <c r="S927" s="0" t="n">
        <f aca="false">-1*I927-(H927*(P927/3600))</f>
        <v>-19.5</v>
      </c>
      <c r="T927" s="0" t="n">
        <f aca="false">-H927*(O927/3600)</f>
        <v>-0.248832912659146</v>
      </c>
      <c r="U927" s="0" t="n">
        <f aca="false">T927-S927</f>
        <v>19.2511670873409</v>
      </c>
      <c r="V927" s="0" t="n">
        <f aca="false">1/(1+EXP(U927))</f>
        <v>4.35837266295523E-009</v>
      </c>
      <c r="W927" s="0" t="n">
        <f aca="true">RAND()</f>
        <v>0.302621216868756</v>
      </c>
      <c r="X927" s="0" t="n">
        <f aca="false">IF(W927&lt;V927,1,0)</f>
        <v>0</v>
      </c>
      <c r="Y927" s="0" t="n">
        <f aca="false">(M927*(1-X927)+N927*X927)*D927+M927*E927</f>
        <v>11372.4201719641</v>
      </c>
      <c r="Z927" s="0" t="n">
        <f aca="false">((1-X927)*O927+X927*P927)*D927+E927*O927</f>
        <v>11.0554084736705</v>
      </c>
      <c r="AA927" s="0" t="n">
        <f aca="false">IF(D927*X927&gt;0,AA926,Q927)</f>
        <v>1</v>
      </c>
      <c r="AB927" s="0" t="n">
        <f aca="false">(X927*D927)</f>
        <v>0</v>
      </c>
      <c r="AC927" s="0" t="n">
        <f aca="false">SUM(AB$10:AB926)/K927</f>
        <v>8.80175947887426E-005</v>
      </c>
      <c r="AD927" s="0" t="n">
        <f aca="false">R927*E927+D927*(X927*S927+(1-X927)*T927)</f>
        <v>-0.0526144857109647</v>
      </c>
      <c r="AE927" s="0" t="n">
        <f aca="false">Z927</f>
        <v>11.0554084736705</v>
      </c>
      <c r="AF927" s="0" t="n">
        <f aca="false">E927*O927</f>
        <v>11.0554084736705</v>
      </c>
      <c r="AG927" s="0" t="n">
        <f aca="false">((1-X927)*O927+X927*P927)*D927</f>
        <v>0</v>
      </c>
      <c r="AH927" s="0" t="n">
        <f aca="false">D927*(LN(EXP(S927)+EXP(T927)))</f>
        <v>-0</v>
      </c>
      <c r="AJ927" s="0" t="n">
        <f aca="false">$J$5</f>
        <v>10</v>
      </c>
      <c r="AK927" s="4" t="n">
        <f aca="false">AJ927+MAX(K927,AK$10:AK926)</f>
        <v>11372.4201719641</v>
      </c>
      <c r="AL927" s="5" t="n">
        <f aca="false">AK927-K927</f>
        <v>11.0554084736705</v>
      </c>
      <c r="AM927" s="0" t="n">
        <f aca="false">-G927*AL927/3600</f>
        <v>-0.0526144857109647</v>
      </c>
      <c r="AN927" s="0" t="n">
        <f aca="false">-H927*AL927/3600</f>
        <v>-0.248832912659146</v>
      </c>
      <c r="AO927" s="0" t="n">
        <f aca="false">AM927*E927+AN927*D927</f>
        <v>-0.0526144857109647</v>
      </c>
      <c r="AP927" s="0" t="n">
        <f aca="false">AL927*D927</f>
        <v>0</v>
      </c>
      <c r="AR927" s="0" t="n">
        <f aca="false">AN927*D927</f>
        <v>-0</v>
      </c>
      <c r="AS927" s="0" t="n">
        <f aca="false">AH927-AR927</f>
        <v>0</v>
      </c>
    </row>
    <row r="928" customFormat="false" ht="12" hidden="false" customHeight="false" outlineLevel="0" collapsed="false">
      <c r="A928" s="3" t="n">
        <f aca="false">A927+1</f>
        <v>919</v>
      </c>
      <c r="B928" s="3" t="n">
        <f aca="false">IF(A928&lt;$N$4/3,0.1,(IF(A928&gt;2*$N$4/3,0.05,0.12)))</f>
        <v>0.05</v>
      </c>
      <c r="C928" s="4" t="n">
        <f aca="true">RAND()</f>
        <v>0.630733790465454</v>
      </c>
      <c r="D928" s="0" t="n">
        <f aca="false">IF((C928&gt;$M$2),1,0)</f>
        <v>0</v>
      </c>
      <c r="E928" s="0" t="n">
        <f aca="false">1-D928</f>
        <v>1</v>
      </c>
      <c r="F928" s="0" t="n">
        <f aca="true">RAND()</f>
        <v>0.910348192261762</v>
      </c>
      <c r="G928" s="0" t="n">
        <f aca="false">7.75+F928*10</f>
        <v>16.8534819226176</v>
      </c>
      <c r="H928" s="0" t="n">
        <f aca="false">LOGINV(F928,2.64,1.139)</f>
        <v>64.6873526823489</v>
      </c>
      <c r="I928" s="0" t="n">
        <v>19.5</v>
      </c>
      <c r="J928" s="4" t="n">
        <f aca="true">-LN(RAND())/B928</f>
        <v>21.6418522137693</v>
      </c>
      <c r="K928" s="4" t="n">
        <f aca="false">K927+J928</f>
        <v>11383.0066157042</v>
      </c>
      <c r="L928" s="4" t="n">
        <f aca="false">(1/$J$4)*(1+AB927)</f>
        <v>10</v>
      </c>
      <c r="M928" s="4" t="n">
        <f aca="false">L928+MAX(K928,Y$10:Y927)</f>
        <v>11393.0066157042</v>
      </c>
      <c r="N928" s="4" t="n">
        <f aca="false">K928</f>
        <v>11383.0066157042</v>
      </c>
      <c r="O928" s="4" t="n">
        <f aca="false">M928-K928</f>
        <v>10</v>
      </c>
      <c r="P928" s="4" t="n">
        <f aca="false">N928-K928</f>
        <v>0</v>
      </c>
      <c r="Q928" s="4" t="n">
        <f aca="false">A928-MATCH(K928,$M$9:M927,1)</f>
        <v>0</v>
      </c>
      <c r="R928" s="0" t="n">
        <f aca="false">-G928*(O928/3600)</f>
        <v>-0.0468152275628267</v>
      </c>
      <c r="S928" s="0" t="n">
        <f aca="false">-1*I928-(H928*(P928/3600))</f>
        <v>-19.5</v>
      </c>
      <c r="T928" s="0" t="n">
        <f aca="false">-H928*(O928/3600)</f>
        <v>-0.179687090784303</v>
      </c>
      <c r="U928" s="0" t="n">
        <f aca="false">T928-S928</f>
        <v>19.3203129092157</v>
      </c>
      <c r="V928" s="0" t="n">
        <f aca="false">1/(1+EXP(U928))</f>
        <v>4.06719236038418E-009</v>
      </c>
      <c r="W928" s="0" t="n">
        <f aca="true">RAND()</f>
        <v>0.0512210500413247</v>
      </c>
      <c r="X928" s="0" t="n">
        <f aca="false">IF(W928&lt;V928,1,0)</f>
        <v>0</v>
      </c>
      <c r="Y928" s="0" t="n">
        <f aca="false">(M928*(1-X928)+N928*X928)*D928+M928*E928</f>
        <v>11393.0066157042</v>
      </c>
      <c r="Z928" s="0" t="n">
        <f aca="false">((1-X928)*O928+X928*P928)*D928+E928*O928</f>
        <v>10</v>
      </c>
      <c r="AA928" s="0" t="n">
        <f aca="false">IF(D928*X928&gt;0,AA927,Q928)</f>
        <v>0</v>
      </c>
      <c r="AB928" s="0" t="n">
        <f aca="false">(X928*D928)</f>
        <v>0</v>
      </c>
      <c r="AC928" s="0" t="n">
        <f aca="false">SUM(AB$10:AB927)/K928</f>
        <v>8.78502520257154E-005</v>
      </c>
      <c r="AD928" s="0" t="n">
        <f aca="false">R928*E928+D928*(X928*S928+(1-X928)*T928)</f>
        <v>-0.0468152275628267</v>
      </c>
      <c r="AE928" s="0" t="n">
        <f aca="false">Z928</f>
        <v>10</v>
      </c>
      <c r="AF928" s="0" t="n">
        <f aca="false">E928*O928</f>
        <v>10</v>
      </c>
      <c r="AG928" s="0" t="n">
        <f aca="false">((1-X928)*O928+X928*P928)*D928</f>
        <v>0</v>
      </c>
      <c r="AH928" s="0" t="n">
        <f aca="false">D928*(LN(EXP(S928)+EXP(T928)))</f>
        <v>-0</v>
      </c>
      <c r="AJ928" s="0" t="n">
        <f aca="false">$J$5</f>
        <v>10</v>
      </c>
      <c r="AK928" s="4" t="n">
        <f aca="false">AJ928+MAX(K928,AK$10:AK927)</f>
        <v>11393.0066157042</v>
      </c>
      <c r="AL928" s="5" t="n">
        <f aca="false">AK928-K928</f>
        <v>10</v>
      </c>
      <c r="AM928" s="0" t="n">
        <f aca="false">-G928*AL928/3600</f>
        <v>-0.0468152275628267</v>
      </c>
      <c r="AN928" s="0" t="n">
        <f aca="false">-H928*AL928/3600</f>
        <v>-0.179687090784303</v>
      </c>
      <c r="AO928" s="0" t="n">
        <f aca="false">AM928*E928+AN928*D928</f>
        <v>-0.0468152275628267</v>
      </c>
      <c r="AP928" s="0" t="n">
        <f aca="false">AL928*D928</f>
        <v>0</v>
      </c>
      <c r="AR928" s="0" t="n">
        <f aca="false">AN928*D928</f>
        <v>-0</v>
      </c>
      <c r="AS928" s="0" t="n">
        <f aca="false">AH928-AR928</f>
        <v>0</v>
      </c>
    </row>
    <row r="929" customFormat="false" ht="12" hidden="false" customHeight="false" outlineLevel="0" collapsed="false">
      <c r="A929" s="3" t="n">
        <f aca="false">A928+1</f>
        <v>920</v>
      </c>
      <c r="B929" s="3" t="n">
        <f aca="false">IF(A929&lt;$N$4/3,0.1,(IF(A929&gt;2*$N$4/3,0.05,0.12)))</f>
        <v>0.05</v>
      </c>
      <c r="C929" s="4" t="n">
        <f aca="true">RAND()</f>
        <v>0.347894732329454</v>
      </c>
      <c r="D929" s="0" t="n">
        <f aca="false">IF((C929&gt;$M$2),1,0)</f>
        <v>0</v>
      </c>
      <c r="E929" s="0" t="n">
        <f aca="false">1-D929</f>
        <v>1</v>
      </c>
      <c r="F929" s="0" t="n">
        <f aca="true">RAND()</f>
        <v>0.0733159155459856</v>
      </c>
      <c r="G929" s="0" t="n">
        <f aca="false">7.75+F929*10</f>
        <v>8.48315915545986</v>
      </c>
      <c r="H929" s="0" t="n">
        <f aca="false">LOGINV(F929,2.64,1.139)</f>
        <v>2.68238216743409</v>
      </c>
      <c r="I929" s="0" t="n">
        <v>19.5</v>
      </c>
      <c r="J929" s="4" t="n">
        <f aca="true">-LN(RAND())/B929</f>
        <v>15.4463562268554</v>
      </c>
      <c r="K929" s="4" t="n">
        <f aca="false">K928+J929</f>
        <v>11398.4529719311</v>
      </c>
      <c r="L929" s="4" t="n">
        <f aca="false">(1/$J$4)*(1+AB928)</f>
        <v>10</v>
      </c>
      <c r="M929" s="4" t="n">
        <f aca="false">L929+MAX(K929,Y$10:Y928)</f>
        <v>11408.4529719311</v>
      </c>
      <c r="N929" s="4" t="n">
        <f aca="false">K929</f>
        <v>11398.4529719311</v>
      </c>
      <c r="O929" s="4" t="n">
        <f aca="false">M929-K929</f>
        <v>10</v>
      </c>
      <c r="P929" s="4" t="n">
        <f aca="false">N929-K929</f>
        <v>0</v>
      </c>
      <c r="Q929" s="4" t="n">
        <f aca="false">A929-MATCH(K929,$M$9:M928,1)</f>
        <v>0</v>
      </c>
      <c r="R929" s="0" t="n">
        <f aca="false">-G929*(O929/3600)</f>
        <v>-0.0235643309873885</v>
      </c>
      <c r="S929" s="0" t="n">
        <f aca="false">-1*I929-(H929*(P929/3600))</f>
        <v>-19.5</v>
      </c>
      <c r="T929" s="0" t="n">
        <f aca="false">-H929*(O929/3600)</f>
        <v>-0.00745106157620582</v>
      </c>
      <c r="U929" s="0" t="n">
        <f aca="false">T929-S929</f>
        <v>19.4925489384238</v>
      </c>
      <c r="V929" s="0" t="n">
        <f aca="false">1/(1+EXP(U929))</f>
        <v>3.42368307833762E-009</v>
      </c>
      <c r="W929" s="0" t="n">
        <f aca="true">RAND()</f>
        <v>0.759312336058781</v>
      </c>
      <c r="X929" s="0" t="n">
        <f aca="false">IF(W929&lt;V929,1,0)</f>
        <v>0</v>
      </c>
      <c r="Y929" s="0" t="n">
        <f aca="false">(M929*(1-X929)+N929*X929)*D929+M929*E929</f>
        <v>11408.4529719311</v>
      </c>
      <c r="Z929" s="0" t="n">
        <f aca="false">((1-X929)*O929+X929*P929)*D929+E929*O929</f>
        <v>10</v>
      </c>
      <c r="AA929" s="0" t="n">
        <f aca="false">IF(D929*X929&gt;0,AA928,Q929)</f>
        <v>0</v>
      </c>
      <c r="AB929" s="0" t="n">
        <f aca="false">(X929*D929)</f>
        <v>0</v>
      </c>
      <c r="AC929" s="0" t="n">
        <f aca="false">SUM(AB$10:AB928)/K929</f>
        <v>8.77312037398866E-005</v>
      </c>
      <c r="AD929" s="0" t="n">
        <f aca="false">R929*E929+D929*(X929*S929+(1-X929)*T929)</f>
        <v>-0.0235643309873885</v>
      </c>
      <c r="AE929" s="0" t="n">
        <f aca="false">Z929</f>
        <v>10</v>
      </c>
      <c r="AF929" s="0" t="n">
        <f aca="false">E929*O929</f>
        <v>10</v>
      </c>
      <c r="AG929" s="0" t="n">
        <f aca="false">((1-X929)*O929+X929*P929)*D929</f>
        <v>0</v>
      </c>
      <c r="AH929" s="0" t="n">
        <f aca="false">D929*(LN(EXP(S929)+EXP(T929)))</f>
        <v>-0</v>
      </c>
      <c r="AJ929" s="0" t="n">
        <f aca="false">$J$5</f>
        <v>10</v>
      </c>
      <c r="AK929" s="4" t="n">
        <f aca="false">AJ929+MAX(K929,AK$10:AK928)</f>
        <v>11408.4529719311</v>
      </c>
      <c r="AL929" s="5" t="n">
        <f aca="false">AK929-K929</f>
        <v>10</v>
      </c>
      <c r="AM929" s="0" t="n">
        <f aca="false">-G929*AL929/3600</f>
        <v>-0.0235643309873885</v>
      </c>
      <c r="AN929" s="0" t="n">
        <f aca="false">-H929*AL929/3600</f>
        <v>-0.00745106157620582</v>
      </c>
      <c r="AO929" s="0" t="n">
        <f aca="false">AM929*E929+AN929*D929</f>
        <v>-0.0235643309873885</v>
      </c>
      <c r="AP929" s="0" t="n">
        <f aca="false">AL929*D929</f>
        <v>0</v>
      </c>
      <c r="AR929" s="0" t="n">
        <f aca="false">AN929*D929</f>
        <v>-0</v>
      </c>
      <c r="AS929" s="0" t="n">
        <f aca="false">AH929-AR929</f>
        <v>0</v>
      </c>
    </row>
    <row r="930" customFormat="false" ht="12" hidden="false" customHeight="false" outlineLevel="0" collapsed="false">
      <c r="A930" s="3" t="n">
        <f aca="false">A929+1</f>
        <v>921</v>
      </c>
      <c r="B930" s="3" t="n">
        <f aca="false">IF(A930&lt;$N$4/3,0.1,(IF(A930&gt;2*$N$4/3,0.05,0.12)))</f>
        <v>0.05</v>
      </c>
      <c r="C930" s="4" t="n">
        <f aca="true">RAND()</f>
        <v>0.429284314216551</v>
      </c>
      <c r="D930" s="0" t="n">
        <f aca="false">IF((C930&gt;$M$2),1,0)</f>
        <v>0</v>
      </c>
      <c r="E930" s="0" t="n">
        <f aca="false">1-D930</f>
        <v>1</v>
      </c>
      <c r="F930" s="0" t="n">
        <f aca="true">RAND()</f>
        <v>0.234416948213931</v>
      </c>
      <c r="G930" s="0" t="n">
        <f aca="false">7.75+F930*10</f>
        <v>10.0941694821393</v>
      </c>
      <c r="H930" s="0" t="n">
        <f aca="false">LOGINV(F930,2.64,1.139)</f>
        <v>6.14066976209362</v>
      </c>
      <c r="I930" s="0" t="n">
        <v>19.5</v>
      </c>
      <c r="J930" s="4" t="n">
        <f aca="true">-LN(RAND())/B930</f>
        <v>47.626019950955</v>
      </c>
      <c r="K930" s="4" t="n">
        <f aca="false">K929+J930</f>
        <v>11446.078991882</v>
      </c>
      <c r="L930" s="4" t="n">
        <f aca="false">(1/$J$4)*(1+AB929)</f>
        <v>10</v>
      </c>
      <c r="M930" s="4" t="n">
        <f aca="false">L930+MAX(K930,Y$10:Y929)</f>
        <v>11456.078991882</v>
      </c>
      <c r="N930" s="4" t="n">
        <f aca="false">K930</f>
        <v>11446.078991882</v>
      </c>
      <c r="O930" s="4" t="n">
        <f aca="false">M930-K930</f>
        <v>10</v>
      </c>
      <c r="P930" s="4" t="n">
        <f aca="false">N930-K930</f>
        <v>0</v>
      </c>
      <c r="Q930" s="4" t="n">
        <f aca="false">A930-MATCH(K930,$M$9:M929,1)</f>
        <v>0</v>
      </c>
      <c r="R930" s="0" t="n">
        <f aca="false">-G930*(O930/3600)</f>
        <v>-0.0280393596726092</v>
      </c>
      <c r="S930" s="0" t="n">
        <f aca="false">-1*I930-(H930*(P930/3600))</f>
        <v>-19.5</v>
      </c>
      <c r="T930" s="0" t="n">
        <f aca="false">-H930*(O930/3600)</f>
        <v>-0.0170574160058156</v>
      </c>
      <c r="U930" s="0" t="n">
        <f aca="false">T930-S930</f>
        <v>19.4829425839942</v>
      </c>
      <c r="V930" s="0" t="n">
        <f aca="false">1/(1+EXP(U930))</f>
        <v>3.45673067063018E-009</v>
      </c>
      <c r="W930" s="0" t="n">
        <f aca="true">RAND()</f>
        <v>0.0620961595769906</v>
      </c>
      <c r="X930" s="0" t="n">
        <f aca="false">IF(W930&lt;V930,1,0)</f>
        <v>0</v>
      </c>
      <c r="Y930" s="0" t="n">
        <f aca="false">(M930*(1-X930)+N930*X930)*D930+M930*E930</f>
        <v>11456.078991882</v>
      </c>
      <c r="Z930" s="0" t="n">
        <f aca="false">((1-X930)*O930+X930*P930)*D930+E930*O930</f>
        <v>10</v>
      </c>
      <c r="AA930" s="0" t="n">
        <f aca="false">IF(D930*X930&gt;0,AA929,Q930)</f>
        <v>0</v>
      </c>
      <c r="AB930" s="0" t="n">
        <f aca="false">(X930*D930)</f>
        <v>0</v>
      </c>
      <c r="AC930" s="0" t="n">
        <f aca="false">SUM(AB$10:AB929)/K930</f>
        <v>8.73661627452717E-005</v>
      </c>
      <c r="AD930" s="0" t="n">
        <f aca="false">R930*E930+D930*(X930*S930+(1-X930)*T930)</f>
        <v>-0.0280393596726092</v>
      </c>
      <c r="AE930" s="0" t="n">
        <f aca="false">Z930</f>
        <v>10</v>
      </c>
      <c r="AF930" s="0" t="n">
        <f aca="false">E930*O930</f>
        <v>10</v>
      </c>
      <c r="AG930" s="0" t="n">
        <f aca="false">((1-X930)*O930+X930*P930)*D930</f>
        <v>0</v>
      </c>
      <c r="AH930" s="0" t="n">
        <f aca="false">D930*(LN(EXP(S930)+EXP(T930)))</f>
        <v>-0</v>
      </c>
      <c r="AJ930" s="0" t="n">
        <f aca="false">$J$5</f>
        <v>10</v>
      </c>
      <c r="AK930" s="4" t="n">
        <f aca="false">AJ930+MAX(K930,AK$10:AK929)</f>
        <v>11456.078991882</v>
      </c>
      <c r="AL930" s="5" t="n">
        <f aca="false">AK930-K930</f>
        <v>10</v>
      </c>
      <c r="AM930" s="0" t="n">
        <f aca="false">-G930*AL930/3600</f>
        <v>-0.0280393596726092</v>
      </c>
      <c r="AN930" s="0" t="n">
        <f aca="false">-H930*AL930/3600</f>
        <v>-0.0170574160058156</v>
      </c>
      <c r="AO930" s="0" t="n">
        <f aca="false">AM930*E930+AN930*D930</f>
        <v>-0.0280393596726092</v>
      </c>
      <c r="AP930" s="0" t="n">
        <f aca="false">AL930*D930</f>
        <v>0</v>
      </c>
      <c r="AR930" s="0" t="n">
        <f aca="false">AN930*D930</f>
        <v>-0</v>
      </c>
      <c r="AS930" s="0" t="n">
        <f aca="false">AH930-AR930</f>
        <v>0</v>
      </c>
    </row>
    <row r="931" customFormat="false" ht="12" hidden="false" customHeight="false" outlineLevel="0" collapsed="false">
      <c r="A931" s="3" t="n">
        <f aca="false">A930+1</f>
        <v>922</v>
      </c>
      <c r="B931" s="3" t="n">
        <f aca="false">IF(A931&lt;$N$4/3,0.1,(IF(A931&gt;2*$N$4/3,0.05,0.12)))</f>
        <v>0.05</v>
      </c>
      <c r="C931" s="4" t="n">
        <f aca="true">RAND()</f>
        <v>0.46861371281929</v>
      </c>
      <c r="D931" s="0" t="n">
        <f aca="false">IF((C931&gt;$M$2),1,0)</f>
        <v>0</v>
      </c>
      <c r="E931" s="0" t="n">
        <f aca="false">1-D931</f>
        <v>1</v>
      </c>
      <c r="F931" s="0" t="n">
        <f aca="true">RAND()</f>
        <v>0.0512423338230508</v>
      </c>
      <c r="G931" s="0" t="n">
        <f aca="false">7.75+F931*10</f>
        <v>8.26242333823051</v>
      </c>
      <c r="H931" s="0" t="n">
        <f aca="false">LOGINV(F931,2.64,1.139)</f>
        <v>2.1816857609845</v>
      </c>
      <c r="I931" s="0" t="n">
        <v>19.5</v>
      </c>
      <c r="J931" s="4" t="n">
        <f aca="true">-LN(RAND())/B931</f>
        <v>17.7720146197977</v>
      </c>
      <c r="K931" s="4" t="n">
        <f aca="false">K930+J931</f>
        <v>11463.8510065018</v>
      </c>
      <c r="L931" s="4" t="n">
        <f aca="false">(1/$J$4)*(1+AB930)</f>
        <v>10</v>
      </c>
      <c r="M931" s="4" t="n">
        <f aca="false">L931+MAX(K931,Y$10:Y930)</f>
        <v>11473.8510065018</v>
      </c>
      <c r="N931" s="4" t="n">
        <f aca="false">K931</f>
        <v>11463.8510065018</v>
      </c>
      <c r="O931" s="4" t="n">
        <f aca="false">M931-K931</f>
        <v>10</v>
      </c>
      <c r="P931" s="4" t="n">
        <f aca="false">N931-K931</f>
        <v>0</v>
      </c>
      <c r="Q931" s="4" t="n">
        <f aca="false">A931-MATCH(K931,$M$9:M930,1)</f>
        <v>0</v>
      </c>
      <c r="R931" s="0" t="n">
        <f aca="false">-G931*(O931/3600)</f>
        <v>-0.0229511759395292</v>
      </c>
      <c r="S931" s="0" t="n">
        <f aca="false">-1*I931-(H931*(P931/3600))</f>
        <v>-19.5</v>
      </c>
      <c r="T931" s="0" t="n">
        <f aca="false">-H931*(O931/3600)</f>
        <v>-0.00606023822495695</v>
      </c>
      <c r="U931" s="0" t="n">
        <f aca="false">T931-S931</f>
        <v>19.493939761775</v>
      </c>
      <c r="V931" s="0" t="n">
        <f aca="false">1/(1+EXP(U931))</f>
        <v>3.41892464981508E-009</v>
      </c>
      <c r="W931" s="0" t="n">
        <f aca="true">RAND()</f>
        <v>0.342888912531611</v>
      </c>
      <c r="X931" s="0" t="n">
        <f aca="false">IF(W931&lt;V931,1,0)</f>
        <v>0</v>
      </c>
      <c r="Y931" s="0" t="n">
        <f aca="false">(M931*(1-X931)+N931*X931)*D931+M931*E931</f>
        <v>11473.8510065018</v>
      </c>
      <c r="Z931" s="0" t="n">
        <f aca="false">((1-X931)*O931+X931*P931)*D931+E931*O931</f>
        <v>10</v>
      </c>
      <c r="AA931" s="0" t="n">
        <f aca="false">IF(D931*X931&gt;0,AA930,Q931)</f>
        <v>0</v>
      </c>
      <c r="AB931" s="0" t="n">
        <f aca="false">(X931*D931)</f>
        <v>0</v>
      </c>
      <c r="AC931" s="0" t="n">
        <f aca="false">SUM(AB$10:AB930)/K931</f>
        <v>8.72307219827649E-005</v>
      </c>
      <c r="AD931" s="0" t="n">
        <f aca="false">R931*E931+D931*(X931*S931+(1-X931)*T931)</f>
        <v>-0.0229511759395292</v>
      </c>
      <c r="AE931" s="0" t="n">
        <f aca="false">Z931</f>
        <v>10</v>
      </c>
      <c r="AF931" s="0" t="n">
        <f aca="false">E931*O931</f>
        <v>10</v>
      </c>
      <c r="AG931" s="0" t="n">
        <f aca="false">((1-X931)*O931+X931*P931)*D931</f>
        <v>0</v>
      </c>
      <c r="AH931" s="0" t="n">
        <f aca="false">D931*(LN(EXP(S931)+EXP(T931)))</f>
        <v>-0</v>
      </c>
      <c r="AJ931" s="0" t="n">
        <f aca="false">$J$5</f>
        <v>10</v>
      </c>
      <c r="AK931" s="4" t="n">
        <f aca="false">AJ931+MAX(K931,AK$10:AK930)</f>
        <v>11473.8510065018</v>
      </c>
      <c r="AL931" s="5" t="n">
        <f aca="false">AK931-K931</f>
        <v>10</v>
      </c>
      <c r="AM931" s="0" t="n">
        <f aca="false">-G931*AL931/3600</f>
        <v>-0.0229511759395292</v>
      </c>
      <c r="AN931" s="0" t="n">
        <f aca="false">-H931*AL931/3600</f>
        <v>-0.00606023822495695</v>
      </c>
      <c r="AO931" s="0" t="n">
        <f aca="false">AM931*E931+AN931*D931</f>
        <v>-0.0229511759395292</v>
      </c>
      <c r="AP931" s="0" t="n">
        <f aca="false">AL931*D931</f>
        <v>0</v>
      </c>
      <c r="AR931" s="0" t="n">
        <f aca="false">AN931*D931</f>
        <v>-0</v>
      </c>
      <c r="AS931" s="0" t="n">
        <f aca="false">AH931-AR931</f>
        <v>0</v>
      </c>
    </row>
    <row r="932" customFormat="false" ht="12" hidden="false" customHeight="false" outlineLevel="0" collapsed="false">
      <c r="A932" s="3" t="n">
        <f aca="false">A931+1</f>
        <v>923</v>
      </c>
      <c r="B932" s="3" t="n">
        <f aca="false">IF(A932&lt;$N$4/3,0.1,(IF(A932&gt;2*$N$4/3,0.05,0.12)))</f>
        <v>0.05</v>
      </c>
      <c r="C932" s="4" t="n">
        <f aca="true">RAND()</f>
        <v>0.741376461340492</v>
      </c>
      <c r="D932" s="0" t="n">
        <f aca="false">IF((C932&gt;$M$2),1,0)</f>
        <v>0</v>
      </c>
      <c r="E932" s="0" t="n">
        <f aca="false">1-D932</f>
        <v>1</v>
      </c>
      <c r="F932" s="0" t="n">
        <f aca="true">RAND()</f>
        <v>0.249013987670084</v>
      </c>
      <c r="G932" s="0" t="n">
        <f aca="false">7.75+F932*10</f>
        <v>10.2401398767008</v>
      </c>
      <c r="H932" s="0" t="n">
        <f aca="false">LOGINV(F932,2.64,1.139)</f>
        <v>6.47674663546299</v>
      </c>
      <c r="I932" s="0" t="n">
        <v>19.5</v>
      </c>
      <c r="J932" s="4" t="n">
        <f aca="true">-LN(RAND())/B932</f>
        <v>2.82092127080659</v>
      </c>
      <c r="K932" s="4" t="n">
        <f aca="false">K931+J932</f>
        <v>11466.6719277726</v>
      </c>
      <c r="L932" s="4" t="n">
        <f aca="false">(1/$J$4)*(1+AB931)</f>
        <v>10</v>
      </c>
      <c r="M932" s="4" t="n">
        <f aca="false">L932+MAX(K932,Y$10:Y931)</f>
        <v>11483.8510065018</v>
      </c>
      <c r="N932" s="4" t="n">
        <f aca="false">K932</f>
        <v>11466.6719277726</v>
      </c>
      <c r="O932" s="4" t="n">
        <f aca="false">M932-K932</f>
        <v>17.1790787291939</v>
      </c>
      <c r="P932" s="4" t="n">
        <f aca="false">N932-K932</f>
        <v>0</v>
      </c>
      <c r="Q932" s="4" t="n">
        <f aca="false">A932-MATCH(K932,$M$9:M931,1)</f>
        <v>1</v>
      </c>
      <c r="R932" s="0" t="n">
        <f aca="false">-G932*(O932/3600)</f>
        <v>-0.0488656025388337</v>
      </c>
      <c r="S932" s="0" t="n">
        <f aca="false">-1*I932-(H932*(P932/3600))</f>
        <v>-19.5</v>
      </c>
      <c r="T932" s="0" t="n">
        <f aca="false">-H932*(O932/3600)</f>
        <v>-0.0309068167665723</v>
      </c>
      <c r="U932" s="0" t="n">
        <f aca="false">T932-S932</f>
        <v>19.4690931832334</v>
      </c>
      <c r="V932" s="0" t="n">
        <f aca="false">1/(1+EXP(U932))</f>
        <v>3.50493736523348E-009</v>
      </c>
      <c r="W932" s="0" t="n">
        <f aca="true">RAND()</f>
        <v>0.134073197075346</v>
      </c>
      <c r="X932" s="0" t="n">
        <f aca="false">IF(W932&lt;V932,1,0)</f>
        <v>0</v>
      </c>
      <c r="Y932" s="0" t="n">
        <f aca="false">(M932*(1-X932)+N932*X932)*D932+M932*E932</f>
        <v>11483.8510065018</v>
      </c>
      <c r="Z932" s="0" t="n">
        <f aca="false">((1-X932)*O932+X932*P932)*D932+E932*O932</f>
        <v>17.1790787291939</v>
      </c>
      <c r="AA932" s="0" t="n">
        <f aca="false">IF(D932*X932&gt;0,AA931,Q932)</f>
        <v>1</v>
      </c>
      <c r="AB932" s="0" t="n">
        <f aca="false">(X932*D932)</f>
        <v>0</v>
      </c>
      <c r="AC932" s="0" t="n">
        <f aca="false">SUM(AB$10:AB931)/K932</f>
        <v>8.72092623124562E-005</v>
      </c>
      <c r="AD932" s="0" t="n">
        <f aca="false">R932*E932+D932*(X932*S932+(1-X932)*T932)</f>
        <v>-0.0488656025388337</v>
      </c>
      <c r="AE932" s="0" t="n">
        <f aca="false">Z932</f>
        <v>17.1790787291939</v>
      </c>
      <c r="AF932" s="0" t="n">
        <f aca="false">E932*O932</f>
        <v>17.1790787291939</v>
      </c>
      <c r="AG932" s="0" t="n">
        <f aca="false">((1-X932)*O932+X932*P932)*D932</f>
        <v>0</v>
      </c>
      <c r="AH932" s="0" t="n">
        <f aca="false">D932*(LN(EXP(S932)+EXP(T932)))</f>
        <v>-0</v>
      </c>
      <c r="AJ932" s="0" t="n">
        <f aca="false">$J$5</f>
        <v>10</v>
      </c>
      <c r="AK932" s="4" t="n">
        <f aca="false">AJ932+MAX(K932,AK$10:AK931)</f>
        <v>11483.8510065018</v>
      </c>
      <c r="AL932" s="5" t="n">
        <f aca="false">AK932-K932</f>
        <v>17.1790787291939</v>
      </c>
      <c r="AM932" s="0" t="n">
        <f aca="false">-G932*AL932/3600</f>
        <v>-0.0488656025388337</v>
      </c>
      <c r="AN932" s="0" t="n">
        <f aca="false">-H932*AL932/3600</f>
        <v>-0.0309068167665723</v>
      </c>
      <c r="AO932" s="0" t="n">
        <f aca="false">AM932*E932+AN932*D932</f>
        <v>-0.0488656025388337</v>
      </c>
      <c r="AP932" s="0" t="n">
        <f aca="false">AL932*D932</f>
        <v>0</v>
      </c>
      <c r="AR932" s="0" t="n">
        <f aca="false">AN932*D932</f>
        <v>-0</v>
      </c>
      <c r="AS932" s="0" t="n">
        <f aca="false">AH932-AR932</f>
        <v>0</v>
      </c>
    </row>
    <row r="933" customFormat="false" ht="12" hidden="false" customHeight="false" outlineLevel="0" collapsed="false">
      <c r="A933" s="3" t="n">
        <f aca="false">A932+1</f>
        <v>924</v>
      </c>
      <c r="B933" s="3" t="n">
        <f aca="false">IF(A933&lt;$N$4/3,0.1,(IF(A933&gt;2*$N$4/3,0.05,0.12)))</f>
        <v>0.05</v>
      </c>
      <c r="C933" s="4" t="n">
        <f aca="true">RAND()</f>
        <v>0.268152070806682</v>
      </c>
      <c r="D933" s="0" t="n">
        <f aca="false">IF((C933&gt;$M$2),1,0)</f>
        <v>0</v>
      </c>
      <c r="E933" s="0" t="n">
        <f aca="false">1-D933</f>
        <v>1</v>
      </c>
      <c r="F933" s="0" t="n">
        <f aca="true">RAND()</f>
        <v>0.276851011127511</v>
      </c>
      <c r="G933" s="0" t="n">
        <f aca="false">7.75+F933*10</f>
        <v>10.5185101112751</v>
      </c>
      <c r="H933" s="0" t="n">
        <f aca="false">LOGINV(F933,2.64,1.139)</f>
        <v>7.13819028744163</v>
      </c>
      <c r="I933" s="0" t="n">
        <v>19.5</v>
      </c>
      <c r="J933" s="4" t="n">
        <f aca="true">-LN(RAND())/B933</f>
        <v>8.54128575004128</v>
      </c>
      <c r="K933" s="4" t="n">
        <f aca="false">K932+J933</f>
        <v>11475.2132135227</v>
      </c>
      <c r="L933" s="4" t="n">
        <f aca="false">(1/$J$4)*(1+AB932)</f>
        <v>10</v>
      </c>
      <c r="M933" s="4" t="n">
        <f aca="false">L933+MAX(K933,Y$10:Y932)</f>
        <v>11493.8510065018</v>
      </c>
      <c r="N933" s="4" t="n">
        <f aca="false">K933</f>
        <v>11475.2132135227</v>
      </c>
      <c r="O933" s="4" t="n">
        <f aca="false">M933-K933</f>
        <v>18.6377929791524</v>
      </c>
      <c r="P933" s="4" t="n">
        <f aca="false">N933-K933</f>
        <v>0</v>
      </c>
      <c r="Q933" s="4" t="n">
        <f aca="false">A933-MATCH(K933,$M$9:M932,1)</f>
        <v>1</v>
      </c>
      <c r="R933" s="0" t="n">
        <f aca="false">-G933*(O933/3600)</f>
        <v>-0.0544560594175187</v>
      </c>
      <c r="S933" s="0" t="n">
        <f aca="false">-1*I933-(H933*(P933/3600))</f>
        <v>-19.5</v>
      </c>
      <c r="T933" s="0" t="n">
        <f aca="false">-H933*(O933/3600)</f>
        <v>-0.0369555868953149</v>
      </c>
      <c r="U933" s="0" t="n">
        <f aca="false">T933-S933</f>
        <v>19.4630444131047</v>
      </c>
      <c r="V933" s="0" t="n">
        <f aca="false">1/(1+EXP(U933))</f>
        <v>3.52620217373019E-009</v>
      </c>
      <c r="W933" s="0" t="n">
        <f aca="true">RAND()</f>
        <v>0.949080348431819</v>
      </c>
      <c r="X933" s="0" t="n">
        <f aca="false">IF(W933&lt;V933,1,0)</f>
        <v>0</v>
      </c>
      <c r="Y933" s="0" t="n">
        <f aca="false">(M933*(1-X933)+N933*X933)*D933+M933*E933</f>
        <v>11493.8510065018</v>
      </c>
      <c r="Z933" s="0" t="n">
        <f aca="false">((1-X933)*O933+X933*P933)*D933+E933*O933</f>
        <v>18.6377929791524</v>
      </c>
      <c r="AA933" s="0" t="n">
        <f aca="false">IF(D933*X933&gt;0,AA932,Q933)</f>
        <v>1</v>
      </c>
      <c r="AB933" s="0" t="n">
        <f aca="false">(X933*D933)</f>
        <v>0</v>
      </c>
      <c r="AC933" s="0" t="n">
        <f aca="false">SUM(AB$10:AB932)/K933</f>
        <v>8.71443502959558E-005</v>
      </c>
      <c r="AD933" s="0" t="n">
        <f aca="false">R933*E933+D933*(X933*S933+(1-X933)*T933)</f>
        <v>-0.0544560594175187</v>
      </c>
      <c r="AE933" s="0" t="n">
        <f aca="false">Z933</f>
        <v>18.6377929791524</v>
      </c>
      <c r="AF933" s="0" t="n">
        <f aca="false">E933*O933</f>
        <v>18.6377929791524</v>
      </c>
      <c r="AG933" s="0" t="n">
        <f aca="false">((1-X933)*O933+X933*P933)*D933</f>
        <v>0</v>
      </c>
      <c r="AH933" s="0" t="n">
        <f aca="false">D933*(LN(EXP(S933)+EXP(T933)))</f>
        <v>-0</v>
      </c>
      <c r="AJ933" s="0" t="n">
        <f aca="false">$J$5</f>
        <v>10</v>
      </c>
      <c r="AK933" s="4" t="n">
        <f aca="false">AJ933+MAX(K933,AK$10:AK932)</f>
        <v>11493.8510065018</v>
      </c>
      <c r="AL933" s="5" t="n">
        <f aca="false">AK933-K933</f>
        <v>18.6377929791524</v>
      </c>
      <c r="AM933" s="0" t="n">
        <f aca="false">-G933*AL933/3600</f>
        <v>-0.0544560594175187</v>
      </c>
      <c r="AN933" s="0" t="n">
        <f aca="false">-H933*AL933/3600</f>
        <v>-0.0369555868953149</v>
      </c>
      <c r="AO933" s="0" t="n">
        <f aca="false">AM933*E933+AN933*D933</f>
        <v>-0.0544560594175187</v>
      </c>
      <c r="AP933" s="0" t="n">
        <f aca="false">AL933*D933</f>
        <v>0</v>
      </c>
      <c r="AR933" s="0" t="n">
        <f aca="false">AN933*D933</f>
        <v>-0</v>
      </c>
      <c r="AS933" s="0" t="n">
        <f aca="false">AH933-AR933</f>
        <v>0</v>
      </c>
    </row>
    <row r="934" customFormat="false" ht="12" hidden="false" customHeight="false" outlineLevel="0" collapsed="false">
      <c r="A934" s="3" t="n">
        <f aca="false">A933+1</f>
        <v>925</v>
      </c>
      <c r="B934" s="3" t="n">
        <f aca="false">IF(A934&lt;$N$4/3,0.1,(IF(A934&gt;2*$N$4/3,0.05,0.12)))</f>
        <v>0.05</v>
      </c>
      <c r="C934" s="4" t="n">
        <f aca="true">RAND()</f>
        <v>0.680096502837678</v>
      </c>
      <c r="D934" s="0" t="n">
        <f aca="false">IF((C934&gt;$M$2),1,0)</f>
        <v>0</v>
      </c>
      <c r="E934" s="0" t="n">
        <f aca="false">1-D934</f>
        <v>1</v>
      </c>
      <c r="F934" s="0" t="n">
        <f aca="true">RAND()</f>
        <v>0.259911461737435</v>
      </c>
      <c r="G934" s="0" t="n">
        <f aca="false">7.75+F934*10</f>
        <v>10.3491146173744</v>
      </c>
      <c r="H934" s="0" t="n">
        <f aca="false">LOGINV(F934,2.64,1.139)</f>
        <v>6.73231223620798</v>
      </c>
      <c r="I934" s="0" t="n">
        <v>19.5</v>
      </c>
      <c r="J934" s="4" t="n">
        <f aca="true">-LN(RAND())/B934</f>
        <v>7.54076357032125</v>
      </c>
      <c r="K934" s="4" t="n">
        <f aca="false">K933+J934</f>
        <v>11482.753977093</v>
      </c>
      <c r="L934" s="4" t="n">
        <f aca="false">(1/$J$4)*(1+AB933)</f>
        <v>10</v>
      </c>
      <c r="M934" s="4" t="n">
        <f aca="false">L934+MAX(K934,Y$10:Y933)</f>
        <v>11503.8510065018</v>
      </c>
      <c r="N934" s="4" t="n">
        <f aca="false">K934</f>
        <v>11482.753977093</v>
      </c>
      <c r="O934" s="4" t="n">
        <f aca="false">M934-K934</f>
        <v>21.0970294088311</v>
      </c>
      <c r="P934" s="4" t="n">
        <f aca="false">N934-K934</f>
        <v>0</v>
      </c>
      <c r="Q934" s="4" t="n">
        <f aca="false">A934-MATCH(K934,$M$9:M933,1)</f>
        <v>2</v>
      </c>
      <c r="R934" s="0" t="n">
        <f aca="false">-G934*(O934/3600)</f>
        <v>-0.0606487709550306</v>
      </c>
      <c r="S934" s="0" t="n">
        <f aca="false">-1*I934-(H934*(P934/3600))</f>
        <v>-19.5</v>
      </c>
      <c r="T934" s="0" t="n">
        <f aca="false">-H934*(O934/3600)</f>
        <v>-0.0394532747879758</v>
      </c>
      <c r="U934" s="0" t="n">
        <f aca="false">T934-S934</f>
        <v>19.460546725212</v>
      </c>
      <c r="V934" s="0" t="n">
        <f aca="false">1/(1+EXP(U934))</f>
        <v>3.53502053434733E-009</v>
      </c>
      <c r="W934" s="0" t="n">
        <f aca="true">RAND()</f>
        <v>0.316204136814869</v>
      </c>
      <c r="X934" s="0" t="n">
        <f aca="false">IF(W934&lt;V934,1,0)</f>
        <v>0</v>
      </c>
      <c r="Y934" s="0" t="n">
        <f aca="false">(M934*(1-X934)+N934*X934)*D934+M934*E934</f>
        <v>11503.8510065018</v>
      </c>
      <c r="Z934" s="0" t="n">
        <f aca="false">((1-X934)*O934+X934*P934)*D934+E934*O934</f>
        <v>21.0970294088311</v>
      </c>
      <c r="AA934" s="0" t="n">
        <f aca="false">IF(D934*X934&gt;0,AA933,Q934)</f>
        <v>2</v>
      </c>
      <c r="AB934" s="0" t="n">
        <f aca="false">(X934*D934)</f>
        <v>0</v>
      </c>
      <c r="AC934" s="0" t="n">
        <f aca="false">SUM(AB$10:AB933)/K934</f>
        <v>8.70871223048849E-005</v>
      </c>
      <c r="AD934" s="0" t="n">
        <f aca="false">R934*E934+D934*(X934*S934+(1-X934)*T934)</f>
        <v>-0.0606487709550306</v>
      </c>
      <c r="AE934" s="0" t="n">
        <f aca="false">Z934</f>
        <v>21.0970294088311</v>
      </c>
      <c r="AF934" s="0" t="n">
        <f aca="false">E934*O934</f>
        <v>21.0970294088311</v>
      </c>
      <c r="AG934" s="0" t="n">
        <f aca="false">((1-X934)*O934+X934*P934)*D934</f>
        <v>0</v>
      </c>
      <c r="AH934" s="0" t="n">
        <f aca="false">D934*(LN(EXP(S934)+EXP(T934)))</f>
        <v>-0</v>
      </c>
      <c r="AJ934" s="0" t="n">
        <f aca="false">$J$5</f>
        <v>10</v>
      </c>
      <c r="AK934" s="4" t="n">
        <f aca="false">AJ934+MAX(K934,AK$10:AK933)</f>
        <v>11503.8510065018</v>
      </c>
      <c r="AL934" s="5" t="n">
        <f aca="false">AK934-K934</f>
        <v>21.0970294088311</v>
      </c>
      <c r="AM934" s="0" t="n">
        <f aca="false">-G934*AL934/3600</f>
        <v>-0.0606487709550306</v>
      </c>
      <c r="AN934" s="0" t="n">
        <f aca="false">-H934*AL934/3600</f>
        <v>-0.0394532747879758</v>
      </c>
      <c r="AO934" s="0" t="n">
        <f aca="false">AM934*E934+AN934*D934</f>
        <v>-0.0606487709550306</v>
      </c>
      <c r="AP934" s="0" t="n">
        <f aca="false">AL934*D934</f>
        <v>0</v>
      </c>
      <c r="AR934" s="0" t="n">
        <f aca="false">AN934*D934</f>
        <v>-0</v>
      </c>
      <c r="AS934" s="0" t="n">
        <f aca="false">AH934-AR934</f>
        <v>0</v>
      </c>
    </row>
    <row r="935" customFormat="false" ht="12" hidden="false" customHeight="false" outlineLevel="0" collapsed="false">
      <c r="A935" s="3" t="n">
        <f aca="false">A934+1</f>
        <v>926</v>
      </c>
      <c r="B935" s="3" t="n">
        <f aca="false">IF(A935&lt;$N$4/3,0.1,(IF(A935&gt;2*$N$4/3,0.05,0.12)))</f>
        <v>0.05</v>
      </c>
      <c r="C935" s="4" t="n">
        <f aca="true">RAND()</f>
        <v>0.712459703480265</v>
      </c>
      <c r="D935" s="0" t="n">
        <f aca="false">IF((C935&gt;$M$2),1,0)</f>
        <v>0</v>
      </c>
      <c r="E935" s="0" t="n">
        <f aca="false">1-D935</f>
        <v>1</v>
      </c>
      <c r="F935" s="0" t="n">
        <f aca="true">RAND()</f>
        <v>0.191627393442538</v>
      </c>
      <c r="G935" s="0" t="n">
        <f aca="false">7.75+F935*10</f>
        <v>9.66627393442538</v>
      </c>
      <c r="H935" s="0" t="n">
        <f aca="false">LOGINV(F935,2.64,1.139)</f>
        <v>5.19080552393294</v>
      </c>
      <c r="I935" s="0" t="n">
        <v>19.5</v>
      </c>
      <c r="J935" s="4" t="n">
        <f aca="true">-LN(RAND())/B935</f>
        <v>5.90292702378871</v>
      </c>
      <c r="K935" s="4" t="n">
        <f aca="false">K934+J935</f>
        <v>11488.6569041168</v>
      </c>
      <c r="L935" s="4" t="n">
        <f aca="false">(1/$J$4)*(1+AB934)</f>
        <v>10</v>
      </c>
      <c r="M935" s="4" t="n">
        <f aca="false">L935+MAX(K935,Y$10:Y934)</f>
        <v>11513.8510065018</v>
      </c>
      <c r="N935" s="4" t="n">
        <f aca="false">K935</f>
        <v>11488.6569041168</v>
      </c>
      <c r="O935" s="4" t="n">
        <f aca="false">M935-K935</f>
        <v>25.1941023850432</v>
      </c>
      <c r="P935" s="4" t="n">
        <f aca="false">N935-K935</f>
        <v>0</v>
      </c>
      <c r="Q935" s="4" t="n">
        <f aca="false">A935-MATCH(K935,$M$9:M934,1)</f>
        <v>2</v>
      </c>
      <c r="R935" s="0" t="n">
        <f aca="false">-G935*(O935/3600)</f>
        <v>-0.067648081996052</v>
      </c>
      <c r="S935" s="0" t="n">
        <f aca="false">-1*I935-(H935*(P935/3600))</f>
        <v>-19.5</v>
      </c>
      <c r="T935" s="0" t="n">
        <f aca="false">-H935*(O935/3600)</f>
        <v>-0.0363271349530039</v>
      </c>
      <c r="U935" s="0" t="n">
        <f aca="false">T935-S935</f>
        <v>19.463672865047</v>
      </c>
      <c r="V935" s="0" t="n">
        <f aca="false">1/(1+EXP(U935))</f>
        <v>3.52398682132712E-009</v>
      </c>
      <c r="W935" s="0" t="n">
        <f aca="true">RAND()</f>
        <v>0.827715700320548</v>
      </c>
      <c r="X935" s="0" t="n">
        <f aca="false">IF(W935&lt;V935,1,0)</f>
        <v>0</v>
      </c>
      <c r="Y935" s="0" t="n">
        <f aca="false">(M935*(1-X935)+N935*X935)*D935+M935*E935</f>
        <v>11513.8510065018</v>
      </c>
      <c r="Z935" s="0" t="n">
        <f aca="false">((1-X935)*O935+X935*P935)*D935+E935*O935</f>
        <v>25.1941023850432</v>
      </c>
      <c r="AA935" s="0" t="n">
        <f aca="false">IF(D935*X935&gt;0,AA934,Q935)</f>
        <v>2</v>
      </c>
      <c r="AB935" s="0" t="n">
        <f aca="false">(X935*D935)</f>
        <v>0</v>
      </c>
      <c r="AC935" s="0" t="n">
        <f aca="false">SUM(AB$10:AB934)/K935</f>
        <v>8.70423765237228E-005</v>
      </c>
      <c r="AD935" s="0" t="n">
        <f aca="false">R935*E935+D935*(X935*S935+(1-X935)*T935)</f>
        <v>-0.067648081996052</v>
      </c>
      <c r="AE935" s="0" t="n">
        <f aca="false">Z935</f>
        <v>25.1941023850432</v>
      </c>
      <c r="AF935" s="0" t="n">
        <f aca="false">E935*O935</f>
        <v>25.1941023850432</v>
      </c>
      <c r="AG935" s="0" t="n">
        <f aca="false">((1-X935)*O935+X935*P935)*D935</f>
        <v>0</v>
      </c>
      <c r="AH935" s="0" t="n">
        <f aca="false">D935*(LN(EXP(S935)+EXP(T935)))</f>
        <v>-0</v>
      </c>
      <c r="AJ935" s="0" t="n">
        <f aca="false">$J$5</f>
        <v>10</v>
      </c>
      <c r="AK935" s="4" t="n">
        <f aca="false">AJ935+MAX(K935,AK$10:AK934)</f>
        <v>11513.8510065018</v>
      </c>
      <c r="AL935" s="5" t="n">
        <f aca="false">AK935-K935</f>
        <v>25.1941023850432</v>
      </c>
      <c r="AM935" s="0" t="n">
        <f aca="false">-G935*AL935/3600</f>
        <v>-0.067648081996052</v>
      </c>
      <c r="AN935" s="0" t="n">
        <f aca="false">-H935*AL935/3600</f>
        <v>-0.0363271349530039</v>
      </c>
      <c r="AO935" s="0" t="n">
        <f aca="false">AM935*E935+AN935*D935</f>
        <v>-0.067648081996052</v>
      </c>
      <c r="AP935" s="0" t="n">
        <f aca="false">AL935*D935</f>
        <v>0</v>
      </c>
      <c r="AR935" s="0" t="n">
        <f aca="false">AN935*D935</f>
        <v>-0</v>
      </c>
      <c r="AS935" s="0" t="n">
        <f aca="false">AH935-AR935</f>
        <v>0</v>
      </c>
    </row>
    <row r="936" customFormat="false" ht="12" hidden="false" customHeight="false" outlineLevel="0" collapsed="false">
      <c r="A936" s="3" t="n">
        <f aca="false">A935+1</f>
        <v>927</v>
      </c>
      <c r="B936" s="3" t="n">
        <f aca="false">IF(A936&lt;$N$4/3,0.1,(IF(A936&gt;2*$N$4/3,0.05,0.12)))</f>
        <v>0.05</v>
      </c>
      <c r="C936" s="4" t="n">
        <f aca="true">RAND()</f>
        <v>0.352292761606751</v>
      </c>
      <c r="D936" s="0" t="n">
        <f aca="false">IF((C936&gt;$M$2),1,0)</f>
        <v>0</v>
      </c>
      <c r="E936" s="0" t="n">
        <f aca="false">1-D936</f>
        <v>1</v>
      </c>
      <c r="F936" s="0" t="n">
        <f aca="true">RAND()</f>
        <v>0.708888000880696</v>
      </c>
      <c r="G936" s="0" t="n">
        <f aca="false">7.75+F936*10</f>
        <v>14.838880008807</v>
      </c>
      <c r="H936" s="0" t="n">
        <f aca="false">LOGINV(F936,2.64,1.139)</f>
        <v>26.2222526589479</v>
      </c>
      <c r="I936" s="0" t="n">
        <v>19.5</v>
      </c>
      <c r="J936" s="4" t="n">
        <f aca="true">-LN(RAND())/B936</f>
        <v>15.8812109557948</v>
      </c>
      <c r="K936" s="4" t="n">
        <f aca="false">K935+J936</f>
        <v>11504.5381150726</v>
      </c>
      <c r="L936" s="4" t="n">
        <f aca="false">(1/$J$4)*(1+AB935)</f>
        <v>10</v>
      </c>
      <c r="M936" s="4" t="n">
        <f aca="false">L936+MAX(K936,Y$10:Y935)</f>
        <v>11523.8510065018</v>
      </c>
      <c r="N936" s="4" t="n">
        <f aca="false">K936</f>
        <v>11504.5381150726</v>
      </c>
      <c r="O936" s="4" t="n">
        <f aca="false">M936-K936</f>
        <v>19.3128914292483</v>
      </c>
      <c r="P936" s="4" t="n">
        <f aca="false">N936-K936</f>
        <v>0</v>
      </c>
      <c r="Q936" s="4" t="n">
        <f aca="false">A936-MATCH(K936,$M$9:M935,1)</f>
        <v>1</v>
      </c>
      <c r="R936" s="0" t="n">
        <f aca="false">-G936*(O936/3600)</f>
        <v>-0.0796060218171479</v>
      </c>
      <c r="S936" s="0" t="n">
        <f aca="false">-1*I936-(H936*(P936/3600))</f>
        <v>-19.5</v>
      </c>
      <c r="T936" s="0" t="n">
        <f aca="false">-H936*(O936/3600)</f>
        <v>-0.140674310731272</v>
      </c>
      <c r="U936" s="0" t="n">
        <f aca="false">T936-S936</f>
        <v>19.3593256892687</v>
      </c>
      <c r="V936" s="0" t="n">
        <f aca="false">1/(1+EXP(U936))</f>
        <v>3.91157514698563E-009</v>
      </c>
      <c r="W936" s="0" t="n">
        <f aca="true">RAND()</f>
        <v>0.526434953031217</v>
      </c>
      <c r="X936" s="0" t="n">
        <f aca="false">IF(W936&lt;V936,1,0)</f>
        <v>0</v>
      </c>
      <c r="Y936" s="0" t="n">
        <f aca="false">(M936*(1-X936)+N936*X936)*D936+M936*E936</f>
        <v>11523.8510065018</v>
      </c>
      <c r="Z936" s="0" t="n">
        <f aca="false">((1-X936)*O936+X936*P936)*D936+E936*O936</f>
        <v>19.3128914292483</v>
      </c>
      <c r="AA936" s="0" t="n">
        <f aca="false">IF(D936*X936&gt;0,AA935,Q936)</f>
        <v>1</v>
      </c>
      <c r="AB936" s="0" t="n">
        <f aca="false">(X936*D936)</f>
        <v>0</v>
      </c>
      <c r="AC936" s="0" t="n">
        <f aca="false">SUM(AB$10:AB935)/K936</f>
        <v>8.69222206052635E-005</v>
      </c>
      <c r="AD936" s="0" t="n">
        <f aca="false">R936*E936+D936*(X936*S936+(1-X936)*T936)</f>
        <v>-0.0796060218171479</v>
      </c>
      <c r="AE936" s="0" t="n">
        <f aca="false">Z936</f>
        <v>19.3128914292483</v>
      </c>
      <c r="AF936" s="0" t="n">
        <f aca="false">E936*O936</f>
        <v>19.3128914292483</v>
      </c>
      <c r="AG936" s="0" t="n">
        <f aca="false">((1-X936)*O936+X936*P936)*D936</f>
        <v>0</v>
      </c>
      <c r="AH936" s="0" t="n">
        <f aca="false">D936*(LN(EXP(S936)+EXP(T936)))</f>
        <v>-0</v>
      </c>
      <c r="AJ936" s="0" t="n">
        <f aca="false">$J$5</f>
        <v>10</v>
      </c>
      <c r="AK936" s="4" t="n">
        <f aca="false">AJ936+MAX(K936,AK$10:AK935)</f>
        <v>11523.8510065018</v>
      </c>
      <c r="AL936" s="5" t="n">
        <f aca="false">AK936-K936</f>
        <v>19.3128914292483</v>
      </c>
      <c r="AM936" s="0" t="n">
        <f aca="false">-G936*AL936/3600</f>
        <v>-0.0796060218171479</v>
      </c>
      <c r="AN936" s="0" t="n">
        <f aca="false">-H936*AL936/3600</f>
        <v>-0.140674310731272</v>
      </c>
      <c r="AO936" s="0" t="n">
        <f aca="false">AM936*E936+AN936*D936</f>
        <v>-0.0796060218171479</v>
      </c>
      <c r="AP936" s="0" t="n">
        <f aca="false">AL936*D936</f>
        <v>0</v>
      </c>
      <c r="AR936" s="0" t="n">
        <f aca="false">AN936*D936</f>
        <v>-0</v>
      </c>
      <c r="AS936" s="0" t="n">
        <f aca="false">AH936-AR936</f>
        <v>0</v>
      </c>
    </row>
    <row r="937" customFormat="false" ht="12" hidden="false" customHeight="false" outlineLevel="0" collapsed="false">
      <c r="A937" s="3" t="n">
        <f aca="false">A936+1</f>
        <v>928</v>
      </c>
      <c r="B937" s="3" t="n">
        <f aca="false">IF(A937&lt;$N$4/3,0.1,(IF(A937&gt;2*$N$4/3,0.05,0.12)))</f>
        <v>0.05</v>
      </c>
      <c r="C937" s="4" t="n">
        <f aca="true">RAND()</f>
        <v>0.54702255646585</v>
      </c>
      <c r="D937" s="0" t="n">
        <f aca="false">IF((C937&gt;$M$2),1,0)</f>
        <v>0</v>
      </c>
      <c r="E937" s="0" t="n">
        <f aca="false">1-D937</f>
        <v>1</v>
      </c>
      <c r="F937" s="0" t="n">
        <f aca="true">RAND()</f>
        <v>0.846580592695943</v>
      </c>
      <c r="G937" s="0" t="n">
        <f aca="false">7.75+F937*10</f>
        <v>16.2158059269594</v>
      </c>
      <c r="H937" s="0" t="n">
        <f aca="false">LOGINV(F937,2.64,1.139)</f>
        <v>44.8766958540375</v>
      </c>
      <c r="I937" s="0" t="n">
        <v>19.5</v>
      </c>
      <c r="J937" s="4" t="n">
        <f aca="true">-LN(RAND())/B937</f>
        <v>7.51690301186715</v>
      </c>
      <c r="K937" s="4" t="n">
        <f aca="false">K936+J937</f>
        <v>11512.0550180844</v>
      </c>
      <c r="L937" s="4" t="n">
        <f aca="false">(1/$J$4)*(1+AB936)</f>
        <v>10</v>
      </c>
      <c r="M937" s="4" t="n">
        <f aca="false">L937+MAX(K937,Y$10:Y936)</f>
        <v>11533.8510065018</v>
      </c>
      <c r="N937" s="4" t="n">
        <f aca="false">K937</f>
        <v>11512.0550180844</v>
      </c>
      <c r="O937" s="4" t="n">
        <f aca="false">M937-K937</f>
        <v>21.7959884173815</v>
      </c>
      <c r="P937" s="4" t="n">
        <f aca="false">N937-K937</f>
        <v>0</v>
      </c>
      <c r="Q937" s="4" t="n">
        <f aca="false">A937-MATCH(K937,$M$9:M936,1)</f>
        <v>2</v>
      </c>
      <c r="R937" s="0" t="n">
        <f aca="false">-G937*(O937/3600)</f>
        <v>-0.0981776439340318</v>
      </c>
      <c r="S937" s="0" t="n">
        <f aca="false">-1*I937-(H937*(P937/3600))</f>
        <v>-19.5</v>
      </c>
      <c r="T937" s="0" t="n">
        <f aca="false">-H937*(O937/3600)</f>
        <v>-0.271703317512488</v>
      </c>
      <c r="U937" s="0" t="n">
        <f aca="false">T937-S937</f>
        <v>19.2282966824875</v>
      </c>
      <c r="V937" s="0" t="n">
        <f aca="false">1/(1+EXP(U937))</f>
        <v>4.45919898443583E-009</v>
      </c>
      <c r="W937" s="0" t="n">
        <f aca="true">RAND()</f>
        <v>0.931605953191677</v>
      </c>
      <c r="X937" s="0" t="n">
        <f aca="false">IF(W937&lt;V937,1,0)</f>
        <v>0</v>
      </c>
      <c r="Y937" s="0" t="n">
        <f aca="false">(M937*(1-X937)+N937*X937)*D937+M937*E937</f>
        <v>11533.8510065018</v>
      </c>
      <c r="Z937" s="0" t="n">
        <f aca="false">((1-X937)*O937+X937*P937)*D937+E937*O937</f>
        <v>21.7959884173815</v>
      </c>
      <c r="AA937" s="0" t="n">
        <f aca="false">IF(D937*X937&gt;0,AA936,Q937)</f>
        <v>2</v>
      </c>
      <c r="AB937" s="0" t="n">
        <f aca="false">(X937*D937)</f>
        <v>0</v>
      </c>
      <c r="AC937" s="0" t="n">
        <f aca="false">SUM(AB$10:AB936)/K937</f>
        <v>8.68654639357688E-005</v>
      </c>
      <c r="AD937" s="0" t="n">
        <f aca="false">R937*E937+D937*(X937*S937+(1-X937)*T937)</f>
        <v>-0.0981776439340318</v>
      </c>
      <c r="AE937" s="0" t="n">
        <f aca="false">Z937</f>
        <v>21.7959884173815</v>
      </c>
      <c r="AF937" s="0" t="n">
        <f aca="false">E937*O937</f>
        <v>21.7959884173815</v>
      </c>
      <c r="AG937" s="0" t="n">
        <f aca="false">((1-X937)*O937+X937*P937)*D937</f>
        <v>0</v>
      </c>
      <c r="AH937" s="0" t="n">
        <f aca="false">D937*(LN(EXP(S937)+EXP(T937)))</f>
        <v>-0</v>
      </c>
      <c r="AJ937" s="0" t="n">
        <f aca="false">$J$5</f>
        <v>10</v>
      </c>
      <c r="AK937" s="4" t="n">
        <f aca="false">AJ937+MAX(K937,AK$10:AK936)</f>
        <v>11533.8510065018</v>
      </c>
      <c r="AL937" s="5" t="n">
        <f aca="false">AK937-K937</f>
        <v>21.7959884173815</v>
      </c>
      <c r="AM937" s="0" t="n">
        <f aca="false">-G937*AL937/3600</f>
        <v>-0.0981776439340318</v>
      </c>
      <c r="AN937" s="0" t="n">
        <f aca="false">-H937*AL937/3600</f>
        <v>-0.271703317512488</v>
      </c>
      <c r="AO937" s="0" t="n">
        <f aca="false">AM937*E937+AN937*D937</f>
        <v>-0.0981776439340318</v>
      </c>
      <c r="AP937" s="0" t="n">
        <f aca="false">AL937*D937</f>
        <v>0</v>
      </c>
      <c r="AR937" s="0" t="n">
        <f aca="false">AN937*D937</f>
        <v>-0</v>
      </c>
      <c r="AS937" s="0" t="n">
        <f aca="false">AH937-AR937</f>
        <v>0</v>
      </c>
    </row>
    <row r="938" customFormat="false" ht="12" hidden="false" customHeight="false" outlineLevel="0" collapsed="false">
      <c r="A938" s="3" t="n">
        <f aca="false">A937+1</f>
        <v>929</v>
      </c>
      <c r="B938" s="3" t="n">
        <f aca="false">IF(A938&lt;$N$4/3,0.1,(IF(A938&gt;2*$N$4/3,0.05,0.12)))</f>
        <v>0.05</v>
      </c>
      <c r="C938" s="4" t="n">
        <f aca="true">RAND()</f>
        <v>0.372551859477896</v>
      </c>
      <c r="D938" s="0" t="n">
        <f aca="false">IF((C938&gt;$M$2),1,0)</f>
        <v>0</v>
      </c>
      <c r="E938" s="0" t="n">
        <f aca="false">1-D938</f>
        <v>1</v>
      </c>
      <c r="F938" s="0" t="n">
        <f aca="true">RAND()</f>
        <v>0.157329065485379</v>
      </c>
      <c r="G938" s="0" t="n">
        <f aca="false">7.75+F938*10</f>
        <v>9.32329065485379</v>
      </c>
      <c r="H938" s="0" t="n">
        <f aca="false">LOGINV(F938,2.64,1.139)</f>
        <v>4.45817812053128</v>
      </c>
      <c r="I938" s="0" t="n">
        <v>19.5</v>
      </c>
      <c r="J938" s="4" t="n">
        <f aca="true">-LN(RAND())/B938</f>
        <v>59.4367737913696</v>
      </c>
      <c r="K938" s="4" t="n">
        <f aca="false">K937+J938</f>
        <v>11571.4917918758</v>
      </c>
      <c r="L938" s="4" t="n">
        <f aca="false">(1/$J$4)*(1+AB937)</f>
        <v>10</v>
      </c>
      <c r="M938" s="4" t="n">
        <f aca="false">L938+MAX(K938,Y$10:Y937)</f>
        <v>11581.4917918758</v>
      </c>
      <c r="N938" s="4" t="n">
        <f aca="false">K938</f>
        <v>11571.4917918758</v>
      </c>
      <c r="O938" s="4" t="n">
        <f aca="false">M938-K938</f>
        <v>10</v>
      </c>
      <c r="P938" s="4" t="n">
        <f aca="false">N938-K938</f>
        <v>0</v>
      </c>
      <c r="Q938" s="4" t="n">
        <f aca="false">A938-MATCH(K938,$M$9:M937,1)</f>
        <v>0</v>
      </c>
      <c r="R938" s="0" t="n">
        <f aca="false">-G938*(O938/3600)</f>
        <v>-0.0258980295968161</v>
      </c>
      <c r="S938" s="0" t="n">
        <f aca="false">-1*I938-(H938*(P938/3600))</f>
        <v>-19.5</v>
      </c>
      <c r="T938" s="0" t="n">
        <f aca="false">-H938*(O938/3600)</f>
        <v>-0.0123838281125869</v>
      </c>
      <c r="U938" s="0" t="n">
        <f aca="false">T938-S938</f>
        <v>19.4876161718874</v>
      </c>
      <c r="V938" s="0" t="n">
        <f aca="false">1/(1+EXP(U938))</f>
        <v>3.44061302901806E-009</v>
      </c>
      <c r="W938" s="0" t="n">
        <f aca="true">RAND()</f>
        <v>0.96025905709388</v>
      </c>
      <c r="X938" s="0" t="n">
        <f aca="false">IF(W938&lt;V938,1,0)</f>
        <v>0</v>
      </c>
      <c r="Y938" s="0" t="n">
        <f aca="false">(M938*(1-X938)+N938*X938)*D938+M938*E938</f>
        <v>11581.4917918758</v>
      </c>
      <c r="Z938" s="0" t="n">
        <f aca="false">((1-X938)*O938+X938*P938)*D938+E938*O938</f>
        <v>10</v>
      </c>
      <c r="AA938" s="0" t="n">
        <f aca="false">IF(D938*X938&gt;0,AA937,Q938)</f>
        <v>0</v>
      </c>
      <c r="AB938" s="0" t="n">
        <f aca="false">(X938*D938)</f>
        <v>0</v>
      </c>
      <c r="AC938" s="0" t="n">
        <f aca="false">SUM(AB$10:AB937)/K938</f>
        <v>8.64192809350725E-005</v>
      </c>
      <c r="AD938" s="0" t="n">
        <f aca="false">R938*E938+D938*(X938*S938+(1-X938)*T938)</f>
        <v>-0.0258980295968161</v>
      </c>
      <c r="AE938" s="0" t="n">
        <f aca="false">Z938</f>
        <v>10</v>
      </c>
      <c r="AF938" s="0" t="n">
        <f aca="false">E938*O938</f>
        <v>10</v>
      </c>
      <c r="AG938" s="0" t="n">
        <f aca="false">((1-X938)*O938+X938*P938)*D938</f>
        <v>0</v>
      </c>
      <c r="AH938" s="0" t="n">
        <f aca="false">D938*(LN(EXP(S938)+EXP(T938)))</f>
        <v>-0</v>
      </c>
      <c r="AJ938" s="0" t="n">
        <f aca="false">$J$5</f>
        <v>10</v>
      </c>
      <c r="AK938" s="4" t="n">
        <f aca="false">AJ938+MAX(K938,AK$10:AK937)</f>
        <v>11581.4917918758</v>
      </c>
      <c r="AL938" s="5" t="n">
        <f aca="false">AK938-K938</f>
        <v>10</v>
      </c>
      <c r="AM938" s="0" t="n">
        <f aca="false">-G938*AL938/3600</f>
        <v>-0.0258980295968161</v>
      </c>
      <c r="AN938" s="0" t="n">
        <f aca="false">-H938*AL938/3600</f>
        <v>-0.0123838281125869</v>
      </c>
      <c r="AO938" s="0" t="n">
        <f aca="false">AM938*E938+AN938*D938</f>
        <v>-0.0258980295968161</v>
      </c>
      <c r="AP938" s="0" t="n">
        <f aca="false">AL938*D938</f>
        <v>0</v>
      </c>
      <c r="AR938" s="0" t="n">
        <f aca="false">AN938*D938</f>
        <v>-0</v>
      </c>
      <c r="AS938" s="0" t="n">
        <f aca="false">AH938-AR938</f>
        <v>0</v>
      </c>
    </row>
    <row r="939" customFormat="false" ht="12" hidden="false" customHeight="false" outlineLevel="0" collapsed="false">
      <c r="A939" s="3" t="n">
        <f aca="false">A938+1</f>
        <v>930</v>
      </c>
      <c r="B939" s="3" t="n">
        <f aca="false">IF(A939&lt;$N$4/3,0.1,(IF(A939&gt;2*$N$4/3,0.05,0.12)))</f>
        <v>0.05</v>
      </c>
      <c r="C939" s="4" t="n">
        <f aca="true">RAND()</f>
        <v>0.869670374635353</v>
      </c>
      <c r="D939" s="0" t="n">
        <f aca="false">IF((C939&gt;$M$2),1,0)</f>
        <v>0</v>
      </c>
      <c r="E939" s="0" t="n">
        <f aca="false">1-D939</f>
        <v>1</v>
      </c>
      <c r="F939" s="0" t="n">
        <f aca="true">RAND()</f>
        <v>0.724603305026116</v>
      </c>
      <c r="G939" s="0" t="n">
        <f aca="false">7.75+F939*10</f>
        <v>14.9960330502612</v>
      </c>
      <c r="H939" s="0" t="n">
        <f aca="false">LOGINV(F939,2.64,1.139)</f>
        <v>27.6463892801834</v>
      </c>
      <c r="I939" s="0" t="n">
        <v>19.5</v>
      </c>
      <c r="J939" s="4" t="n">
        <f aca="true">-LN(RAND())/B939</f>
        <v>19.479673624592</v>
      </c>
      <c r="K939" s="4" t="n">
        <f aca="false">K938+J939</f>
        <v>11590.9714655004</v>
      </c>
      <c r="L939" s="4" t="n">
        <f aca="false">(1/$J$4)*(1+AB938)</f>
        <v>10</v>
      </c>
      <c r="M939" s="4" t="n">
        <f aca="false">L939+MAX(K939,Y$10:Y938)</f>
        <v>11600.9714655004</v>
      </c>
      <c r="N939" s="4" t="n">
        <f aca="false">K939</f>
        <v>11590.9714655004</v>
      </c>
      <c r="O939" s="4" t="n">
        <f aca="false">M939-K939</f>
        <v>10</v>
      </c>
      <c r="P939" s="4" t="n">
        <f aca="false">N939-K939</f>
        <v>0</v>
      </c>
      <c r="Q939" s="4" t="n">
        <f aca="false">A939-MATCH(K939,$M$9:M938,1)</f>
        <v>0</v>
      </c>
      <c r="R939" s="0" t="n">
        <f aca="false">-G939*(O939/3600)</f>
        <v>-0.0416556473618365</v>
      </c>
      <c r="S939" s="0" t="n">
        <f aca="false">-1*I939-(H939*(P939/3600))</f>
        <v>-19.5</v>
      </c>
      <c r="T939" s="0" t="n">
        <f aca="false">-H939*(O939/3600)</f>
        <v>-0.0767955257782871</v>
      </c>
      <c r="U939" s="0" t="n">
        <f aca="false">T939-S939</f>
        <v>19.4232044742217</v>
      </c>
      <c r="V939" s="0" t="n">
        <f aca="false">1/(1+EXP(U939))</f>
        <v>3.6695218191034E-009</v>
      </c>
      <c r="W939" s="0" t="n">
        <f aca="true">RAND()</f>
        <v>0.0512181069568358</v>
      </c>
      <c r="X939" s="0" t="n">
        <f aca="false">IF(W939&lt;V939,1,0)</f>
        <v>0</v>
      </c>
      <c r="Y939" s="0" t="n">
        <f aca="false">(M939*(1-X939)+N939*X939)*D939+M939*E939</f>
        <v>11600.9714655004</v>
      </c>
      <c r="Z939" s="0" t="n">
        <f aca="false">((1-X939)*O939+X939*P939)*D939+E939*O939</f>
        <v>10</v>
      </c>
      <c r="AA939" s="0" t="n">
        <f aca="false">IF(D939*X939&gt;0,AA938,Q939)</f>
        <v>0</v>
      </c>
      <c r="AB939" s="0" t="n">
        <f aca="false">(X939*D939)</f>
        <v>0</v>
      </c>
      <c r="AC939" s="0" t="n">
        <f aca="false">SUM(AB$10:AB938)/K939</f>
        <v>8.62740455341833E-005</v>
      </c>
      <c r="AD939" s="0" t="n">
        <f aca="false">R939*E939+D939*(X939*S939+(1-X939)*T939)</f>
        <v>-0.0416556473618365</v>
      </c>
      <c r="AE939" s="0" t="n">
        <f aca="false">Z939</f>
        <v>10</v>
      </c>
      <c r="AF939" s="0" t="n">
        <f aca="false">E939*O939</f>
        <v>10</v>
      </c>
      <c r="AG939" s="0" t="n">
        <f aca="false">((1-X939)*O939+X939*P939)*D939</f>
        <v>0</v>
      </c>
      <c r="AH939" s="0" t="n">
        <f aca="false">D939*(LN(EXP(S939)+EXP(T939)))</f>
        <v>-0</v>
      </c>
      <c r="AJ939" s="0" t="n">
        <f aca="false">$J$5</f>
        <v>10</v>
      </c>
      <c r="AK939" s="4" t="n">
        <f aca="false">AJ939+MAX(K939,AK$10:AK938)</f>
        <v>11600.9714655004</v>
      </c>
      <c r="AL939" s="5" t="n">
        <f aca="false">AK939-K939</f>
        <v>10</v>
      </c>
      <c r="AM939" s="0" t="n">
        <f aca="false">-G939*AL939/3600</f>
        <v>-0.0416556473618365</v>
      </c>
      <c r="AN939" s="0" t="n">
        <f aca="false">-H939*AL939/3600</f>
        <v>-0.0767955257782871</v>
      </c>
      <c r="AO939" s="0" t="n">
        <f aca="false">AM939*E939+AN939*D939</f>
        <v>-0.0416556473618365</v>
      </c>
      <c r="AP939" s="0" t="n">
        <f aca="false">AL939*D939</f>
        <v>0</v>
      </c>
      <c r="AR939" s="0" t="n">
        <f aca="false">AN939*D939</f>
        <v>-0</v>
      </c>
      <c r="AS939" s="0" t="n">
        <f aca="false">AH939-AR939</f>
        <v>0</v>
      </c>
    </row>
    <row r="940" customFormat="false" ht="12" hidden="false" customHeight="false" outlineLevel="0" collapsed="false">
      <c r="A940" s="3" t="n">
        <f aca="false">A939+1</f>
        <v>931</v>
      </c>
      <c r="B940" s="3" t="n">
        <f aca="false">IF(A940&lt;$N$4/3,0.1,(IF(A940&gt;2*$N$4/3,0.05,0.12)))</f>
        <v>0.05</v>
      </c>
      <c r="C940" s="4" t="n">
        <f aca="true">RAND()</f>
        <v>0.481649343067116</v>
      </c>
      <c r="D940" s="0" t="n">
        <f aca="false">IF((C940&gt;$M$2),1,0)</f>
        <v>0</v>
      </c>
      <c r="E940" s="0" t="n">
        <f aca="false">1-D940</f>
        <v>1</v>
      </c>
      <c r="F940" s="0" t="n">
        <f aca="true">RAND()</f>
        <v>0.660386285330323</v>
      </c>
      <c r="G940" s="0" t="n">
        <f aca="false">7.75+F940*10</f>
        <v>14.3538628533032</v>
      </c>
      <c r="H940" s="0" t="n">
        <f aca="false">LOGINV(F940,2.64,1.139)</f>
        <v>22.4433991839797</v>
      </c>
      <c r="I940" s="0" t="n">
        <v>19.5</v>
      </c>
      <c r="J940" s="4" t="n">
        <f aca="true">-LN(RAND())/B940</f>
        <v>3.19770230030448</v>
      </c>
      <c r="K940" s="4" t="n">
        <f aca="false">K939+J940</f>
        <v>11594.1691678007</v>
      </c>
      <c r="L940" s="4" t="n">
        <f aca="false">(1/$J$4)*(1+AB939)</f>
        <v>10</v>
      </c>
      <c r="M940" s="4" t="n">
        <f aca="false">L940+MAX(K940,Y$10:Y939)</f>
        <v>11610.9714655004</v>
      </c>
      <c r="N940" s="4" t="n">
        <f aca="false">K940</f>
        <v>11594.1691678007</v>
      </c>
      <c r="O940" s="4" t="n">
        <f aca="false">M940-K940</f>
        <v>16.8022976996963</v>
      </c>
      <c r="P940" s="4" t="n">
        <f aca="false">N940-K940</f>
        <v>0</v>
      </c>
      <c r="Q940" s="4" t="n">
        <f aca="false">A940-MATCH(K940,$M$9:M939,1)</f>
        <v>1</v>
      </c>
      <c r="R940" s="0" t="n">
        <f aca="false">-G940*(O940/3600)</f>
        <v>-0.0669938546671702</v>
      </c>
      <c r="S940" s="0" t="n">
        <f aca="false">-1*I940-(H940*(P940/3600))</f>
        <v>-19.5</v>
      </c>
      <c r="T940" s="0" t="n">
        <f aca="false">-H940*(O940/3600)</f>
        <v>-0.104750187356208</v>
      </c>
      <c r="U940" s="0" t="n">
        <f aca="false">T940-S940</f>
        <v>19.3952498126438</v>
      </c>
      <c r="V940" s="0" t="n">
        <f aca="false">1/(1+EXP(U940))</f>
        <v>3.77354931161373E-009</v>
      </c>
      <c r="W940" s="0" t="n">
        <f aca="true">RAND()</f>
        <v>0.0787600131400043</v>
      </c>
      <c r="X940" s="0" t="n">
        <f aca="false">IF(W940&lt;V940,1,0)</f>
        <v>0</v>
      </c>
      <c r="Y940" s="0" t="n">
        <f aca="false">(M940*(1-X940)+N940*X940)*D940+M940*E940</f>
        <v>11610.9714655004</v>
      </c>
      <c r="Z940" s="0" t="n">
        <f aca="false">((1-X940)*O940+X940*P940)*D940+E940*O940</f>
        <v>16.8022976996963</v>
      </c>
      <c r="AA940" s="0" t="n">
        <f aca="false">IF(D940*X940&gt;0,AA939,Q940)</f>
        <v>1</v>
      </c>
      <c r="AB940" s="0" t="n">
        <f aca="false">(X940*D940)</f>
        <v>0</v>
      </c>
      <c r="AC940" s="0" t="n">
        <f aca="false">SUM(AB$10:AB939)/K940</f>
        <v>8.62502509258876E-005</v>
      </c>
      <c r="AD940" s="0" t="n">
        <f aca="false">R940*E940+D940*(X940*S940+(1-X940)*T940)</f>
        <v>-0.0669938546671702</v>
      </c>
      <c r="AE940" s="0" t="n">
        <f aca="false">Z940</f>
        <v>16.8022976996963</v>
      </c>
      <c r="AF940" s="0" t="n">
        <f aca="false">E940*O940</f>
        <v>16.8022976996963</v>
      </c>
      <c r="AG940" s="0" t="n">
        <f aca="false">((1-X940)*O940+X940*P940)*D940</f>
        <v>0</v>
      </c>
      <c r="AH940" s="0" t="n">
        <f aca="false">D940*(LN(EXP(S940)+EXP(T940)))</f>
        <v>-0</v>
      </c>
      <c r="AJ940" s="0" t="n">
        <f aca="false">$J$5</f>
        <v>10</v>
      </c>
      <c r="AK940" s="4" t="n">
        <f aca="false">AJ940+MAX(K940,AK$10:AK939)</f>
        <v>11610.9714655004</v>
      </c>
      <c r="AL940" s="5" t="n">
        <f aca="false">AK940-K940</f>
        <v>16.8022976996963</v>
      </c>
      <c r="AM940" s="0" t="n">
        <f aca="false">-G940*AL940/3600</f>
        <v>-0.0669938546671702</v>
      </c>
      <c r="AN940" s="0" t="n">
        <f aca="false">-H940*AL940/3600</f>
        <v>-0.104750187356208</v>
      </c>
      <c r="AO940" s="0" t="n">
        <f aca="false">AM940*E940+AN940*D940</f>
        <v>-0.0669938546671702</v>
      </c>
      <c r="AP940" s="0" t="n">
        <f aca="false">AL940*D940</f>
        <v>0</v>
      </c>
      <c r="AR940" s="0" t="n">
        <f aca="false">AN940*D940</f>
        <v>-0</v>
      </c>
      <c r="AS940" s="0" t="n">
        <f aca="false">AH940-AR940</f>
        <v>0</v>
      </c>
    </row>
    <row r="941" customFormat="false" ht="12" hidden="false" customHeight="false" outlineLevel="0" collapsed="false">
      <c r="A941" s="3" t="n">
        <f aca="false">A940+1</f>
        <v>932</v>
      </c>
      <c r="B941" s="3" t="n">
        <f aca="false">IF(A941&lt;$N$4/3,0.1,(IF(A941&gt;2*$N$4/3,0.05,0.12)))</f>
        <v>0.05</v>
      </c>
      <c r="C941" s="4" t="n">
        <f aca="true">RAND()</f>
        <v>0.684479726091764</v>
      </c>
      <c r="D941" s="0" t="n">
        <f aca="false">IF((C941&gt;$M$2),1,0)</f>
        <v>0</v>
      </c>
      <c r="E941" s="0" t="n">
        <f aca="false">1-D941</f>
        <v>1</v>
      </c>
      <c r="F941" s="0" t="n">
        <f aca="true">RAND()</f>
        <v>0.198435140837964</v>
      </c>
      <c r="G941" s="0" t="n">
        <f aca="false">7.75+F941*10</f>
        <v>9.73435140837964</v>
      </c>
      <c r="H941" s="0" t="n">
        <f aca="false">LOGINV(F941,2.64,1.139)</f>
        <v>5.33885852192388</v>
      </c>
      <c r="I941" s="0" t="n">
        <v>19.5</v>
      </c>
      <c r="J941" s="4" t="n">
        <f aca="true">-LN(RAND())/B941</f>
        <v>2.03139348687106</v>
      </c>
      <c r="K941" s="4" t="n">
        <f aca="false">K940+J941</f>
        <v>11596.2005612876</v>
      </c>
      <c r="L941" s="4" t="n">
        <f aca="false">(1/$J$4)*(1+AB940)</f>
        <v>10</v>
      </c>
      <c r="M941" s="4" t="n">
        <f aca="false">L941+MAX(K941,Y$10:Y940)</f>
        <v>11620.9714655004</v>
      </c>
      <c r="N941" s="4" t="n">
        <f aca="false">K941</f>
        <v>11596.2005612876</v>
      </c>
      <c r="O941" s="4" t="n">
        <f aca="false">M941-K941</f>
        <v>24.7709042128245</v>
      </c>
      <c r="P941" s="4" t="n">
        <f aca="false">N941-K941</f>
        <v>0</v>
      </c>
      <c r="Q941" s="4" t="n">
        <f aca="false">A941-MATCH(K941,$M$9:M940,1)</f>
        <v>2</v>
      </c>
      <c r="R941" s="0" t="n">
        <f aca="false">-G941*(O941/3600)</f>
        <v>-0.0669801906419292</v>
      </c>
      <c r="S941" s="0" t="n">
        <f aca="false">-1*I941-(H941*(P941/3600))</f>
        <v>-19.5</v>
      </c>
      <c r="T941" s="0" t="n">
        <f aca="false">-H941*(O941/3600)</f>
        <v>-0.0367356536256661</v>
      </c>
      <c r="U941" s="0" t="n">
        <f aca="false">T941-S941</f>
        <v>19.4632643463743</v>
      </c>
      <c r="V941" s="0" t="n">
        <f aca="false">1/(1+EXP(U941))</f>
        <v>3.52542672983549E-009</v>
      </c>
      <c r="W941" s="0" t="n">
        <f aca="true">RAND()</f>
        <v>0.142385204672325</v>
      </c>
      <c r="X941" s="0" t="n">
        <f aca="false">IF(W941&lt;V941,1,0)</f>
        <v>0</v>
      </c>
      <c r="Y941" s="0" t="n">
        <f aca="false">(M941*(1-X941)+N941*X941)*D941+M941*E941</f>
        <v>11620.9714655004</v>
      </c>
      <c r="Z941" s="0" t="n">
        <f aca="false">((1-X941)*O941+X941*P941)*D941+E941*O941</f>
        <v>24.7709042128245</v>
      </c>
      <c r="AA941" s="0" t="n">
        <f aca="false">IF(D941*X941&gt;0,AA940,Q941)</f>
        <v>2</v>
      </c>
      <c r="AB941" s="0" t="n">
        <f aca="false">(X941*D941)</f>
        <v>0</v>
      </c>
      <c r="AC941" s="0" t="n">
        <f aca="false">SUM(AB$10:AB940)/K941</f>
        <v>8.62351418220871E-005</v>
      </c>
      <c r="AD941" s="0" t="n">
        <f aca="false">R941*E941+D941*(X941*S941+(1-X941)*T941)</f>
        <v>-0.0669801906419292</v>
      </c>
      <c r="AE941" s="0" t="n">
        <f aca="false">Z941</f>
        <v>24.7709042128245</v>
      </c>
      <c r="AF941" s="0" t="n">
        <f aca="false">E941*O941</f>
        <v>24.7709042128245</v>
      </c>
      <c r="AG941" s="0" t="n">
        <f aca="false">((1-X941)*O941+X941*P941)*D941</f>
        <v>0</v>
      </c>
      <c r="AH941" s="0" t="n">
        <f aca="false">D941*(LN(EXP(S941)+EXP(T941)))</f>
        <v>-0</v>
      </c>
      <c r="AJ941" s="0" t="n">
        <f aca="false">$J$5</f>
        <v>10</v>
      </c>
      <c r="AK941" s="4" t="n">
        <f aca="false">AJ941+MAX(K941,AK$10:AK940)</f>
        <v>11620.9714655004</v>
      </c>
      <c r="AL941" s="5" t="n">
        <f aca="false">AK941-K941</f>
        <v>24.7709042128245</v>
      </c>
      <c r="AM941" s="0" t="n">
        <f aca="false">-G941*AL941/3600</f>
        <v>-0.0669801906419292</v>
      </c>
      <c r="AN941" s="0" t="n">
        <f aca="false">-H941*AL941/3600</f>
        <v>-0.0367356536256661</v>
      </c>
      <c r="AO941" s="0" t="n">
        <f aca="false">AM941*E941+AN941*D941</f>
        <v>-0.0669801906419292</v>
      </c>
      <c r="AP941" s="0" t="n">
        <f aca="false">AL941*D941</f>
        <v>0</v>
      </c>
      <c r="AR941" s="0" t="n">
        <f aca="false">AN941*D941</f>
        <v>-0</v>
      </c>
      <c r="AS941" s="0" t="n">
        <f aca="false">AH941-AR941</f>
        <v>0</v>
      </c>
    </row>
    <row r="942" customFormat="false" ht="12" hidden="false" customHeight="false" outlineLevel="0" collapsed="false">
      <c r="A942" s="3" t="n">
        <f aca="false">A941+1</f>
        <v>933</v>
      </c>
      <c r="B942" s="3" t="n">
        <f aca="false">IF(A942&lt;$N$4/3,0.1,(IF(A942&gt;2*$N$4/3,0.05,0.12)))</f>
        <v>0.05</v>
      </c>
      <c r="C942" s="4" t="n">
        <f aca="true">RAND()</f>
        <v>0.52765148567951</v>
      </c>
      <c r="D942" s="0" t="n">
        <f aca="false">IF((C942&gt;$M$2),1,0)</f>
        <v>0</v>
      </c>
      <c r="E942" s="0" t="n">
        <f aca="false">1-D942</f>
        <v>1</v>
      </c>
      <c r="F942" s="0" t="n">
        <f aca="true">RAND()</f>
        <v>0.77980443108171</v>
      </c>
      <c r="G942" s="0" t="n">
        <f aca="false">7.75+F942*10</f>
        <v>15.5480443108171</v>
      </c>
      <c r="H942" s="0" t="n">
        <f aca="false">LOGINV(F942,2.64,1.139)</f>
        <v>33.7431001571279</v>
      </c>
      <c r="I942" s="0" t="n">
        <v>19.5</v>
      </c>
      <c r="J942" s="4" t="n">
        <f aca="true">-LN(RAND())/B942</f>
        <v>4.9783223832673</v>
      </c>
      <c r="K942" s="4" t="n">
        <f aca="false">K941+J942</f>
        <v>11601.1788836708</v>
      </c>
      <c r="L942" s="4" t="n">
        <f aca="false">(1/$J$4)*(1+AB941)</f>
        <v>10</v>
      </c>
      <c r="M942" s="4" t="n">
        <f aca="false">L942+MAX(K942,Y$10:Y941)</f>
        <v>11630.9714655004</v>
      </c>
      <c r="N942" s="4" t="n">
        <f aca="false">K942</f>
        <v>11601.1788836708</v>
      </c>
      <c r="O942" s="4" t="n">
        <f aca="false">M942-K942</f>
        <v>29.7925818295571</v>
      </c>
      <c r="P942" s="4" t="n">
        <f aca="false">N942-K942</f>
        <v>0</v>
      </c>
      <c r="Q942" s="4" t="n">
        <f aca="false">A942-MATCH(K942,$M$9:M941,1)</f>
        <v>2</v>
      </c>
      <c r="R942" s="0" t="n">
        <f aca="false">-G942*(O942/3600)</f>
        <v>-0.128671217338777</v>
      </c>
      <c r="S942" s="0" t="n">
        <f aca="false">-1*I942-(H942*(P942/3600))</f>
        <v>-19.5</v>
      </c>
      <c r="T942" s="0" t="n">
        <f aca="false">-H942*(O942/3600)</f>
        <v>-0.279248353503937</v>
      </c>
      <c r="U942" s="0" t="n">
        <f aca="false">T942-S942</f>
        <v>19.2207516464961</v>
      </c>
      <c r="V942" s="0" t="n">
        <f aca="false">1/(1+EXP(U942))</f>
        <v>4.4929710466143E-009</v>
      </c>
      <c r="W942" s="0" t="n">
        <f aca="true">RAND()</f>
        <v>0.759324941851893</v>
      </c>
      <c r="X942" s="0" t="n">
        <f aca="false">IF(W942&lt;V942,1,0)</f>
        <v>0</v>
      </c>
      <c r="Y942" s="0" t="n">
        <f aca="false">(M942*(1-X942)+N942*X942)*D942+M942*E942</f>
        <v>11630.9714655004</v>
      </c>
      <c r="Z942" s="0" t="n">
        <f aca="false">((1-X942)*O942+X942*P942)*D942+E942*O942</f>
        <v>29.7925818295571</v>
      </c>
      <c r="AA942" s="0" t="n">
        <f aca="false">IF(D942*X942&gt;0,AA941,Q942)</f>
        <v>2</v>
      </c>
      <c r="AB942" s="0" t="n">
        <f aca="false">(X942*D942)</f>
        <v>0</v>
      </c>
      <c r="AC942" s="0" t="n">
        <f aca="false">SUM(AB$10:AB941)/K942</f>
        <v>8.61981364159071E-005</v>
      </c>
      <c r="AD942" s="0" t="n">
        <f aca="false">R942*E942+D942*(X942*S942+(1-X942)*T942)</f>
        <v>-0.128671217338777</v>
      </c>
      <c r="AE942" s="0" t="n">
        <f aca="false">Z942</f>
        <v>29.7925818295571</v>
      </c>
      <c r="AF942" s="0" t="n">
        <f aca="false">E942*O942</f>
        <v>29.7925818295571</v>
      </c>
      <c r="AG942" s="0" t="n">
        <f aca="false">((1-X942)*O942+X942*P942)*D942</f>
        <v>0</v>
      </c>
      <c r="AH942" s="0" t="n">
        <f aca="false">D942*(LN(EXP(S942)+EXP(T942)))</f>
        <v>-0</v>
      </c>
      <c r="AJ942" s="0" t="n">
        <f aca="false">$J$5</f>
        <v>10</v>
      </c>
      <c r="AK942" s="4" t="n">
        <f aca="false">AJ942+MAX(K942,AK$10:AK941)</f>
        <v>11630.9714655004</v>
      </c>
      <c r="AL942" s="5" t="n">
        <f aca="false">AK942-K942</f>
        <v>29.7925818295571</v>
      </c>
      <c r="AM942" s="0" t="n">
        <f aca="false">-G942*AL942/3600</f>
        <v>-0.128671217338777</v>
      </c>
      <c r="AN942" s="0" t="n">
        <f aca="false">-H942*AL942/3600</f>
        <v>-0.279248353503937</v>
      </c>
      <c r="AO942" s="0" t="n">
        <f aca="false">AM942*E942+AN942*D942</f>
        <v>-0.128671217338777</v>
      </c>
      <c r="AP942" s="0" t="n">
        <f aca="false">AL942*D942</f>
        <v>0</v>
      </c>
      <c r="AR942" s="0" t="n">
        <f aca="false">AN942*D942</f>
        <v>-0</v>
      </c>
      <c r="AS942" s="0" t="n">
        <f aca="false">AH942-AR942</f>
        <v>0</v>
      </c>
    </row>
    <row r="943" customFormat="false" ht="12" hidden="false" customHeight="false" outlineLevel="0" collapsed="false">
      <c r="A943" s="3" t="n">
        <f aca="false">A942+1</f>
        <v>934</v>
      </c>
      <c r="B943" s="3" t="n">
        <f aca="false">IF(A943&lt;$N$4/3,0.1,(IF(A943&gt;2*$N$4/3,0.05,0.12)))</f>
        <v>0.05</v>
      </c>
      <c r="C943" s="4" t="n">
        <f aca="true">RAND()</f>
        <v>0.947355804555607</v>
      </c>
      <c r="D943" s="0" t="n">
        <f aca="false">IF((C943&gt;$M$2),1,0)</f>
        <v>1</v>
      </c>
      <c r="E943" s="0" t="n">
        <f aca="false">1-D943</f>
        <v>0</v>
      </c>
      <c r="F943" s="0" t="n">
        <f aca="true">RAND()</f>
        <v>0.0609045483249267</v>
      </c>
      <c r="G943" s="0" t="n">
        <f aca="false">7.75+F943*10</f>
        <v>8.35904548324927</v>
      </c>
      <c r="H943" s="0" t="n">
        <f aca="false">LOGINV(F943,2.64,1.139)</f>
        <v>2.40538790994361</v>
      </c>
      <c r="I943" s="0" t="n">
        <v>19.5</v>
      </c>
      <c r="J943" s="4" t="n">
        <f aca="true">-LN(RAND())/B943</f>
        <v>6.42690244650389</v>
      </c>
      <c r="K943" s="4" t="n">
        <f aca="false">K942+J943</f>
        <v>11607.6057861173</v>
      </c>
      <c r="L943" s="4" t="n">
        <f aca="false">(1/$J$4)*(1+AB942)</f>
        <v>10</v>
      </c>
      <c r="M943" s="4" t="n">
        <f aca="false">L943+MAX(K943,Y$10:Y942)</f>
        <v>11640.9714655004</v>
      </c>
      <c r="N943" s="4" t="n">
        <f aca="false">K943</f>
        <v>11607.6057861173</v>
      </c>
      <c r="O943" s="4" t="n">
        <f aca="false">M943-K943</f>
        <v>33.3656793830523</v>
      </c>
      <c r="P943" s="4" t="n">
        <f aca="false">N943-K943</f>
        <v>0</v>
      </c>
      <c r="Q943" s="4" t="n">
        <f aca="false">A943-MATCH(K943,$M$9:M942,1)</f>
        <v>3</v>
      </c>
      <c r="R943" s="0" t="n">
        <f aca="false">-G943*(O943/3600)</f>
        <v>-0.0774736754284575</v>
      </c>
      <c r="S943" s="0" t="n">
        <f aca="false">-1*I943-(H943*(P943/3600))</f>
        <v>-19.5</v>
      </c>
      <c r="T943" s="0" t="n">
        <f aca="false">-H943*(O943/3600)</f>
        <v>-0.0222937227208469</v>
      </c>
      <c r="U943" s="0" t="n">
        <f aca="false">T943-S943</f>
        <v>19.4777062772792</v>
      </c>
      <c r="V943" s="0" t="n">
        <f aca="false">1/(1+EXP(U943))</f>
        <v>3.47487864530433E-009</v>
      </c>
      <c r="W943" s="0" t="n">
        <f aca="true">RAND()</f>
        <v>0.404458224356517</v>
      </c>
      <c r="X943" s="0" t="n">
        <f aca="false">IF(W943&lt;V943,1,0)</f>
        <v>0</v>
      </c>
      <c r="Y943" s="0" t="n">
        <f aca="false">(M943*(1-X943)+N943*X943)*D943+M943*E943</f>
        <v>11640.9714655004</v>
      </c>
      <c r="Z943" s="0" t="n">
        <f aca="false">((1-X943)*O943+X943*P943)*D943+E943*O943</f>
        <v>33.3656793830523</v>
      </c>
      <c r="AA943" s="0" t="n">
        <f aca="false">IF(D943*X943&gt;0,AA942,Q943)</f>
        <v>3</v>
      </c>
      <c r="AB943" s="0" t="n">
        <f aca="false">(X943*D943)</f>
        <v>0</v>
      </c>
      <c r="AC943" s="0" t="n">
        <f aca="false">SUM(AB$10:AB942)/K943</f>
        <v>8.61504102074173E-005</v>
      </c>
      <c r="AD943" s="0" t="n">
        <f aca="false">R943*E943+D943*(X943*S943+(1-X943)*T943)</f>
        <v>-0.0222937227208469</v>
      </c>
      <c r="AE943" s="0" t="n">
        <f aca="false">Z943</f>
        <v>33.3656793830523</v>
      </c>
      <c r="AF943" s="0" t="n">
        <f aca="false">E943*O943</f>
        <v>0</v>
      </c>
      <c r="AG943" s="0" t="n">
        <f aca="false">((1-X943)*O943+X943*P943)*D943</f>
        <v>33.3656793830523</v>
      </c>
      <c r="AH943" s="0" t="n">
        <f aca="false">D943*(LN(EXP(S943)+EXP(T943)))</f>
        <v>-0.0222937192459682</v>
      </c>
      <c r="AJ943" s="0" t="n">
        <f aca="false">$J$5</f>
        <v>10</v>
      </c>
      <c r="AK943" s="4" t="n">
        <f aca="false">AJ943+MAX(K943,AK$10:AK942)</f>
        <v>11640.9714655004</v>
      </c>
      <c r="AL943" s="5" t="n">
        <f aca="false">AK943-K943</f>
        <v>33.3656793830523</v>
      </c>
      <c r="AM943" s="0" t="n">
        <f aca="false">-G943*AL943/3600</f>
        <v>-0.0774736754284575</v>
      </c>
      <c r="AN943" s="0" t="n">
        <f aca="false">-H943*AL943/3600</f>
        <v>-0.0222937227208469</v>
      </c>
      <c r="AO943" s="0" t="n">
        <f aca="false">AM943*E943+AN943*D943</f>
        <v>-0.0222937227208469</v>
      </c>
      <c r="AP943" s="0" t="n">
        <f aca="false">AL943*D943</f>
        <v>33.3656793830523</v>
      </c>
      <c r="AR943" s="0" t="n">
        <f aca="false">AN943*D943</f>
        <v>-0.0222937227208469</v>
      </c>
      <c r="AS943" s="0" t="n">
        <f aca="false">AH943-AR943</f>
        <v>3.47487866259044E-009</v>
      </c>
    </row>
    <row r="944" customFormat="false" ht="12" hidden="false" customHeight="false" outlineLevel="0" collapsed="false">
      <c r="A944" s="3" t="n">
        <f aca="false">A943+1</f>
        <v>935</v>
      </c>
      <c r="B944" s="3" t="n">
        <f aca="false">IF(A944&lt;$N$4/3,0.1,(IF(A944&gt;2*$N$4/3,0.05,0.12)))</f>
        <v>0.05</v>
      </c>
      <c r="C944" s="4" t="n">
        <f aca="true">RAND()</f>
        <v>0.112875964684211</v>
      </c>
      <c r="D944" s="0" t="n">
        <f aca="false">IF((C944&gt;$M$2),1,0)</f>
        <v>0</v>
      </c>
      <c r="E944" s="0" t="n">
        <f aca="false">1-D944</f>
        <v>1</v>
      </c>
      <c r="F944" s="0" t="n">
        <f aca="true">RAND()</f>
        <v>0.574245765675069</v>
      </c>
      <c r="G944" s="0" t="n">
        <f aca="false">7.75+F944*10</f>
        <v>13.4924576567507</v>
      </c>
      <c r="H944" s="0" t="n">
        <f aca="false">LOGINV(F944,2.64,1.139)</f>
        <v>17.343435087571</v>
      </c>
      <c r="I944" s="0" t="n">
        <v>19.5</v>
      </c>
      <c r="J944" s="4" t="n">
        <f aca="true">-LN(RAND())/B944</f>
        <v>17.9613261745005</v>
      </c>
      <c r="K944" s="4" t="n">
        <f aca="false">K943+J944</f>
        <v>11625.5671122918</v>
      </c>
      <c r="L944" s="4" t="n">
        <f aca="false">(1/$J$4)*(1+AB943)</f>
        <v>10</v>
      </c>
      <c r="M944" s="4" t="n">
        <f aca="false">L944+MAX(K944,Y$10:Y943)</f>
        <v>11650.9714655004</v>
      </c>
      <c r="N944" s="4" t="n">
        <f aca="false">K944</f>
        <v>11625.5671122918</v>
      </c>
      <c r="O944" s="4" t="n">
        <f aca="false">M944-K944</f>
        <v>25.4043532085525</v>
      </c>
      <c r="P944" s="4" t="n">
        <f aca="false">N944-K944</f>
        <v>0</v>
      </c>
      <c r="Q944" s="4" t="n">
        <f aca="false">A944-MATCH(K944,$M$9:M943,1)</f>
        <v>2</v>
      </c>
      <c r="R944" s="0" t="n">
        <f aca="false">-G944*(O944/3600)</f>
        <v>-0.0952130999898703</v>
      </c>
      <c r="S944" s="0" t="n">
        <f aca="false">-1*I944-(H944*(P944/3600))</f>
        <v>-19.5</v>
      </c>
      <c r="T944" s="0" t="n">
        <f aca="false">-H944*(O944/3600)</f>
        <v>-0.122388541892849</v>
      </c>
      <c r="U944" s="0" t="n">
        <f aca="false">T944-S944</f>
        <v>19.3776114581072</v>
      </c>
      <c r="V944" s="0" t="n">
        <f aca="false">1/(1+EXP(U944))</f>
        <v>3.84069897585969E-009</v>
      </c>
      <c r="W944" s="0" t="n">
        <f aca="true">RAND()</f>
        <v>0.142112198995814</v>
      </c>
      <c r="X944" s="0" t="n">
        <f aca="false">IF(W944&lt;V944,1,0)</f>
        <v>0</v>
      </c>
      <c r="Y944" s="0" t="n">
        <f aca="false">(M944*(1-X944)+N944*X944)*D944+M944*E944</f>
        <v>11650.9714655004</v>
      </c>
      <c r="Z944" s="0" t="n">
        <f aca="false">((1-X944)*O944+X944*P944)*D944+E944*O944</f>
        <v>25.4043532085525</v>
      </c>
      <c r="AA944" s="0" t="n">
        <f aca="false">IF(D944*X944&gt;0,AA943,Q944)</f>
        <v>2</v>
      </c>
      <c r="AB944" s="0" t="n">
        <f aca="false">(X944*D944)</f>
        <v>0</v>
      </c>
      <c r="AC944" s="0" t="n">
        <f aca="false">SUM(AB$10:AB943)/K944</f>
        <v>8.60173091205752E-005</v>
      </c>
      <c r="AD944" s="0" t="n">
        <f aca="false">R944*E944+D944*(X944*S944+(1-X944)*T944)</f>
        <v>-0.0952130999898703</v>
      </c>
      <c r="AE944" s="0" t="n">
        <f aca="false">Z944</f>
        <v>25.4043532085525</v>
      </c>
      <c r="AF944" s="0" t="n">
        <f aca="false">E944*O944</f>
        <v>25.4043532085525</v>
      </c>
      <c r="AG944" s="0" t="n">
        <f aca="false">((1-X944)*O944+X944*P944)*D944</f>
        <v>0</v>
      </c>
      <c r="AH944" s="0" t="n">
        <f aca="false">D944*(LN(EXP(S944)+EXP(T944)))</f>
        <v>-0</v>
      </c>
      <c r="AJ944" s="0" t="n">
        <f aca="false">$J$5</f>
        <v>10</v>
      </c>
      <c r="AK944" s="4" t="n">
        <f aca="false">AJ944+MAX(K944,AK$10:AK943)</f>
        <v>11650.9714655004</v>
      </c>
      <c r="AL944" s="5" t="n">
        <f aca="false">AK944-K944</f>
        <v>25.4043532085525</v>
      </c>
      <c r="AM944" s="0" t="n">
        <f aca="false">-G944*AL944/3600</f>
        <v>-0.0952130999898703</v>
      </c>
      <c r="AN944" s="0" t="n">
        <f aca="false">-H944*AL944/3600</f>
        <v>-0.122388541892849</v>
      </c>
      <c r="AO944" s="0" t="n">
        <f aca="false">AM944*E944+AN944*D944</f>
        <v>-0.0952130999898703</v>
      </c>
      <c r="AP944" s="0" t="n">
        <f aca="false">AL944*D944</f>
        <v>0</v>
      </c>
      <c r="AR944" s="0" t="n">
        <f aca="false">AN944*D944</f>
        <v>-0</v>
      </c>
      <c r="AS944" s="0" t="n">
        <f aca="false">AH944-AR944</f>
        <v>0</v>
      </c>
    </row>
    <row r="945" customFormat="false" ht="12" hidden="false" customHeight="false" outlineLevel="0" collapsed="false">
      <c r="A945" s="3" t="n">
        <f aca="false">A944+1</f>
        <v>936</v>
      </c>
      <c r="B945" s="3" t="n">
        <f aca="false">IF(A945&lt;$N$4/3,0.1,(IF(A945&gt;2*$N$4/3,0.05,0.12)))</f>
        <v>0.05</v>
      </c>
      <c r="C945" s="4" t="n">
        <f aca="true">RAND()</f>
        <v>0.0409352805444624</v>
      </c>
      <c r="D945" s="0" t="n">
        <f aca="false">IF((C945&gt;$M$2),1,0)</f>
        <v>0</v>
      </c>
      <c r="E945" s="0" t="n">
        <f aca="false">1-D945</f>
        <v>1</v>
      </c>
      <c r="F945" s="0" t="n">
        <f aca="true">RAND()</f>
        <v>0.0193512903332381</v>
      </c>
      <c r="G945" s="0" t="n">
        <f aca="false">7.75+F945*10</f>
        <v>7.94351290333238</v>
      </c>
      <c r="H945" s="0" t="n">
        <f aca="false">LOGINV(F945,2.64,1.139)</f>
        <v>1.3301679600493</v>
      </c>
      <c r="I945" s="0" t="n">
        <v>19.5</v>
      </c>
      <c r="J945" s="4" t="n">
        <f aca="true">-LN(RAND())/B945</f>
        <v>6.24949567260298</v>
      </c>
      <c r="K945" s="4" t="n">
        <f aca="false">K944+J945</f>
        <v>11631.8166079644</v>
      </c>
      <c r="L945" s="4" t="n">
        <f aca="false">(1/$J$4)*(1+AB944)</f>
        <v>10</v>
      </c>
      <c r="M945" s="4" t="n">
        <f aca="false">L945+MAX(K945,Y$10:Y944)</f>
        <v>11660.9714655004</v>
      </c>
      <c r="N945" s="4" t="n">
        <f aca="false">K945</f>
        <v>11631.8166079644</v>
      </c>
      <c r="O945" s="4" t="n">
        <f aca="false">M945-K945</f>
        <v>29.1548575359502</v>
      </c>
      <c r="P945" s="4" t="n">
        <f aca="false">N945-K945</f>
        <v>0</v>
      </c>
      <c r="Q945" s="4" t="n">
        <f aca="false">A945-MATCH(K945,$M$9:M944,1)</f>
        <v>2</v>
      </c>
      <c r="R945" s="0" t="n">
        <f aca="false">-G945*(O945/3600)</f>
        <v>-0.0643311075087883</v>
      </c>
      <c r="S945" s="0" t="n">
        <f aca="false">-1*I945-(H945*(P945/3600))</f>
        <v>-19.5</v>
      </c>
      <c r="T945" s="0" t="n">
        <f aca="false">-H945*(O945/3600)</f>
        <v>-0.0107724603817008</v>
      </c>
      <c r="U945" s="0" t="n">
        <f aca="false">T945-S945</f>
        <v>19.4892275396183</v>
      </c>
      <c r="V945" s="0" t="n">
        <f aca="false">1/(1+EXP(U945))</f>
        <v>3.43507340061555E-009</v>
      </c>
      <c r="W945" s="0" t="n">
        <f aca="true">RAND()</f>
        <v>0.780616458206967</v>
      </c>
      <c r="X945" s="0" t="n">
        <f aca="false">IF(W945&lt;V945,1,0)</f>
        <v>0</v>
      </c>
      <c r="Y945" s="0" t="n">
        <f aca="false">(M945*(1-X945)+N945*X945)*D945+M945*E945</f>
        <v>11660.9714655004</v>
      </c>
      <c r="Z945" s="0" t="n">
        <f aca="false">((1-X945)*O945+X945*P945)*D945+E945*O945</f>
        <v>29.1548575359502</v>
      </c>
      <c r="AA945" s="0" t="n">
        <f aca="false">IF(D945*X945&gt;0,AA944,Q945)</f>
        <v>2</v>
      </c>
      <c r="AB945" s="0" t="n">
        <f aca="false">(X945*D945)</f>
        <v>0</v>
      </c>
      <c r="AC945" s="0" t="n">
        <f aca="false">SUM(AB$10:AB944)/K945</f>
        <v>8.59710940864807E-005</v>
      </c>
      <c r="AD945" s="0" t="n">
        <f aca="false">R945*E945+D945*(X945*S945+(1-X945)*T945)</f>
        <v>-0.0643311075087883</v>
      </c>
      <c r="AE945" s="0" t="n">
        <f aca="false">Z945</f>
        <v>29.1548575359502</v>
      </c>
      <c r="AF945" s="0" t="n">
        <f aca="false">E945*O945</f>
        <v>29.1548575359502</v>
      </c>
      <c r="AG945" s="0" t="n">
        <f aca="false">((1-X945)*O945+X945*P945)*D945</f>
        <v>0</v>
      </c>
      <c r="AH945" s="0" t="n">
        <f aca="false">D945*(LN(EXP(S945)+EXP(T945)))</f>
        <v>-0</v>
      </c>
      <c r="AJ945" s="0" t="n">
        <f aca="false">$J$5</f>
        <v>10</v>
      </c>
      <c r="AK945" s="4" t="n">
        <f aca="false">AJ945+MAX(K945,AK$10:AK944)</f>
        <v>11660.9714655004</v>
      </c>
      <c r="AL945" s="5" t="n">
        <f aca="false">AK945-K945</f>
        <v>29.1548575359502</v>
      </c>
      <c r="AM945" s="0" t="n">
        <f aca="false">-G945*AL945/3600</f>
        <v>-0.0643311075087883</v>
      </c>
      <c r="AN945" s="0" t="n">
        <f aca="false">-H945*AL945/3600</f>
        <v>-0.0107724603817008</v>
      </c>
      <c r="AO945" s="0" t="n">
        <f aca="false">AM945*E945+AN945*D945</f>
        <v>-0.0643311075087883</v>
      </c>
      <c r="AP945" s="0" t="n">
        <f aca="false">AL945*D945</f>
        <v>0</v>
      </c>
      <c r="AR945" s="0" t="n">
        <f aca="false">AN945*D945</f>
        <v>-0</v>
      </c>
      <c r="AS945" s="0" t="n">
        <f aca="false">AH945-AR945</f>
        <v>0</v>
      </c>
    </row>
    <row r="946" customFormat="false" ht="12" hidden="false" customHeight="false" outlineLevel="0" collapsed="false">
      <c r="A946" s="3" t="n">
        <f aca="false">A945+1</f>
        <v>937</v>
      </c>
      <c r="B946" s="3" t="n">
        <f aca="false">IF(A946&lt;$N$4/3,0.1,(IF(A946&gt;2*$N$4/3,0.05,0.12)))</f>
        <v>0.05</v>
      </c>
      <c r="C946" s="4" t="n">
        <f aca="true">RAND()</f>
        <v>0.706076379542593</v>
      </c>
      <c r="D946" s="0" t="n">
        <f aca="false">IF((C946&gt;$M$2),1,0)</f>
        <v>0</v>
      </c>
      <c r="E946" s="0" t="n">
        <f aca="false">1-D946</f>
        <v>1</v>
      </c>
      <c r="F946" s="0" t="n">
        <f aca="true">RAND()</f>
        <v>0.951085445576493</v>
      </c>
      <c r="G946" s="0" t="n">
        <f aca="false">7.75+F946*10</f>
        <v>17.2608544557649</v>
      </c>
      <c r="H946" s="0" t="n">
        <f aca="false">LOGINV(F946,2.64,1.139)</f>
        <v>92.3495491872335</v>
      </c>
      <c r="I946" s="0" t="n">
        <v>19.5</v>
      </c>
      <c r="J946" s="4" t="n">
        <f aca="true">-LN(RAND())/B946</f>
        <v>1.00071499617255</v>
      </c>
      <c r="K946" s="4" t="n">
        <f aca="false">K945+J946</f>
        <v>11632.8173229606</v>
      </c>
      <c r="L946" s="4" t="n">
        <f aca="false">(1/$J$4)*(1+AB945)</f>
        <v>10</v>
      </c>
      <c r="M946" s="4" t="n">
        <f aca="false">L946+MAX(K946,Y$10:Y945)</f>
        <v>11670.9714655004</v>
      </c>
      <c r="N946" s="4" t="n">
        <f aca="false">K946</f>
        <v>11632.8173229606</v>
      </c>
      <c r="O946" s="4" t="n">
        <f aca="false">M946-K946</f>
        <v>38.1541425397772</v>
      </c>
      <c r="P946" s="4" t="n">
        <f aca="false">N946-K946</f>
        <v>0</v>
      </c>
      <c r="Q946" s="4" t="n">
        <f aca="false">A946-MATCH(K946,$M$9:M945,1)</f>
        <v>3</v>
      </c>
      <c r="R946" s="0" t="n">
        <f aca="false">-G946*(O946/3600)</f>
        <v>-0.182936972573223</v>
      </c>
      <c r="S946" s="0" t="n">
        <f aca="false">-1*I946-(H946*(P946/3600))</f>
        <v>-19.5</v>
      </c>
      <c r="T946" s="0" t="n">
        <f aca="false">-H946*(O946/3600)</f>
        <v>-0.978754961992743</v>
      </c>
      <c r="U946" s="0" t="n">
        <f aca="false">T946-S946</f>
        <v>18.5212450380073</v>
      </c>
      <c r="V946" s="0" t="n">
        <f aca="false">1/(1+EXP(U946))</f>
        <v>9.04326959517836E-009</v>
      </c>
      <c r="W946" s="0" t="n">
        <f aca="true">RAND()</f>
        <v>0.698085583289818</v>
      </c>
      <c r="X946" s="0" t="n">
        <f aca="false">IF(W946&lt;V946,1,0)</f>
        <v>0</v>
      </c>
      <c r="Y946" s="0" t="n">
        <f aca="false">(M946*(1-X946)+N946*X946)*D946+M946*E946</f>
        <v>11670.9714655004</v>
      </c>
      <c r="Z946" s="0" t="n">
        <f aca="false">((1-X946)*O946+X946*P946)*D946+E946*O946</f>
        <v>38.1541425397772</v>
      </c>
      <c r="AA946" s="0" t="n">
        <f aca="false">IF(D946*X946&gt;0,AA945,Q946)</f>
        <v>3</v>
      </c>
      <c r="AB946" s="0" t="n">
        <f aca="false">(X946*D946)</f>
        <v>0</v>
      </c>
      <c r="AC946" s="0" t="n">
        <f aca="false">SUM(AB$10:AB945)/K946</f>
        <v>8.59636984091739E-005</v>
      </c>
      <c r="AD946" s="0" t="n">
        <f aca="false">R946*E946+D946*(X946*S946+(1-X946)*T946)</f>
        <v>-0.182936972573223</v>
      </c>
      <c r="AE946" s="0" t="n">
        <f aca="false">Z946</f>
        <v>38.1541425397772</v>
      </c>
      <c r="AF946" s="0" t="n">
        <f aca="false">E946*O946</f>
        <v>38.1541425397772</v>
      </c>
      <c r="AG946" s="0" t="n">
        <f aca="false">((1-X946)*O946+X946*P946)*D946</f>
        <v>0</v>
      </c>
      <c r="AH946" s="0" t="n">
        <f aca="false">D946*(LN(EXP(S946)+EXP(T946)))</f>
        <v>-0</v>
      </c>
      <c r="AJ946" s="0" t="n">
        <f aca="false">$J$5</f>
        <v>10</v>
      </c>
      <c r="AK946" s="4" t="n">
        <f aca="false">AJ946+MAX(K946,AK$10:AK945)</f>
        <v>11670.9714655004</v>
      </c>
      <c r="AL946" s="5" t="n">
        <f aca="false">AK946-K946</f>
        <v>38.1541425397772</v>
      </c>
      <c r="AM946" s="0" t="n">
        <f aca="false">-G946*AL946/3600</f>
        <v>-0.182936972573223</v>
      </c>
      <c r="AN946" s="0" t="n">
        <f aca="false">-H946*AL946/3600</f>
        <v>-0.978754961992743</v>
      </c>
      <c r="AO946" s="0" t="n">
        <f aca="false">AM946*E946+AN946*D946</f>
        <v>-0.182936972573223</v>
      </c>
      <c r="AP946" s="0" t="n">
        <f aca="false">AL946*D946</f>
        <v>0</v>
      </c>
      <c r="AR946" s="0" t="n">
        <f aca="false">AN946*D946</f>
        <v>-0</v>
      </c>
      <c r="AS946" s="0" t="n">
        <f aca="false">AH946-AR946</f>
        <v>0</v>
      </c>
    </row>
    <row r="947" customFormat="false" ht="12" hidden="false" customHeight="false" outlineLevel="0" collapsed="false">
      <c r="A947" s="3" t="n">
        <f aca="false">A946+1</f>
        <v>938</v>
      </c>
      <c r="B947" s="3" t="n">
        <f aca="false">IF(A947&lt;$N$4/3,0.1,(IF(A947&gt;2*$N$4/3,0.05,0.12)))</f>
        <v>0.05</v>
      </c>
      <c r="C947" s="4" t="n">
        <f aca="true">RAND()</f>
        <v>0.657066449479945</v>
      </c>
      <c r="D947" s="0" t="n">
        <f aca="false">IF((C947&gt;$M$2),1,0)</f>
        <v>0</v>
      </c>
      <c r="E947" s="0" t="n">
        <f aca="false">1-D947</f>
        <v>1</v>
      </c>
      <c r="F947" s="0" t="n">
        <f aca="true">RAND()</f>
        <v>0.817800768710158</v>
      </c>
      <c r="G947" s="0" t="n">
        <f aca="false">7.75+F947*10</f>
        <v>15.9280076871016</v>
      </c>
      <c r="H947" s="0" t="n">
        <f aca="false">LOGINV(F947,2.64,1.139)</f>
        <v>39.373419312161</v>
      </c>
      <c r="I947" s="0" t="n">
        <v>19.5</v>
      </c>
      <c r="J947" s="4" t="n">
        <f aca="true">-LN(RAND())/B947</f>
        <v>10.7982250168536</v>
      </c>
      <c r="K947" s="4" t="n">
        <f aca="false">K946+J947</f>
        <v>11643.6155479775</v>
      </c>
      <c r="L947" s="4" t="n">
        <f aca="false">(1/$J$4)*(1+AB946)</f>
        <v>10</v>
      </c>
      <c r="M947" s="4" t="n">
        <f aca="false">L947+MAX(K947,Y$10:Y946)</f>
        <v>11680.9714655004</v>
      </c>
      <c r="N947" s="4" t="n">
        <f aca="false">K947</f>
        <v>11643.6155479775</v>
      </c>
      <c r="O947" s="4" t="n">
        <f aca="false">M947-K947</f>
        <v>37.3559175229238</v>
      </c>
      <c r="P947" s="4" t="n">
        <f aca="false">N947-K947</f>
        <v>0</v>
      </c>
      <c r="Q947" s="4" t="n">
        <f aca="false">A947-MATCH(K947,$M$9:M946,1)</f>
        <v>3</v>
      </c>
      <c r="R947" s="0" t="n">
        <f aca="false">-G947*(O947/3600)</f>
        <v>-0.16527926151774</v>
      </c>
      <c r="S947" s="0" t="n">
        <f aca="false">-1*I947-(H947*(P947/3600))</f>
        <v>-19.5</v>
      </c>
      <c r="T947" s="0" t="n">
        <f aca="false">-H947*(O947/3600)</f>
        <v>-0.408563945672384</v>
      </c>
      <c r="U947" s="0" t="n">
        <f aca="false">T947-S947</f>
        <v>19.0914360543276</v>
      </c>
      <c r="V947" s="0" t="n">
        <f aca="false">1/(1+EXP(U947))</f>
        <v>5.11322222300665E-009</v>
      </c>
      <c r="W947" s="0" t="n">
        <f aca="true">RAND()</f>
        <v>0.712304530412309</v>
      </c>
      <c r="X947" s="0" t="n">
        <f aca="false">IF(W947&lt;V947,1,0)</f>
        <v>0</v>
      </c>
      <c r="Y947" s="0" t="n">
        <f aca="false">(M947*(1-X947)+N947*X947)*D947+M947*E947</f>
        <v>11680.9714655004</v>
      </c>
      <c r="Z947" s="0" t="n">
        <f aca="false">((1-X947)*O947+X947*P947)*D947+E947*O947</f>
        <v>37.3559175229238</v>
      </c>
      <c r="AA947" s="0" t="n">
        <f aca="false">IF(D947*X947&gt;0,AA946,Q947)</f>
        <v>3</v>
      </c>
      <c r="AB947" s="0" t="n">
        <f aca="false">(X947*D947)</f>
        <v>0</v>
      </c>
      <c r="AC947" s="0" t="n">
        <f aca="false">SUM(AB$10:AB946)/K947</f>
        <v>8.58839761480877E-005</v>
      </c>
      <c r="AD947" s="0" t="n">
        <f aca="false">R947*E947+D947*(X947*S947+(1-X947)*T947)</f>
        <v>-0.16527926151774</v>
      </c>
      <c r="AE947" s="0" t="n">
        <f aca="false">Z947</f>
        <v>37.3559175229238</v>
      </c>
      <c r="AF947" s="0" t="n">
        <f aca="false">E947*O947</f>
        <v>37.3559175229238</v>
      </c>
      <c r="AG947" s="0" t="n">
        <f aca="false">((1-X947)*O947+X947*P947)*D947</f>
        <v>0</v>
      </c>
      <c r="AH947" s="0" t="n">
        <f aca="false">D947*(LN(EXP(S947)+EXP(T947)))</f>
        <v>-0</v>
      </c>
      <c r="AJ947" s="0" t="n">
        <f aca="false">$J$5</f>
        <v>10</v>
      </c>
      <c r="AK947" s="4" t="n">
        <f aca="false">AJ947+MAX(K947,AK$10:AK946)</f>
        <v>11680.9714655004</v>
      </c>
      <c r="AL947" s="5" t="n">
        <f aca="false">AK947-K947</f>
        <v>37.3559175229238</v>
      </c>
      <c r="AM947" s="0" t="n">
        <f aca="false">-G947*AL947/3600</f>
        <v>-0.16527926151774</v>
      </c>
      <c r="AN947" s="0" t="n">
        <f aca="false">-H947*AL947/3600</f>
        <v>-0.408563945672384</v>
      </c>
      <c r="AO947" s="0" t="n">
        <f aca="false">AM947*E947+AN947*D947</f>
        <v>-0.16527926151774</v>
      </c>
      <c r="AP947" s="0" t="n">
        <f aca="false">AL947*D947</f>
        <v>0</v>
      </c>
      <c r="AR947" s="0" t="n">
        <f aca="false">AN947*D947</f>
        <v>-0</v>
      </c>
      <c r="AS947" s="0" t="n">
        <f aca="false">AH947-AR947</f>
        <v>0</v>
      </c>
    </row>
    <row r="948" customFormat="false" ht="12" hidden="false" customHeight="false" outlineLevel="0" collapsed="false">
      <c r="A948" s="3" t="n">
        <f aca="false">A947+1</f>
        <v>939</v>
      </c>
      <c r="B948" s="3" t="n">
        <f aca="false">IF(A948&lt;$N$4/3,0.1,(IF(A948&gt;2*$N$4/3,0.05,0.12)))</f>
        <v>0.05</v>
      </c>
      <c r="C948" s="4" t="n">
        <f aca="true">RAND()</f>
        <v>0.469424901876437</v>
      </c>
      <c r="D948" s="0" t="n">
        <f aca="false">IF((C948&gt;$M$2),1,0)</f>
        <v>0</v>
      </c>
      <c r="E948" s="0" t="n">
        <f aca="false">1-D948</f>
        <v>1</v>
      </c>
      <c r="F948" s="0" t="n">
        <f aca="true">RAND()</f>
        <v>0.00397029982789713</v>
      </c>
      <c r="G948" s="0" t="n">
        <f aca="false">7.75+F948*10</f>
        <v>7.78970299827897</v>
      </c>
      <c r="H948" s="0" t="n">
        <f aca="false">LOGINV(F948,2.64,1.139)</f>
        <v>0.681422684635837</v>
      </c>
      <c r="I948" s="0" t="n">
        <v>19.5</v>
      </c>
      <c r="J948" s="4" t="n">
        <f aca="true">-LN(RAND())/B948</f>
        <v>38.4145356038378</v>
      </c>
      <c r="K948" s="4" t="n">
        <f aca="false">K947+J948</f>
        <v>11682.0300835813</v>
      </c>
      <c r="L948" s="4" t="n">
        <f aca="false">(1/$J$4)*(1+AB947)</f>
        <v>10</v>
      </c>
      <c r="M948" s="4" t="n">
        <f aca="false">L948+MAX(K948,Y$10:Y947)</f>
        <v>11692.0300835813</v>
      </c>
      <c r="N948" s="4" t="n">
        <f aca="false">K948</f>
        <v>11682.0300835813</v>
      </c>
      <c r="O948" s="4" t="n">
        <f aca="false">M948-K948</f>
        <v>10</v>
      </c>
      <c r="P948" s="4" t="n">
        <f aca="false">N948-K948</f>
        <v>0</v>
      </c>
      <c r="Q948" s="4" t="n">
        <f aca="false">A948-MATCH(K948,$M$9:M947,1)</f>
        <v>0</v>
      </c>
      <c r="R948" s="0" t="n">
        <f aca="false">-G948*(O948/3600)</f>
        <v>-0.0216380638841083</v>
      </c>
      <c r="S948" s="0" t="n">
        <f aca="false">-1*I948-(H948*(P948/3600))</f>
        <v>-19.5</v>
      </c>
      <c r="T948" s="0" t="n">
        <f aca="false">-H948*(O948/3600)</f>
        <v>-0.0018928407906551</v>
      </c>
      <c r="U948" s="0" t="n">
        <f aca="false">T948-S948</f>
        <v>19.4981071592093</v>
      </c>
      <c r="V948" s="0" t="n">
        <f aca="false">1/(1+EXP(U948))</f>
        <v>3.40470627942779E-009</v>
      </c>
      <c r="W948" s="0" t="n">
        <f aca="true">RAND()</f>
        <v>0.852787533757797</v>
      </c>
      <c r="X948" s="0" t="n">
        <f aca="false">IF(W948&lt;V948,1,0)</f>
        <v>0</v>
      </c>
      <c r="Y948" s="0" t="n">
        <f aca="false">(M948*(1-X948)+N948*X948)*D948+M948*E948</f>
        <v>11692.0300835813</v>
      </c>
      <c r="Z948" s="0" t="n">
        <f aca="false">((1-X948)*O948+X948*P948)*D948+E948*O948</f>
        <v>10</v>
      </c>
      <c r="AA948" s="0" t="n">
        <f aca="false">IF(D948*X948&gt;0,AA947,Q948)</f>
        <v>0</v>
      </c>
      <c r="AB948" s="0" t="n">
        <f aca="false">(X948*D948)</f>
        <v>0</v>
      </c>
      <c r="AC948" s="0" t="n">
        <f aca="false">SUM(AB$10:AB947)/K948</f>
        <v>8.56015600752018E-005</v>
      </c>
      <c r="AD948" s="0" t="n">
        <f aca="false">R948*E948+D948*(X948*S948+(1-X948)*T948)</f>
        <v>-0.0216380638841083</v>
      </c>
      <c r="AE948" s="0" t="n">
        <f aca="false">Z948</f>
        <v>10</v>
      </c>
      <c r="AF948" s="0" t="n">
        <f aca="false">E948*O948</f>
        <v>10</v>
      </c>
      <c r="AG948" s="0" t="n">
        <f aca="false">((1-X948)*O948+X948*P948)*D948</f>
        <v>0</v>
      </c>
      <c r="AH948" s="0" t="n">
        <f aca="false">D948*(LN(EXP(S948)+EXP(T948)))</f>
        <v>-0</v>
      </c>
      <c r="AJ948" s="0" t="n">
        <f aca="false">$J$5</f>
        <v>10</v>
      </c>
      <c r="AK948" s="4" t="n">
        <f aca="false">AJ948+MAX(K948,AK$10:AK947)</f>
        <v>11692.0300835813</v>
      </c>
      <c r="AL948" s="5" t="n">
        <f aca="false">AK948-K948</f>
        <v>10</v>
      </c>
      <c r="AM948" s="0" t="n">
        <f aca="false">-G948*AL948/3600</f>
        <v>-0.0216380638841083</v>
      </c>
      <c r="AN948" s="0" t="n">
        <f aca="false">-H948*AL948/3600</f>
        <v>-0.0018928407906551</v>
      </c>
      <c r="AO948" s="0" t="n">
        <f aca="false">AM948*E948+AN948*D948</f>
        <v>-0.0216380638841083</v>
      </c>
      <c r="AP948" s="0" t="n">
        <f aca="false">AL948*D948</f>
        <v>0</v>
      </c>
      <c r="AR948" s="0" t="n">
        <f aca="false">AN948*D948</f>
        <v>-0</v>
      </c>
      <c r="AS948" s="0" t="n">
        <f aca="false">AH948-AR948</f>
        <v>0</v>
      </c>
    </row>
    <row r="949" customFormat="false" ht="12" hidden="false" customHeight="false" outlineLevel="0" collapsed="false">
      <c r="A949" s="3" t="n">
        <f aca="false">A948+1</f>
        <v>940</v>
      </c>
      <c r="B949" s="3" t="n">
        <f aca="false">IF(A949&lt;$N$4/3,0.1,(IF(A949&gt;2*$N$4/3,0.05,0.12)))</f>
        <v>0.05</v>
      </c>
      <c r="C949" s="4" t="n">
        <f aca="true">RAND()</f>
        <v>0.825589292400632</v>
      </c>
      <c r="D949" s="0" t="n">
        <f aca="false">IF((C949&gt;$M$2),1,0)</f>
        <v>0</v>
      </c>
      <c r="E949" s="0" t="n">
        <f aca="false">1-D949</f>
        <v>1</v>
      </c>
      <c r="F949" s="0" t="n">
        <f aca="true">RAND()</f>
        <v>0.727014552156247</v>
      </c>
      <c r="G949" s="0" t="n">
        <f aca="false">7.75+F949*10</f>
        <v>15.0201455215625</v>
      </c>
      <c r="H949" s="0" t="n">
        <f aca="false">LOGINV(F949,2.64,1.139)</f>
        <v>27.8752167265798</v>
      </c>
      <c r="I949" s="0" t="n">
        <v>19.5</v>
      </c>
      <c r="J949" s="4" t="n">
        <f aca="true">-LN(RAND())/B949</f>
        <v>10.2889143253364</v>
      </c>
      <c r="K949" s="4" t="n">
        <f aca="false">K948+J949</f>
        <v>11692.3189979066</v>
      </c>
      <c r="L949" s="4" t="n">
        <f aca="false">(1/$J$4)*(1+AB948)</f>
        <v>10</v>
      </c>
      <c r="M949" s="4" t="n">
        <f aca="false">L949+MAX(K949,Y$10:Y948)</f>
        <v>11702.3189979066</v>
      </c>
      <c r="N949" s="4" t="n">
        <f aca="false">K949</f>
        <v>11692.3189979066</v>
      </c>
      <c r="O949" s="4" t="n">
        <f aca="false">M949-K949</f>
        <v>10</v>
      </c>
      <c r="P949" s="4" t="n">
        <f aca="false">N949-K949</f>
        <v>0</v>
      </c>
      <c r="Q949" s="4" t="n">
        <f aca="false">A949-MATCH(K949,$M$9:M948,1)</f>
        <v>0</v>
      </c>
      <c r="R949" s="0" t="n">
        <f aca="false">-G949*(O949/3600)</f>
        <v>-0.0417226264487847</v>
      </c>
      <c r="S949" s="0" t="n">
        <f aca="false">-1*I949-(H949*(P949/3600))</f>
        <v>-19.5</v>
      </c>
      <c r="T949" s="0" t="n">
        <f aca="false">-H949*(O949/3600)</f>
        <v>-0.0774311575738328</v>
      </c>
      <c r="U949" s="0" t="n">
        <f aca="false">T949-S949</f>
        <v>19.4225688424262</v>
      </c>
      <c r="V949" s="0" t="n">
        <f aca="false">1/(1+EXP(U949))</f>
        <v>3.67185502528897E-009</v>
      </c>
      <c r="W949" s="0" t="n">
        <f aca="true">RAND()</f>
        <v>0.534140767628503</v>
      </c>
      <c r="X949" s="0" t="n">
        <f aca="false">IF(W949&lt;V949,1,0)</f>
        <v>0</v>
      </c>
      <c r="Y949" s="0" t="n">
        <f aca="false">(M949*(1-X949)+N949*X949)*D949+M949*E949</f>
        <v>11702.3189979066</v>
      </c>
      <c r="Z949" s="0" t="n">
        <f aca="false">((1-X949)*O949+X949*P949)*D949+E949*O949</f>
        <v>10</v>
      </c>
      <c r="AA949" s="0" t="n">
        <f aca="false">IF(D949*X949&gt;0,AA948,Q949)</f>
        <v>0</v>
      </c>
      <c r="AB949" s="0" t="n">
        <f aca="false">(X949*D949)</f>
        <v>0</v>
      </c>
      <c r="AC949" s="0" t="n">
        <f aca="false">SUM(AB$10:AB948)/K949</f>
        <v>8.55262330919159E-005</v>
      </c>
      <c r="AD949" s="0" t="n">
        <f aca="false">R949*E949+D949*(X949*S949+(1-X949)*T949)</f>
        <v>-0.0417226264487847</v>
      </c>
      <c r="AE949" s="0" t="n">
        <f aca="false">Z949</f>
        <v>10</v>
      </c>
      <c r="AF949" s="0" t="n">
        <f aca="false">E949*O949</f>
        <v>10</v>
      </c>
      <c r="AG949" s="0" t="n">
        <f aca="false">((1-X949)*O949+X949*P949)*D949</f>
        <v>0</v>
      </c>
      <c r="AH949" s="0" t="n">
        <f aca="false">D949*(LN(EXP(S949)+EXP(T949)))</f>
        <v>-0</v>
      </c>
      <c r="AJ949" s="0" t="n">
        <f aca="false">$J$5</f>
        <v>10</v>
      </c>
      <c r="AK949" s="4" t="n">
        <f aca="false">AJ949+MAX(K949,AK$10:AK948)</f>
        <v>11702.3189979066</v>
      </c>
      <c r="AL949" s="5" t="n">
        <f aca="false">AK949-K949</f>
        <v>10</v>
      </c>
      <c r="AM949" s="0" t="n">
        <f aca="false">-G949*AL949/3600</f>
        <v>-0.0417226264487847</v>
      </c>
      <c r="AN949" s="0" t="n">
        <f aca="false">-H949*AL949/3600</f>
        <v>-0.0774311575738328</v>
      </c>
      <c r="AO949" s="0" t="n">
        <f aca="false">AM949*E949+AN949*D949</f>
        <v>-0.0417226264487847</v>
      </c>
      <c r="AP949" s="0" t="n">
        <f aca="false">AL949*D949</f>
        <v>0</v>
      </c>
      <c r="AR949" s="0" t="n">
        <f aca="false">AN949*D949</f>
        <v>-0</v>
      </c>
      <c r="AS949" s="0" t="n">
        <f aca="false">AH949-AR949</f>
        <v>0</v>
      </c>
    </row>
    <row r="950" customFormat="false" ht="12" hidden="false" customHeight="false" outlineLevel="0" collapsed="false">
      <c r="A950" s="3" t="n">
        <f aca="false">A949+1</f>
        <v>941</v>
      </c>
      <c r="B950" s="3" t="n">
        <f aca="false">IF(A950&lt;$N$4/3,0.1,(IF(A950&gt;2*$N$4/3,0.05,0.12)))</f>
        <v>0.05</v>
      </c>
      <c r="C950" s="4" t="n">
        <f aca="true">RAND()</f>
        <v>0.166058884934847</v>
      </c>
      <c r="D950" s="0" t="n">
        <f aca="false">IF((C950&gt;$M$2),1,0)</f>
        <v>0</v>
      </c>
      <c r="E950" s="0" t="n">
        <f aca="false">1-D950</f>
        <v>1</v>
      </c>
      <c r="F950" s="0" t="n">
        <f aca="true">RAND()</f>
        <v>0.574677880109186</v>
      </c>
      <c r="G950" s="0" t="n">
        <f aca="false">7.75+F950*10</f>
        <v>13.4967788010919</v>
      </c>
      <c r="H950" s="0" t="n">
        <f aca="false">LOGINV(F950,2.64,1.139)</f>
        <v>17.3652259455096</v>
      </c>
      <c r="I950" s="0" t="n">
        <v>19.5</v>
      </c>
      <c r="J950" s="4" t="n">
        <f aca="true">-LN(RAND())/B950</f>
        <v>10.005263869737</v>
      </c>
      <c r="K950" s="4" t="n">
        <f aca="false">K949+J950</f>
        <v>11702.3242617764</v>
      </c>
      <c r="L950" s="4" t="n">
        <f aca="false">(1/$J$4)*(1+AB949)</f>
        <v>10</v>
      </c>
      <c r="M950" s="4" t="n">
        <f aca="false">L950+MAX(K950,Y$10:Y949)</f>
        <v>11712.3242617764</v>
      </c>
      <c r="N950" s="4" t="n">
        <f aca="false">K950</f>
        <v>11702.3242617764</v>
      </c>
      <c r="O950" s="4" t="n">
        <f aca="false">M950-K950</f>
        <v>10</v>
      </c>
      <c r="P950" s="4" t="n">
        <f aca="false">N950-K950</f>
        <v>0</v>
      </c>
      <c r="Q950" s="4" t="n">
        <f aca="false">A950-MATCH(K950,$M$9:M949,1)</f>
        <v>0</v>
      </c>
      <c r="R950" s="0" t="n">
        <f aca="false">-G950*(O950/3600)</f>
        <v>-0.0374910522252552</v>
      </c>
      <c r="S950" s="0" t="n">
        <f aca="false">-1*I950-(H950*(P950/3600))</f>
        <v>-19.5</v>
      </c>
      <c r="T950" s="0" t="n">
        <f aca="false">-H950*(O950/3600)</f>
        <v>-0.0482367387375266</v>
      </c>
      <c r="U950" s="0" t="n">
        <f aca="false">T950-S950</f>
        <v>19.4517632612625</v>
      </c>
      <c r="V950" s="0" t="n">
        <f aca="false">1/(1+EXP(U950))</f>
        <v>3.56620702185443E-009</v>
      </c>
      <c r="W950" s="0" t="n">
        <f aca="true">RAND()</f>
        <v>0.168797099733163</v>
      </c>
      <c r="X950" s="0" t="n">
        <f aca="false">IF(W950&lt;V950,1,0)</f>
        <v>0</v>
      </c>
      <c r="Y950" s="0" t="n">
        <f aca="false">(M950*(1-X950)+N950*X950)*D950+M950*E950</f>
        <v>11712.3242617764</v>
      </c>
      <c r="Z950" s="0" t="n">
        <f aca="false">((1-X950)*O950+X950*P950)*D950+E950*O950</f>
        <v>10</v>
      </c>
      <c r="AA950" s="0" t="n">
        <f aca="false">IF(D950*X950&gt;0,AA949,Q950)</f>
        <v>0</v>
      </c>
      <c r="AB950" s="0" t="n">
        <f aca="false">(X950*D950)</f>
        <v>0</v>
      </c>
      <c r="AC950" s="0" t="n">
        <f aca="false">SUM(AB$10:AB949)/K950</f>
        <v>8.54531097951479E-005</v>
      </c>
      <c r="AD950" s="0" t="n">
        <f aca="false">R950*E950+D950*(X950*S950+(1-X950)*T950)</f>
        <v>-0.0374910522252552</v>
      </c>
      <c r="AE950" s="0" t="n">
        <f aca="false">Z950</f>
        <v>10</v>
      </c>
      <c r="AF950" s="0" t="n">
        <f aca="false">E950*O950</f>
        <v>10</v>
      </c>
      <c r="AG950" s="0" t="n">
        <f aca="false">((1-X950)*O950+X950*P950)*D950</f>
        <v>0</v>
      </c>
      <c r="AH950" s="0" t="n">
        <f aca="false">D950*(LN(EXP(S950)+EXP(T950)))</f>
        <v>-0</v>
      </c>
      <c r="AJ950" s="0" t="n">
        <f aca="false">$J$5</f>
        <v>10</v>
      </c>
      <c r="AK950" s="4" t="n">
        <f aca="false">AJ950+MAX(K950,AK$10:AK949)</f>
        <v>11712.3242617764</v>
      </c>
      <c r="AL950" s="5" t="n">
        <f aca="false">AK950-K950</f>
        <v>10</v>
      </c>
      <c r="AM950" s="0" t="n">
        <f aca="false">-G950*AL950/3600</f>
        <v>-0.0374910522252552</v>
      </c>
      <c r="AN950" s="0" t="n">
        <f aca="false">-H950*AL950/3600</f>
        <v>-0.0482367387375266</v>
      </c>
      <c r="AO950" s="0" t="n">
        <f aca="false">AM950*E950+AN950*D950</f>
        <v>-0.0374910522252552</v>
      </c>
      <c r="AP950" s="0" t="n">
        <f aca="false">AL950*D950</f>
        <v>0</v>
      </c>
      <c r="AR950" s="0" t="n">
        <f aca="false">AN950*D950</f>
        <v>-0</v>
      </c>
      <c r="AS950" s="0" t="n">
        <f aca="false">AH950-AR950</f>
        <v>0</v>
      </c>
    </row>
    <row r="951" customFormat="false" ht="12" hidden="false" customHeight="false" outlineLevel="0" collapsed="false">
      <c r="A951" s="3" t="n">
        <f aca="false">A950+1</f>
        <v>942</v>
      </c>
      <c r="B951" s="3" t="n">
        <f aca="false">IF(A951&lt;$N$4/3,0.1,(IF(A951&gt;2*$N$4/3,0.05,0.12)))</f>
        <v>0.05</v>
      </c>
      <c r="C951" s="4" t="n">
        <f aca="true">RAND()</f>
        <v>0.503489475631696</v>
      </c>
      <c r="D951" s="0" t="n">
        <f aca="false">IF((C951&gt;$M$2),1,0)</f>
        <v>0</v>
      </c>
      <c r="E951" s="0" t="n">
        <f aca="false">1-D951</f>
        <v>1</v>
      </c>
      <c r="F951" s="0" t="n">
        <f aca="true">RAND()</f>
        <v>0.104514708033184</v>
      </c>
      <c r="G951" s="0" t="n">
        <f aca="false">7.75+F951*10</f>
        <v>8.79514708033184</v>
      </c>
      <c r="H951" s="0" t="n">
        <f aca="false">LOGINV(F951,2.64,1.139)</f>
        <v>3.35061545593054</v>
      </c>
      <c r="I951" s="0" t="n">
        <v>19.5</v>
      </c>
      <c r="J951" s="4" t="n">
        <f aca="true">-LN(RAND())/B951</f>
        <v>4.83524430770698</v>
      </c>
      <c r="K951" s="4" t="n">
        <f aca="false">K950+J951</f>
        <v>11707.1595060841</v>
      </c>
      <c r="L951" s="4" t="n">
        <f aca="false">(1/$J$4)*(1+AB950)</f>
        <v>10</v>
      </c>
      <c r="M951" s="4" t="n">
        <f aca="false">L951+MAX(K951,Y$10:Y950)</f>
        <v>11722.3242617764</v>
      </c>
      <c r="N951" s="4" t="n">
        <f aca="false">K951</f>
        <v>11707.1595060841</v>
      </c>
      <c r="O951" s="4" t="n">
        <f aca="false">M951-K951</f>
        <v>15.1647556922926</v>
      </c>
      <c r="P951" s="4" t="n">
        <f aca="false">N951-K951</f>
        <v>0</v>
      </c>
      <c r="Q951" s="4" t="n">
        <f aca="false">A951-MATCH(K951,$M$9:M950,1)</f>
        <v>1</v>
      </c>
      <c r="R951" s="0" t="n">
        <f aca="false">-G951*(O951/3600)</f>
        <v>-0.0370489602086147</v>
      </c>
      <c r="S951" s="0" t="n">
        <f aca="false">-1*I951-(H951*(P951/3600))</f>
        <v>-19.5</v>
      </c>
      <c r="T951" s="0" t="n">
        <f aca="false">-H951*(O951/3600)</f>
        <v>-0.0141142402244462</v>
      </c>
      <c r="U951" s="0" t="n">
        <f aca="false">T951-S951</f>
        <v>19.4858857597756</v>
      </c>
      <c r="V951" s="0" t="n">
        <f aca="false">1/(1+EXP(U951))</f>
        <v>3.44657186158631E-009</v>
      </c>
      <c r="W951" s="0" t="n">
        <f aca="true">RAND()</f>
        <v>0.713302453276431</v>
      </c>
      <c r="X951" s="0" t="n">
        <f aca="false">IF(W951&lt;V951,1,0)</f>
        <v>0</v>
      </c>
      <c r="Y951" s="0" t="n">
        <f aca="false">(M951*(1-X951)+N951*X951)*D951+M951*E951</f>
        <v>11722.3242617764</v>
      </c>
      <c r="Z951" s="0" t="n">
        <f aca="false">((1-X951)*O951+X951*P951)*D951+E951*O951</f>
        <v>15.1647556922926</v>
      </c>
      <c r="AA951" s="0" t="n">
        <f aca="false">IF(D951*X951&gt;0,AA950,Q951)</f>
        <v>1</v>
      </c>
      <c r="AB951" s="0" t="n">
        <f aca="false">(X951*D951)</f>
        <v>0</v>
      </c>
      <c r="AC951" s="0" t="n">
        <f aca="false">SUM(AB$10:AB950)/K951</f>
        <v>8.54178162926977E-005</v>
      </c>
      <c r="AD951" s="0" t="n">
        <f aca="false">R951*E951+D951*(X951*S951+(1-X951)*T951)</f>
        <v>-0.0370489602086147</v>
      </c>
      <c r="AE951" s="0" t="n">
        <f aca="false">Z951</f>
        <v>15.1647556922926</v>
      </c>
      <c r="AF951" s="0" t="n">
        <f aca="false">E951*O951</f>
        <v>15.1647556922926</v>
      </c>
      <c r="AG951" s="0" t="n">
        <f aca="false">((1-X951)*O951+X951*P951)*D951</f>
        <v>0</v>
      </c>
      <c r="AH951" s="0" t="n">
        <f aca="false">D951*(LN(EXP(S951)+EXP(T951)))</f>
        <v>-0</v>
      </c>
      <c r="AJ951" s="0" t="n">
        <f aca="false">$J$5</f>
        <v>10</v>
      </c>
      <c r="AK951" s="4" t="n">
        <f aca="false">AJ951+MAX(K951,AK$10:AK950)</f>
        <v>11722.3242617764</v>
      </c>
      <c r="AL951" s="5" t="n">
        <f aca="false">AK951-K951</f>
        <v>15.1647556922926</v>
      </c>
      <c r="AM951" s="0" t="n">
        <f aca="false">-G951*AL951/3600</f>
        <v>-0.0370489602086147</v>
      </c>
      <c r="AN951" s="0" t="n">
        <f aca="false">-H951*AL951/3600</f>
        <v>-0.0141142402244462</v>
      </c>
      <c r="AO951" s="0" t="n">
        <f aca="false">AM951*E951+AN951*D951</f>
        <v>-0.0370489602086147</v>
      </c>
      <c r="AP951" s="0" t="n">
        <f aca="false">AL951*D951</f>
        <v>0</v>
      </c>
      <c r="AR951" s="0" t="n">
        <f aca="false">AN951*D951</f>
        <v>-0</v>
      </c>
      <c r="AS951" s="0" t="n">
        <f aca="false">AH951-AR951</f>
        <v>0</v>
      </c>
    </row>
    <row r="952" customFormat="false" ht="12" hidden="false" customHeight="false" outlineLevel="0" collapsed="false">
      <c r="A952" s="3" t="n">
        <f aca="false">A951+1</f>
        <v>943</v>
      </c>
      <c r="B952" s="3" t="n">
        <f aca="false">IF(A952&lt;$N$4/3,0.1,(IF(A952&gt;2*$N$4/3,0.05,0.12)))</f>
        <v>0.05</v>
      </c>
      <c r="C952" s="4" t="n">
        <f aca="true">RAND()</f>
        <v>0.820507733966839</v>
      </c>
      <c r="D952" s="0" t="n">
        <f aca="false">IF((C952&gt;$M$2),1,0)</f>
        <v>0</v>
      </c>
      <c r="E952" s="0" t="n">
        <f aca="false">1-D952</f>
        <v>1</v>
      </c>
      <c r="F952" s="0" t="n">
        <f aca="true">RAND()</f>
        <v>0.911286361697949</v>
      </c>
      <c r="G952" s="0" t="n">
        <f aca="false">7.75+F952*10</f>
        <v>16.8628636169795</v>
      </c>
      <c r="H952" s="0" t="n">
        <f aca="false">LOGINV(F952,2.64,1.139)</f>
        <v>65.1173360467042</v>
      </c>
      <c r="I952" s="0" t="n">
        <v>19.5</v>
      </c>
      <c r="J952" s="4" t="n">
        <f aca="true">-LN(RAND())/B952</f>
        <v>6.9839126994339</v>
      </c>
      <c r="K952" s="4" t="n">
        <f aca="false">K951+J952</f>
        <v>11714.1434187835</v>
      </c>
      <c r="L952" s="4" t="n">
        <f aca="false">(1/$J$4)*(1+AB951)</f>
        <v>10</v>
      </c>
      <c r="M952" s="4" t="n">
        <f aca="false">L952+MAX(K952,Y$10:Y951)</f>
        <v>11732.3242617764</v>
      </c>
      <c r="N952" s="4" t="n">
        <f aca="false">K952</f>
        <v>11714.1434187835</v>
      </c>
      <c r="O952" s="4" t="n">
        <f aca="false">M952-K952</f>
        <v>18.1808429928587</v>
      </c>
      <c r="P952" s="4" t="n">
        <f aca="false">N952-K952</f>
        <v>0</v>
      </c>
      <c r="Q952" s="4" t="n">
        <f aca="false">A952-MATCH(K952,$M$9:M951,1)</f>
        <v>1</v>
      </c>
      <c r="R952" s="0" t="n">
        <f aca="false">-G952*(O952/3600)</f>
        <v>-0.0851614099528595</v>
      </c>
      <c r="S952" s="0" t="n">
        <f aca="false">-1*I952-(H952*(P952/3600))</f>
        <v>-19.5</v>
      </c>
      <c r="T952" s="0" t="n">
        <f aca="false">-H952*(O952/3600)</f>
        <v>-0.328857795216208</v>
      </c>
      <c r="U952" s="0" t="n">
        <f aca="false">T952-S952</f>
        <v>19.1711422047838</v>
      </c>
      <c r="V952" s="0" t="n">
        <f aca="false">1/(1+EXP(U952))</f>
        <v>4.72148622136178E-009</v>
      </c>
      <c r="W952" s="0" t="n">
        <f aca="true">RAND()</f>
        <v>0.932570229665295</v>
      </c>
      <c r="X952" s="0" t="n">
        <f aca="false">IF(W952&lt;V952,1,0)</f>
        <v>0</v>
      </c>
      <c r="Y952" s="0" t="n">
        <f aca="false">(M952*(1-X952)+N952*X952)*D952+M952*E952</f>
        <v>11732.3242617764</v>
      </c>
      <c r="Z952" s="0" t="n">
        <f aca="false">((1-X952)*O952+X952*P952)*D952+E952*O952</f>
        <v>18.1808429928587</v>
      </c>
      <c r="AA952" s="0" t="n">
        <f aca="false">IF(D952*X952&gt;0,AA951,Q952)</f>
        <v>1</v>
      </c>
      <c r="AB952" s="0" t="n">
        <f aca="false">(X952*D952)</f>
        <v>0</v>
      </c>
      <c r="AC952" s="0" t="n">
        <f aca="false">SUM(AB$10:AB951)/K952</f>
        <v>8.53668906252684E-005</v>
      </c>
      <c r="AD952" s="0" t="n">
        <f aca="false">R952*E952+D952*(X952*S952+(1-X952)*T952)</f>
        <v>-0.0851614099528595</v>
      </c>
      <c r="AE952" s="0" t="n">
        <f aca="false">Z952</f>
        <v>18.1808429928587</v>
      </c>
      <c r="AF952" s="0" t="n">
        <f aca="false">E952*O952</f>
        <v>18.1808429928587</v>
      </c>
      <c r="AG952" s="0" t="n">
        <f aca="false">((1-X952)*O952+X952*P952)*D952</f>
        <v>0</v>
      </c>
      <c r="AH952" s="0" t="n">
        <f aca="false">D952*(LN(EXP(S952)+EXP(T952)))</f>
        <v>-0</v>
      </c>
      <c r="AJ952" s="0" t="n">
        <f aca="false">$J$5</f>
        <v>10</v>
      </c>
      <c r="AK952" s="4" t="n">
        <f aca="false">AJ952+MAX(K952,AK$10:AK951)</f>
        <v>11732.3242617764</v>
      </c>
      <c r="AL952" s="5" t="n">
        <f aca="false">AK952-K952</f>
        <v>18.1808429928587</v>
      </c>
      <c r="AM952" s="0" t="n">
        <f aca="false">-G952*AL952/3600</f>
        <v>-0.0851614099528595</v>
      </c>
      <c r="AN952" s="0" t="n">
        <f aca="false">-H952*AL952/3600</f>
        <v>-0.328857795216208</v>
      </c>
      <c r="AO952" s="0" t="n">
        <f aca="false">AM952*E952+AN952*D952</f>
        <v>-0.0851614099528595</v>
      </c>
      <c r="AP952" s="0" t="n">
        <f aca="false">AL952*D952</f>
        <v>0</v>
      </c>
      <c r="AR952" s="0" t="n">
        <f aca="false">AN952*D952</f>
        <v>-0</v>
      </c>
      <c r="AS952" s="0" t="n">
        <f aca="false">AH952-AR952</f>
        <v>0</v>
      </c>
    </row>
    <row r="953" customFormat="false" ht="12" hidden="false" customHeight="false" outlineLevel="0" collapsed="false">
      <c r="A953" s="3" t="n">
        <f aca="false">A952+1</f>
        <v>944</v>
      </c>
      <c r="B953" s="3" t="n">
        <f aca="false">IF(A953&lt;$N$4/3,0.1,(IF(A953&gt;2*$N$4/3,0.05,0.12)))</f>
        <v>0.05</v>
      </c>
      <c r="C953" s="4" t="n">
        <f aca="true">RAND()</f>
        <v>0.681966117249587</v>
      </c>
      <c r="D953" s="0" t="n">
        <f aca="false">IF((C953&gt;$M$2),1,0)</f>
        <v>0</v>
      </c>
      <c r="E953" s="0" t="n">
        <f aca="false">1-D953</f>
        <v>1</v>
      </c>
      <c r="F953" s="0" t="n">
        <f aca="true">RAND()</f>
        <v>0.584720281053225</v>
      </c>
      <c r="G953" s="0" t="n">
        <f aca="false">7.75+F953*10</f>
        <v>13.5972028105322</v>
      </c>
      <c r="H953" s="0" t="n">
        <f aca="false">LOGINV(F953,2.64,1.139)</f>
        <v>17.8808072492072</v>
      </c>
      <c r="I953" s="0" t="n">
        <v>19.5</v>
      </c>
      <c r="J953" s="4" t="n">
        <f aca="true">-LN(RAND())/B953</f>
        <v>23.2892899702331</v>
      </c>
      <c r="K953" s="4" t="n">
        <f aca="false">K952+J953</f>
        <v>11737.4327087538</v>
      </c>
      <c r="L953" s="4" t="n">
        <f aca="false">(1/$J$4)*(1+AB952)</f>
        <v>10</v>
      </c>
      <c r="M953" s="4" t="n">
        <f aca="false">L953+MAX(K953,Y$10:Y952)</f>
        <v>11747.4327087538</v>
      </c>
      <c r="N953" s="4" t="n">
        <f aca="false">K953</f>
        <v>11737.4327087538</v>
      </c>
      <c r="O953" s="4" t="n">
        <f aca="false">M953-K953</f>
        <v>10</v>
      </c>
      <c r="P953" s="4" t="n">
        <f aca="false">N953-K953</f>
        <v>0</v>
      </c>
      <c r="Q953" s="4" t="n">
        <f aca="false">A953-MATCH(K953,$M$9:M952,1)</f>
        <v>0</v>
      </c>
      <c r="R953" s="0" t="n">
        <f aca="false">-G953*(O953/3600)</f>
        <v>-0.037770007807034</v>
      </c>
      <c r="S953" s="0" t="n">
        <f aca="false">-1*I953-(H953*(P953/3600))</f>
        <v>-19.5</v>
      </c>
      <c r="T953" s="0" t="n">
        <f aca="false">-H953*(O953/3600)</f>
        <v>-0.0496689090255756</v>
      </c>
      <c r="U953" s="0" t="n">
        <f aca="false">T953-S953</f>
        <v>19.4503310909744</v>
      </c>
      <c r="V953" s="0" t="n">
        <f aca="false">1/(1+EXP(U953))</f>
        <v>3.57131809666506E-009</v>
      </c>
      <c r="W953" s="0" t="n">
        <f aca="true">RAND()</f>
        <v>0.906981799068527</v>
      </c>
      <c r="X953" s="0" t="n">
        <f aca="false">IF(W953&lt;V953,1,0)</f>
        <v>0</v>
      </c>
      <c r="Y953" s="0" t="n">
        <f aca="false">(M953*(1-X953)+N953*X953)*D953+M953*E953</f>
        <v>11747.4327087538</v>
      </c>
      <c r="Z953" s="0" t="n">
        <f aca="false">((1-X953)*O953+X953*P953)*D953+E953*O953</f>
        <v>10</v>
      </c>
      <c r="AA953" s="0" t="n">
        <f aca="false">IF(D953*X953&gt;0,AA952,Q953)</f>
        <v>0</v>
      </c>
      <c r="AB953" s="0" t="n">
        <f aca="false">(X953*D953)</f>
        <v>0</v>
      </c>
      <c r="AC953" s="0" t="n">
        <f aca="false">SUM(AB$10:AB952)/K953</f>
        <v>8.51975065428236E-005</v>
      </c>
      <c r="AD953" s="0" t="n">
        <f aca="false">R953*E953+D953*(X953*S953+(1-X953)*T953)</f>
        <v>-0.037770007807034</v>
      </c>
      <c r="AE953" s="0" t="n">
        <f aca="false">Z953</f>
        <v>10</v>
      </c>
      <c r="AF953" s="0" t="n">
        <f aca="false">E953*O953</f>
        <v>10</v>
      </c>
      <c r="AG953" s="0" t="n">
        <f aca="false">((1-X953)*O953+X953*P953)*D953</f>
        <v>0</v>
      </c>
      <c r="AH953" s="0" t="n">
        <f aca="false">D953*(LN(EXP(S953)+EXP(T953)))</f>
        <v>-0</v>
      </c>
      <c r="AJ953" s="0" t="n">
        <f aca="false">$J$5</f>
        <v>10</v>
      </c>
      <c r="AK953" s="4" t="n">
        <f aca="false">AJ953+MAX(K953,AK$10:AK952)</f>
        <v>11747.4327087538</v>
      </c>
      <c r="AL953" s="5" t="n">
        <f aca="false">AK953-K953</f>
        <v>10</v>
      </c>
      <c r="AM953" s="0" t="n">
        <f aca="false">-G953*AL953/3600</f>
        <v>-0.037770007807034</v>
      </c>
      <c r="AN953" s="0" t="n">
        <f aca="false">-H953*AL953/3600</f>
        <v>-0.0496689090255755</v>
      </c>
      <c r="AO953" s="0" t="n">
        <f aca="false">AM953*E953+AN953*D953</f>
        <v>-0.037770007807034</v>
      </c>
      <c r="AP953" s="0" t="n">
        <f aca="false">AL953*D953</f>
        <v>0</v>
      </c>
      <c r="AR953" s="0" t="n">
        <f aca="false">AN953*D953</f>
        <v>-0</v>
      </c>
      <c r="AS953" s="0" t="n">
        <f aca="false">AH953-AR953</f>
        <v>0</v>
      </c>
    </row>
    <row r="954" customFormat="false" ht="12" hidden="false" customHeight="false" outlineLevel="0" collapsed="false">
      <c r="A954" s="3" t="n">
        <f aca="false">A953+1</f>
        <v>945</v>
      </c>
      <c r="B954" s="3" t="n">
        <f aca="false">IF(A954&lt;$N$4/3,0.1,(IF(A954&gt;2*$N$4/3,0.05,0.12)))</f>
        <v>0.05</v>
      </c>
      <c r="C954" s="4" t="n">
        <f aca="true">RAND()</f>
        <v>0.401569911207562</v>
      </c>
      <c r="D954" s="0" t="n">
        <f aca="false">IF((C954&gt;$M$2),1,0)</f>
        <v>0</v>
      </c>
      <c r="E954" s="0" t="n">
        <f aca="false">1-D954</f>
        <v>1</v>
      </c>
      <c r="F954" s="0" t="n">
        <f aca="true">RAND()</f>
        <v>0.229027553932201</v>
      </c>
      <c r="G954" s="0" t="n">
        <f aca="false">7.75+F954*10</f>
        <v>10.040275539322</v>
      </c>
      <c r="H954" s="0" t="n">
        <f aca="false">LOGINV(F954,2.64,1.139)</f>
        <v>6.01827945448948</v>
      </c>
      <c r="I954" s="0" t="n">
        <v>19.5</v>
      </c>
      <c r="J954" s="4" t="n">
        <f aca="true">-LN(RAND())/B954</f>
        <v>4.30216536671568</v>
      </c>
      <c r="K954" s="4" t="n">
        <f aca="false">K953+J954</f>
        <v>11741.7348741205</v>
      </c>
      <c r="L954" s="4" t="n">
        <f aca="false">(1/$J$4)*(1+AB953)</f>
        <v>10</v>
      </c>
      <c r="M954" s="4" t="n">
        <f aca="false">L954+MAX(K954,Y$10:Y953)</f>
        <v>11757.4327087538</v>
      </c>
      <c r="N954" s="4" t="n">
        <f aca="false">K954</f>
        <v>11741.7348741205</v>
      </c>
      <c r="O954" s="4" t="n">
        <f aca="false">M954-K954</f>
        <v>15.6978346332835</v>
      </c>
      <c r="P954" s="4" t="n">
        <f aca="false">N954-K954</f>
        <v>0</v>
      </c>
      <c r="Q954" s="4" t="n">
        <f aca="false">A954-MATCH(K954,$M$9:M953,1)</f>
        <v>1</v>
      </c>
      <c r="R954" s="0" t="n">
        <f aca="false">-G954*(O954/3600)</f>
        <v>-0.0437807180802439</v>
      </c>
      <c r="S954" s="0" t="n">
        <f aca="false">-1*I954-(H954*(P954/3600))</f>
        <v>-19.5</v>
      </c>
      <c r="T954" s="0" t="n">
        <f aca="false">-H954*(O954/3600)</f>
        <v>-0.0262427654592954</v>
      </c>
      <c r="U954" s="0" t="n">
        <f aca="false">T954-S954</f>
        <v>19.4737572345407</v>
      </c>
      <c r="V954" s="0" t="n">
        <f aca="false">1/(1+EXP(U954))</f>
        <v>3.48862822049908E-009</v>
      </c>
      <c r="W954" s="0" t="n">
        <f aca="true">RAND()</f>
        <v>0.912261096262123</v>
      </c>
      <c r="X954" s="0" t="n">
        <f aca="false">IF(W954&lt;V954,1,0)</f>
        <v>0</v>
      </c>
      <c r="Y954" s="0" t="n">
        <f aca="false">(M954*(1-X954)+N954*X954)*D954+M954*E954</f>
        <v>11757.4327087538</v>
      </c>
      <c r="Z954" s="0" t="n">
        <f aca="false">((1-X954)*O954+X954*P954)*D954+E954*O954</f>
        <v>15.6978346332835</v>
      </c>
      <c r="AA954" s="0" t="n">
        <f aca="false">IF(D954*X954&gt;0,AA953,Q954)</f>
        <v>1</v>
      </c>
      <c r="AB954" s="0" t="n">
        <f aca="false">(X954*D954)</f>
        <v>0</v>
      </c>
      <c r="AC954" s="0" t="n">
        <f aca="false">SUM(AB$10:AB953)/K954</f>
        <v>8.51662902220747E-005</v>
      </c>
      <c r="AD954" s="0" t="n">
        <f aca="false">R954*E954+D954*(X954*S954+(1-X954)*T954)</f>
        <v>-0.0437807180802439</v>
      </c>
      <c r="AE954" s="0" t="n">
        <f aca="false">Z954</f>
        <v>15.6978346332835</v>
      </c>
      <c r="AF954" s="0" t="n">
        <f aca="false">E954*O954</f>
        <v>15.6978346332835</v>
      </c>
      <c r="AG954" s="0" t="n">
        <f aca="false">((1-X954)*O954+X954*P954)*D954</f>
        <v>0</v>
      </c>
      <c r="AH954" s="0" t="n">
        <f aca="false">D954*(LN(EXP(S954)+EXP(T954)))</f>
        <v>-0</v>
      </c>
      <c r="AJ954" s="0" t="n">
        <f aca="false">$J$5</f>
        <v>10</v>
      </c>
      <c r="AK954" s="4" t="n">
        <f aca="false">AJ954+MAX(K954,AK$10:AK953)</f>
        <v>11757.4327087538</v>
      </c>
      <c r="AL954" s="5" t="n">
        <f aca="false">AK954-K954</f>
        <v>15.6978346332835</v>
      </c>
      <c r="AM954" s="0" t="n">
        <f aca="false">-G954*AL954/3600</f>
        <v>-0.0437807180802439</v>
      </c>
      <c r="AN954" s="0" t="n">
        <f aca="false">-H954*AL954/3600</f>
        <v>-0.0262427654592954</v>
      </c>
      <c r="AO954" s="0" t="n">
        <f aca="false">AM954*E954+AN954*D954</f>
        <v>-0.0437807180802439</v>
      </c>
      <c r="AP954" s="0" t="n">
        <f aca="false">AL954*D954</f>
        <v>0</v>
      </c>
      <c r="AR954" s="0" t="n">
        <f aca="false">AN954*D954</f>
        <v>-0</v>
      </c>
      <c r="AS954" s="0" t="n">
        <f aca="false">AH954-AR954</f>
        <v>0</v>
      </c>
    </row>
    <row r="955" customFormat="false" ht="12" hidden="false" customHeight="false" outlineLevel="0" collapsed="false">
      <c r="A955" s="3" t="n">
        <f aca="false">A954+1</f>
        <v>946</v>
      </c>
      <c r="B955" s="3" t="n">
        <f aca="false">IF(A955&lt;$N$4/3,0.1,(IF(A955&gt;2*$N$4/3,0.05,0.12)))</f>
        <v>0.05</v>
      </c>
      <c r="C955" s="4" t="n">
        <f aca="true">RAND()</f>
        <v>0.707136408448059</v>
      </c>
      <c r="D955" s="0" t="n">
        <f aca="false">IF((C955&gt;$M$2),1,0)</f>
        <v>0</v>
      </c>
      <c r="E955" s="0" t="n">
        <f aca="false">1-D955</f>
        <v>1</v>
      </c>
      <c r="F955" s="0" t="n">
        <f aca="true">RAND()</f>
        <v>0.933316873329207</v>
      </c>
      <c r="G955" s="0" t="n">
        <f aca="false">7.75+F955*10</f>
        <v>17.0831687332921</v>
      </c>
      <c r="H955" s="0" t="n">
        <f aca="false">LOGINV(F955,2.64,1.139)</f>
        <v>77.4468518266958</v>
      </c>
      <c r="I955" s="0" t="n">
        <v>19.5</v>
      </c>
      <c r="J955" s="4" t="n">
        <f aca="true">-LN(RAND())/B955</f>
        <v>6.66437759026863</v>
      </c>
      <c r="K955" s="4" t="n">
        <f aca="false">K954+J955</f>
        <v>11748.3992517107</v>
      </c>
      <c r="L955" s="4" t="n">
        <f aca="false">(1/$J$4)*(1+AB954)</f>
        <v>10</v>
      </c>
      <c r="M955" s="4" t="n">
        <f aca="false">L955+MAX(K955,Y$10:Y954)</f>
        <v>11767.4327087538</v>
      </c>
      <c r="N955" s="4" t="n">
        <f aca="false">K955</f>
        <v>11748.3992517107</v>
      </c>
      <c r="O955" s="4" t="n">
        <f aca="false">M955-K955</f>
        <v>19.033457043015</v>
      </c>
      <c r="P955" s="4" t="n">
        <f aca="false">N955-K955</f>
        <v>0</v>
      </c>
      <c r="Q955" s="4" t="n">
        <f aca="false">A955-MATCH(K955,$M$9:M954,1)</f>
        <v>1</v>
      </c>
      <c r="R955" s="0" t="n">
        <f aca="false">-G955*(O955/3600)</f>
        <v>-0.0903199328454699</v>
      </c>
      <c r="S955" s="0" t="n">
        <f aca="false">-1*I955-(H955*(P955/3600))</f>
        <v>-19.5</v>
      </c>
      <c r="T955" s="0" t="n">
        <f aca="false">-H955*(O955/3600)</f>
        <v>-0.409467035377823</v>
      </c>
      <c r="U955" s="0" t="n">
        <f aca="false">T955-S955</f>
        <v>19.0905329646222</v>
      </c>
      <c r="V955" s="0" t="n">
        <f aca="false">1/(1+EXP(U955))</f>
        <v>5.11784200705997E-009</v>
      </c>
      <c r="W955" s="0" t="n">
        <f aca="true">RAND()</f>
        <v>0.0153914020175836</v>
      </c>
      <c r="X955" s="0" t="n">
        <f aca="false">IF(W955&lt;V955,1,0)</f>
        <v>0</v>
      </c>
      <c r="Y955" s="0" t="n">
        <f aca="false">(M955*(1-X955)+N955*X955)*D955+M955*E955</f>
        <v>11767.4327087538</v>
      </c>
      <c r="Z955" s="0" t="n">
        <f aca="false">((1-X955)*O955+X955*P955)*D955+E955*O955</f>
        <v>19.033457043015</v>
      </c>
      <c r="AA955" s="0" t="n">
        <f aca="false">IF(D955*X955&gt;0,AA954,Q955)</f>
        <v>1</v>
      </c>
      <c r="AB955" s="0" t="n">
        <f aca="false">(X955*D955)</f>
        <v>0</v>
      </c>
      <c r="AC955" s="0" t="n">
        <f aca="false">SUM(AB$10:AB954)/K955</f>
        <v>8.51179789326946E-005</v>
      </c>
      <c r="AD955" s="0" t="n">
        <f aca="false">R955*E955+D955*(X955*S955+(1-X955)*T955)</f>
        <v>-0.0903199328454699</v>
      </c>
      <c r="AE955" s="0" t="n">
        <f aca="false">Z955</f>
        <v>19.033457043015</v>
      </c>
      <c r="AF955" s="0" t="n">
        <f aca="false">E955*O955</f>
        <v>19.033457043015</v>
      </c>
      <c r="AG955" s="0" t="n">
        <f aca="false">((1-X955)*O955+X955*P955)*D955</f>
        <v>0</v>
      </c>
      <c r="AH955" s="0" t="n">
        <f aca="false">D955*(LN(EXP(S955)+EXP(T955)))</f>
        <v>-0</v>
      </c>
      <c r="AJ955" s="0" t="n">
        <f aca="false">$J$5</f>
        <v>10</v>
      </c>
      <c r="AK955" s="4" t="n">
        <f aca="false">AJ955+MAX(K955,AK$10:AK954)</f>
        <v>11767.4327087538</v>
      </c>
      <c r="AL955" s="5" t="n">
        <f aca="false">AK955-K955</f>
        <v>19.033457043015</v>
      </c>
      <c r="AM955" s="0" t="n">
        <f aca="false">-G955*AL955/3600</f>
        <v>-0.0903199328454699</v>
      </c>
      <c r="AN955" s="0" t="n">
        <f aca="false">-H955*AL955/3600</f>
        <v>-0.409467035377823</v>
      </c>
      <c r="AO955" s="0" t="n">
        <f aca="false">AM955*E955+AN955*D955</f>
        <v>-0.0903199328454699</v>
      </c>
      <c r="AP955" s="0" t="n">
        <f aca="false">AL955*D955</f>
        <v>0</v>
      </c>
      <c r="AR955" s="0" t="n">
        <f aca="false">AN955*D955</f>
        <v>-0</v>
      </c>
      <c r="AS955" s="0" t="n">
        <f aca="false">AH955-AR955</f>
        <v>0</v>
      </c>
    </row>
    <row r="956" customFormat="false" ht="12" hidden="false" customHeight="false" outlineLevel="0" collapsed="false">
      <c r="A956" s="3" t="n">
        <f aca="false">A955+1</f>
        <v>947</v>
      </c>
      <c r="B956" s="3" t="n">
        <f aca="false">IF(A956&lt;$N$4/3,0.1,(IF(A956&gt;2*$N$4/3,0.05,0.12)))</f>
        <v>0.05</v>
      </c>
      <c r="C956" s="4" t="n">
        <f aca="true">RAND()</f>
        <v>0.131070047531657</v>
      </c>
      <c r="D956" s="0" t="n">
        <f aca="false">IF((C956&gt;$M$2),1,0)</f>
        <v>0</v>
      </c>
      <c r="E956" s="0" t="n">
        <f aca="false">1-D956</f>
        <v>1</v>
      </c>
      <c r="F956" s="0" t="n">
        <f aca="true">RAND()</f>
        <v>0.721760836046879</v>
      </c>
      <c r="G956" s="0" t="n">
        <f aca="false">7.75+F956*10</f>
        <v>14.9676083604688</v>
      </c>
      <c r="H956" s="0" t="n">
        <f aca="false">LOGINV(F956,2.64,1.139)</f>
        <v>27.3802945112645</v>
      </c>
      <c r="I956" s="0" t="n">
        <v>19.5</v>
      </c>
      <c r="J956" s="4" t="n">
        <f aca="true">-LN(RAND())/B956</f>
        <v>5.26848238999546</v>
      </c>
      <c r="K956" s="4" t="n">
        <f aca="false">K955+J956</f>
        <v>11753.6677341007</v>
      </c>
      <c r="L956" s="4" t="n">
        <f aca="false">(1/$J$4)*(1+AB955)</f>
        <v>10</v>
      </c>
      <c r="M956" s="4" t="n">
        <f aca="false">L956+MAX(K956,Y$10:Y955)</f>
        <v>11777.4327087538</v>
      </c>
      <c r="N956" s="4" t="n">
        <f aca="false">K956</f>
        <v>11753.6677341007</v>
      </c>
      <c r="O956" s="4" t="n">
        <f aca="false">M956-K956</f>
        <v>23.7649746530187</v>
      </c>
      <c r="P956" s="4" t="n">
        <f aca="false">N956-K956</f>
        <v>0</v>
      </c>
      <c r="Q956" s="4" t="n">
        <f aca="false">A956-MATCH(K956,$M$9:M955,1)</f>
        <v>2</v>
      </c>
      <c r="R956" s="0" t="n">
        <f aca="false">-G956*(O956/3600)</f>
        <v>-0.0988068981396811</v>
      </c>
      <c r="S956" s="0" t="n">
        <f aca="false">-1*I956-(H956*(P956/3600))</f>
        <v>-19.5</v>
      </c>
      <c r="T956" s="0" t="n">
        <f aca="false">-H956*(O956/3600)</f>
        <v>-0.180747779181219</v>
      </c>
      <c r="U956" s="0" t="n">
        <f aca="false">T956-S956</f>
        <v>19.3192522208188</v>
      </c>
      <c r="V956" s="0" t="n">
        <f aca="false">1/(1+EXP(U956))</f>
        <v>4.07150867283789E-009</v>
      </c>
      <c r="W956" s="0" t="n">
        <f aca="true">RAND()</f>
        <v>0.45006188588665</v>
      </c>
      <c r="X956" s="0" t="n">
        <f aca="false">IF(W956&lt;V956,1,0)</f>
        <v>0</v>
      </c>
      <c r="Y956" s="0" t="n">
        <f aca="false">(M956*(1-X956)+N956*X956)*D956+M956*E956</f>
        <v>11777.4327087538</v>
      </c>
      <c r="Z956" s="0" t="n">
        <f aca="false">((1-X956)*O956+X956*P956)*D956+E956*O956</f>
        <v>23.7649746530187</v>
      </c>
      <c r="AA956" s="0" t="n">
        <f aca="false">IF(D956*X956&gt;0,AA955,Q956)</f>
        <v>2</v>
      </c>
      <c r="AB956" s="0" t="n">
        <f aca="false">(X956*D956)</f>
        <v>0</v>
      </c>
      <c r="AC956" s="0" t="n">
        <f aca="false">SUM(AB$10:AB955)/K956</f>
        <v>8.50798255168228E-005</v>
      </c>
      <c r="AD956" s="0" t="n">
        <f aca="false">R956*E956+D956*(X956*S956+(1-X956)*T956)</f>
        <v>-0.0988068981396811</v>
      </c>
      <c r="AE956" s="0" t="n">
        <f aca="false">Z956</f>
        <v>23.7649746530187</v>
      </c>
      <c r="AF956" s="0" t="n">
        <f aca="false">E956*O956</f>
        <v>23.7649746530187</v>
      </c>
      <c r="AG956" s="0" t="n">
        <f aca="false">((1-X956)*O956+X956*P956)*D956</f>
        <v>0</v>
      </c>
      <c r="AH956" s="0" t="n">
        <f aca="false">D956*(LN(EXP(S956)+EXP(T956)))</f>
        <v>-0</v>
      </c>
      <c r="AJ956" s="0" t="n">
        <f aca="false">$J$5</f>
        <v>10</v>
      </c>
      <c r="AK956" s="4" t="n">
        <f aca="false">AJ956+MAX(K956,AK$10:AK955)</f>
        <v>11777.4327087538</v>
      </c>
      <c r="AL956" s="5" t="n">
        <f aca="false">AK956-K956</f>
        <v>23.7649746530187</v>
      </c>
      <c r="AM956" s="0" t="n">
        <f aca="false">-G956*AL956/3600</f>
        <v>-0.0988068981396811</v>
      </c>
      <c r="AN956" s="0" t="n">
        <f aca="false">-H956*AL956/3600</f>
        <v>-0.180747779181219</v>
      </c>
      <c r="AO956" s="0" t="n">
        <f aca="false">AM956*E956+AN956*D956</f>
        <v>-0.0988068981396811</v>
      </c>
      <c r="AP956" s="0" t="n">
        <f aca="false">AL956*D956</f>
        <v>0</v>
      </c>
      <c r="AR956" s="0" t="n">
        <f aca="false">AN956*D956</f>
        <v>-0</v>
      </c>
      <c r="AS956" s="0" t="n">
        <f aca="false">AH956-AR956</f>
        <v>0</v>
      </c>
    </row>
    <row r="957" customFormat="false" ht="12" hidden="false" customHeight="false" outlineLevel="0" collapsed="false">
      <c r="A957" s="3" t="n">
        <f aca="false">A956+1</f>
        <v>948</v>
      </c>
      <c r="B957" s="3" t="n">
        <f aca="false">IF(A957&lt;$N$4/3,0.1,(IF(A957&gt;2*$N$4/3,0.05,0.12)))</f>
        <v>0.05</v>
      </c>
      <c r="C957" s="4" t="n">
        <f aca="true">RAND()</f>
        <v>0.00533926678671435</v>
      </c>
      <c r="D957" s="0" t="n">
        <f aca="false">IF((C957&gt;$M$2),1,0)</f>
        <v>0</v>
      </c>
      <c r="E957" s="0" t="n">
        <f aca="false">1-D957</f>
        <v>1</v>
      </c>
      <c r="F957" s="0" t="n">
        <f aca="true">RAND()</f>
        <v>0.68439836586398</v>
      </c>
      <c r="G957" s="0" t="n">
        <f aca="false">7.75+F957*10</f>
        <v>14.5939836586398</v>
      </c>
      <c r="H957" s="0" t="n">
        <f aca="false">LOGINV(F957,2.64,1.139)</f>
        <v>24.2098274546976</v>
      </c>
      <c r="I957" s="0" t="n">
        <v>19.5</v>
      </c>
      <c r="J957" s="4" t="n">
        <f aca="true">-LN(RAND())/B957</f>
        <v>11.1718600675632</v>
      </c>
      <c r="K957" s="4" t="n">
        <f aca="false">K956+J957</f>
        <v>11764.8395941683</v>
      </c>
      <c r="L957" s="4" t="n">
        <f aca="false">(1/$J$4)*(1+AB956)</f>
        <v>10</v>
      </c>
      <c r="M957" s="4" t="n">
        <f aca="false">L957+MAX(K957,Y$10:Y956)</f>
        <v>11787.4327087538</v>
      </c>
      <c r="N957" s="4" t="n">
        <f aca="false">K957</f>
        <v>11764.8395941683</v>
      </c>
      <c r="O957" s="4" t="n">
        <f aca="false">M957-K957</f>
        <v>22.5931145854556</v>
      </c>
      <c r="P957" s="4" t="n">
        <f aca="false">N957-K957</f>
        <v>0</v>
      </c>
      <c r="Q957" s="4" t="n">
        <f aca="false">A957-MATCH(K957,$M$9:M956,1)</f>
        <v>2</v>
      </c>
      <c r="R957" s="0" t="n">
        <f aca="false">-G957*(O957/3600)</f>
        <v>-0.0915898736271988</v>
      </c>
      <c r="S957" s="0" t="n">
        <f aca="false">-1*I957-(H957*(P957/3600))</f>
        <v>-19.5</v>
      </c>
      <c r="T957" s="0" t="n">
        <f aca="false">-H957*(O957/3600)</f>
        <v>-0.151937612716137</v>
      </c>
      <c r="U957" s="0" t="n">
        <f aca="false">T957-S957</f>
        <v>19.3480623872839</v>
      </c>
      <c r="V957" s="0" t="n">
        <f aca="false">1/(1+EXP(U957))</f>
        <v>3.95588144815556E-009</v>
      </c>
      <c r="W957" s="0" t="n">
        <f aca="true">RAND()</f>
        <v>0.164030759641253</v>
      </c>
      <c r="X957" s="0" t="n">
        <f aca="false">IF(W957&lt;V957,1,0)</f>
        <v>0</v>
      </c>
      <c r="Y957" s="0" t="n">
        <f aca="false">(M957*(1-X957)+N957*X957)*D957+M957*E957</f>
        <v>11787.4327087538</v>
      </c>
      <c r="Z957" s="0" t="n">
        <f aca="false">((1-X957)*O957+X957*P957)*D957+E957*O957</f>
        <v>22.5931145854556</v>
      </c>
      <c r="AA957" s="0" t="n">
        <f aca="false">IF(D957*X957&gt;0,AA956,Q957)</f>
        <v>2</v>
      </c>
      <c r="AB957" s="0" t="n">
        <f aca="false">(X957*D957)</f>
        <v>0</v>
      </c>
      <c r="AC957" s="0" t="n">
        <f aca="false">SUM(AB$10:AB956)/K957</f>
        <v>8.49990339431138E-005</v>
      </c>
      <c r="AD957" s="0" t="n">
        <f aca="false">R957*E957+D957*(X957*S957+(1-X957)*T957)</f>
        <v>-0.0915898736271988</v>
      </c>
      <c r="AE957" s="0" t="n">
        <f aca="false">Z957</f>
        <v>22.5931145854556</v>
      </c>
      <c r="AF957" s="0" t="n">
        <f aca="false">E957*O957</f>
        <v>22.5931145854556</v>
      </c>
      <c r="AG957" s="0" t="n">
        <f aca="false">((1-X957)*O957+X957*P957)*D957</f>
        <v>0</v>
      </c>
      <c r="AH957" s="0" t="n">
        <f aca="false">D957*(LN(EXP(S957)+EXP(T957)))</f>
        <v>-0</v>
      </c>
      <c r="AJ957" s="0" t="n">
        <f aca="false">$J$5</f>
        <v>10</v>
      </c>
      <c r="AK957" s="4" t="n">
        <f aca="false">AJ957+MAX(K957,AK$10:AK956)</f>
        <v>11787.4327087538</v>
      </c>
      <c r="AL957" s="5" t="n">
        <f aca="false">AK957-K957</f>
        <v>22.5931145854556</v>
      </c>
      <c r="AM957" s="0" t="n">
        <f aca="false">-G957*AL957/3600</f>
        <v>-0.0915898736271988</v>
      </c>
      <c r="AN957" s="0" t="n">
        <f aca="false">-H957*AL957/3600</f>
        <v>-0.151937612716137</v>
      </c>
      <c r="AO957" s="0" t="n">
        <f aca="false">AM957*E957+AN957*D957</f>
        <v>-0.0915898736271988</v>
      </c>
      <c r="AP957" s="0" t="n">
        <f aca="false">AL957*D957</f>
        <v>0</v>
      </c>
      <c r="AR957" s="0" t="n">
        <f aca="false">AN957*D957</f>
        <v>-0</v>
      </c>
      <c r="AS957" s="0" t="n">
        <f aca="false">AH957-AR957</f>
        <v>0</v>
      </c>
    </row>
    <row r="958" customFormat="false" ht="12" hidden="false" customHeight="false" outlineLevel="0" collapsed="false">
      <c r="A958" s="3" t="n">
        <f aca="false">A957+1</f>
        <v>949</v>
      </c>
      <c r="B958" s="3" t="n">
        <f aca="false">IF(A958&lt;$N$4/3,0.1,(IF(A958&gt;2*$N$4/3,0.05,0.12)))</f>
        <v>0.05</v>
      </c>
      <c r="C958" s="4" t="n">
        <f aca="true">RAND()</f>
        <v>0.833161533305056</v>
      </c>
      <c r="D958" s="0" t="n">
        <f aca="false">IF((C958&gt;$M$2),1,0)</f>
        <v>0</v>
      </c>
      <c r="E958" s="0" t="n">
        <f aca="false">1-D958</f>
        <v>1</v>
      </c>
      <c r="F958" s="0" t="n">
        <f aca="true">RAND()</f>
        <v>0.444973219050684</v>
      </c>
      <c r="G958" s="0" t="n">
        <f aca="false">7.75+F958*10</f>
        <v>12.1997321905068</v>
      </c>
      <c r="H958" s="0" t="n">
        <f aca="false">LOGINV(F958,2.64,1.139)</f>
        <v>11.9698897745092</v>
      </c>
      <c r="I958" s="0" t="n">
        <v>19.5</v>
      </c>
      <c r="J958" s="4" t="n">
        <f aca="true">-LN(RAND())/B958</f>
        <v>11.5555586825109</v>
      </c>
      <c r="K958" s="4" t="n">
        <f aca="false">K957+J958</f>
        <v>11776.3951528508</v>
      </c>
      <c r="L958" s="4" t="n">
        <f aca="false">(1/$J$4)*(1+AB957)</f>
        <v>10</v>
      </c>
      <c r="M958" s="4" t="n">
        <f aca="false">L958+MAX(K958,Y$10:Y957)</f>
        <v>11797.4327087538</v>
      </c>
      <c r="N958" s="4" t="n">
        <f aca="false">K958</f>
        <v>11776.3951528508</v>
      </c>
      <c r="O958" s="4" t="n">
        <f aca="false">M958-K958</f>
        <v>21.0375559029453</v>
      </c>
      <c r="P958" s="4" t="n">
        <f aca="false">N958-K958</f>
        <v>0</v>
      </c>
      <c r="Q958" s="4" t="n">
        <f aca="false">A958-MATCH(K958,$M$9:M957,1)</f>
        <v>2</v>
      </c>
      <c r="R958" s="0" t="n">
        <f aca="false">-G958*(O958/3600)</f>
        <v>-0.0712923744329859</v>
      </c>
      <c r="S958" s="0" t="n">
        <f aca="false">-1*I958-(H958*(P958/3600))</f>
        <v>-19.5</v>
      </c>
      <c r="T958" s="0" t="n">
        <f aca="false">-H958*(O958/3600)</f>
        <v>-0.0699492292453695</v>
      </c>
      <c r="U958" s="0" t="n">
        <f aca="false">T958-S958</f>
        <v>19.4300507707546</v>
      </c>
      <c r="V958" s="0" t="n">
        <f aca="false">1/(1+EXP(U958))</f>
        <v>3.64448498726819E-009</v>
      </c>
      <c r="W958" s="0" t="n">
        <f aca="true">RAND()</f>
        <v>0.588705723181919</v>
      </c>
      <c r="X958" s="0" t="n">
        <f aca="false">IF(W958&lt;V958,1,0)</f>
        <v>0</v>
      </c>
      <c r="Y958" s="0" t="n">
        <f aca="false">(M958*(1-X958)+N958*X958)*D958+M958*E958</f>
        <v>11797.4327087538</v>
      </c>
      <c r="Z958" s="0" t="n">
        <f aca="false">((1-X958)*O958+X958*P958)*D958+E958*O958</f>
        <v>21.0375559029453</v>
      </c>
      <c r="AA958" s="0" t="n">
        <f aca="false">IF(D958*X958&gt;0,AA957,Q958)</f>
        <v>2</v>
      </c>
      <c r="AB958" s="0" t="n">
        <f aca="false">(X958*D958)</f>
        <v>0</v>
      </c>
      <c r="AC958" s="0" t="n">
        <f aca="false">SUM(AB$10:AB957)/K958</f>
        <v>8.49156288508136E-005</v>
      </c>
      <c r="AD958" s="0" t="n">
        <f aca="false">R958*E958+D958*(X958*S958+(1-X958)*T958)</f>
        <v>-0.0712923744329859</v>
      </c>
      <c r="AE958" s="0" t="n">
        <f aca="false">Z958</f>
        <v>21.0375559029453</v>
      </c>
      <c r="AF958" s="0" t="n">
        <f aca="false">E958*O958</f>
        <v>21.0375559029453</v>
      </c>
      <c r="AG958" s="0" t="n">
        <f aca="false">((1-X958)*O958+X958*P958)*D958</f>
        <v>0</v>
      </c>
      <c r="AH958" s="0" t="n">
        <f aca="false">D958*(LN(EXP(S958)+EXP(T958)))</f>
        <v>-0</v>
      </c>
      <c r="AJ958" s="0" t="n">
        <f aca="false">$J$5</f>
        <v>10</v>
      </c>
      <c r="AK958" s="4" t="n">
        <f aca="false">AJ958+MAX(K958,AK$10:AK957)</f>
        <v>11797.4327087538</v>
      </c>
      <c r="AL958" s="5" t="n">
        <f aca="false">AK958-K958</f>
        <v>21.0375559029453</v>
      </c>
      <c r="AM958" s="0" t="n">
        <f aca="false">-G958*AL958/3600</f>
        <v>-0.0712923744329859</v>
      </c>
      <c r="AN958" s="0" t="n">
        <f aca="false">-H958*AL958/3600</f>
        <v>-0.0699492292453695</v>
      </c>
      <c r="AO958" s="0" t="n">
        <f aca="false">AM958*E958+AN958*D958</f>
        <v>-0.0712923744329859</v>
      </c>
      <c r="AP958" s="0" t="n">
        <f aca="false">AL958*D958</f>
        <v>0</v>
      </c>
      <c r="AR958" s="0" t="n">
        <f aca="false">AN958*D958</f>
        <v>-0</v>
      </c>
      <c r="AS958" s="0" t="n">
        <f aca="false">AH958-AR958</f>
        <v>0</v>
      </c>
    </row>
    <row r="959" customFormat="false" ht="12" hidden="false" customHeight="false" outlineLevel="0" collapsed="false">
      <c r="A959" s="3" t="n">
        <f aca="false">A958+1</f>
        <v>950</v>
      </c>
      <c r="B959" s="3" t="n">
        <f aca="false">IF(A959&lt;$N$4/3,0.1,(IF(A959&gt;2*$N$4/3,0.05,0.12)))</f>
        <v>0.05</v>
      </c>
      <c r="C959" s="4" t="n">
        <f aca="true">RAND()</f>
        <v>0.863873501909205</v>
      </c>
      <c r="D959" s="0" t="n">
        <f aca="false">IF((C959&gt;$M$2),1,0)</f>
        <v>0</v>
      </c>
      <c r="E959" s="0" t="n">
        <f aca="false">1-D959</f>
        <v>1</v>
      </c>
      <c r="F959" s="0" t="n">
        <f aca="true">RAND()</f>
        <v>0.590175670195151</v>
      </c>
      <c r="G959" s="0" t="n">
        <f aca="false">7.75+F959*10</f>
        <v>13.6517567019515</v>
      </c>
      <c r="H959" s="0" t="n">
        <f aca="false">LOGINV(F959,2.64,1.139)</f>
        <v>18.1684842010056</v>
      </c>
      <c r="I959" s="0" t="n">
        <v>19.5</v>
      </c>
      <c r="J959" s="4" t="n">
        <f aca="true">-LN(RAND())/B959</f>
        <v>7.96030348170497</v>
      </c>
      <c r="K959" s="4" t="n">
        <f aca="false">K958+J959</f>
        <v>11784.3554563325</v>
      </c>
      <c r="L959" s="4" t="n">
        <f aca="false">(1/$J$4)*(1+AB958)</f>
        <v>10</v>
      </c>
      <c r="M959" s="4" t="n">
        <f aca="false">L959+MAX(K959,Y$10:Y958)</f>
        <v>11807.4327087538</v>
      </c>
      <c r="N959" s="4" t="n">
        <f aca="false">K959</f>
        <v>11784.3554563325</v>
      </c>
      <c r="O959" s="4" t="n">
        <f aca="false">M959-K959</f>
        <v>23.0772524212407</v>
      </c>
      <c r="P959" s="4" t="n">
        <f aca="false">N959-K959</f>
        <v>0</v>
      </c>
      <c r="Q959" s="4" t="n">
        <f aca="false">A959-MATCH(K959,$M$9:M958,1)</f>
        <v>2</v>
      </c>
      <c r="R959" s="0" t="n">
        <f aca="false">-G959*(O959/3600)</f>
        <v>-0.0875125098345276</v>
      </c>
      <c r="S959" s="0" t="n">
        <f aca="false">-1*I959-(H959*(P959/3600))</f>
        <v>-19.5</v>
      </c>
      <c r="T959" s="0" t="n">
        <f aca="false">-H959*(O959/3600)</f>
        <v>-0.116466304449425</v>
      </c>
      <c r="U959" s="0" t="n">
        <f aca="false">T959-S959</f>
        <v>19.3835336955506</v>
      </c>
      <c r="V959" s="0" t="n">
        <f aca="false">1/(1+EXP(U959))</f>
        <v>3.81802066411904E-009</v>
      </c>
      <c r="W959" s="0" t="n">
        <f aca="true">RAND()</f>
        <v>0.234515002365644</v>
      </c>
      <c r="X959" s="0" t="n">
        <f aca="false">IF(W959&lt;V959,1,0)</f>
        <v>0</v>
      </c>
      <c r="Y959" s="0" t="n">
        <f aca="false">(M959*(1-X959)+N959*X959)*D959+M959*E959</f>
        <v>11807.4327087538</v>
      </c>
      <c r="Z959" s="0" t="n">
        <f aca="false">((1-X959)*O959+X959*P959)*D959+E959*O959</f>
        <v>23.0772524212407</v>
      </c>
      <c r="AA959" s="0" t="n">
        <f aca="false">IF(D959*X959&gt;0,AA958,Q959)</f>
        <v>2</v>
      </c>
      <c r="AB959" s="0" t="n">
        <f aca="false">(X959*D959)</f>
        <v>0</v>
      </c>
      <c r="AC959" s="0" t="n">
        <f aca="false">SUM(AB$10:AB958)/K959</f>
        <v>8.48582685498199E-005</v>
      </c>
      <c r="AD959" s="0" t="n">
        <f aca="false">R959*E959+D959*(X959*S959+(1-X959)*T959)</f>
        <v>-0.0875125098345276</v>
      </c>
      <c r="AE959" s="0" t="n">
        <f aca="false">Z959</f>
        <v>23.0772524212407</v>
      </c>
      <c r="AF959" s="0" t="n">
        <f aca="false">E959*O959</f>
        <v>23.0772524212407</v>
      </c>
      <c r="AG959" s="0" t="n">
        <f aca="false">((1-X959)*O959+X959*P959)*D959</f>
        <v>0</v>
      </c>
      <c r="AH959" s="0" t="n">
        <f aca="false">D959*(LN(EXP(S959)+EXP(T959)))</f>
        <v>-0</v>
      </c>
      <c r="AJ959" s="0" t="n">
        <f aca="false">$J$5</f>
        <v>10</v>
      </c>
      <c r="AK959" s="4" t="n">
        <f aca="false">AJ959+MAX(K959,AK$10:AK958)</f>
        <v>11807.4327087538</v>
      </c>
      <c r="AL959" s="5" t="n">
        <f aca="false">AK959-K959</f>
        <v>23.0772524212407</v>
      </c>
      <c r="AM959" s="0" t="n">
        <f aca="false">-G959*AL959/3600</f>
        <v>-0.0875125098345276</v>
      </c>
      <c r="AN959" s="0" t="n">
        <f aca="false">-H959*AL959/3600</f>
        <v>-0.116466304449425</v>
      </c>
      <c r="AO959" s="0" t="n">
        <f aca="false">AM959*E959+AN959*D959</f>
        <v>-0.0875125098345276</v>
      </c>
      <c r="AP959" s="0" t="n">
        <f aca="false">AL959*D959</f>
        <v>0</v>
      </c>
      <c r="AR959" s="0" t="n">
        <f aca="false">AN959*D959</f>
        <v>-0</v>
      </c>
      <c r="AS959" s="0" t="n">
        <f aca="false">AH959-AR959</f>
        <v>0</v>
      </c>
    </row>
    <row r="960" customFormat="false" ht="12" hidden="false" customHeight="false" outlineLevel="0" collapsed="false">
      <c r="A960" s="3" t="n">
        <f aca="false">A959+1</f>
        <v>951</v>
      </c>
      <c r="B960" s="3" t="n">
        <f aca="false">IF(A960&lt;$N$4/3,0.1,(IF(A960&gt;2*$N$4/3,0.05,0.12)))</f>
        <v>0.05</v>
      </c>
      <c r="C960" s="4" t="n">
        <f aca="true">RAND()</f>
        <v>0.804394333101878</v>
      </c>
      <c r="D960" s="0" t="n">
        <f aca="false">IF((C960&gt;$M$2),1,0)</f>
        <v>0</v>
      </c>
      <c r="E960" s="0" t="n">
        <f aca="false">1-D960</f>
        <v>1</v>
      </c>
      <c r="F960" s="0" t="n">
        <f aca="true">RAND()</f>
        <v>0.810479810555541</v>
      </c>
      <c r="G960" s="0" t="n">
        <f aca="false">7.75+F960*10</f>
        <v>15.8547981055554</v>
      </c>
      <c r="H960" s="0" t="n">
        <f aca="false">LOGINV(F960,2.64,1.139)</f>
        <v>38.1657818852459</v>
      </c>
      <c r="I960" s="0" t="n">
        <v>19.5</v>
      </c>
      <c r="J960" s="4" t="n">
        <f aca="true">-LN(RAND())/B960</f>
        <v>21.1799708994131</v>
      </c>
      <c r="K960" s="4" t="n">
        <f aca="false">K959+J960</f>
        <v>11805.5354272319</v>
      </c>
      <c r="L960" s="4" t="n">
        <f aca="false">(1/$J$4)*(1+AB959)</f>
        <v>10</v>
      </c>
      <c r="M960" s="4" t="n">
        <f aca="false">L960+MAX(K960,Y$10:Y959)</f>
        <v>11817.4327087538</v>
      </c>
      <c r="N960" s="4" t="n">
        <f aca="false">K960</f>
        <v>11805.5354272319</v>
      </c>
      <c r="O960" s="4" t="n">
        <f aca="false">M960-K960</f>
        <v>11.8972815218276</v>
      </c>
      <c r="P960" s="4" t="n">
        <f aca="false">N960-K960</f>
        <v>0</v>
      </c>
      <c r="Q960" s="4" t="n">
        <f aca="false">A960-MATCH(K960,$M$9:M959,1)</f>
        <v>1</v>
      </c>
      <c r="R960" s="0" t="n">
        <f aca="false">-G960*(O960/3600)</f>
        <v>-0.0523969434815366</v>
      </c>
      <c r="S960" s="0" t="n">
        <f aca="false">-1*I960-(H960*(P960/3600))</f>
        <v>-19.5</v>
      </c>
      <c r="T960" s="0" t="n">
        <f aca="false">-H960*(O960/3600)</f>
        <v>-0.126130292108177</v>
      </c>
      <c r="U960" s="0" t="n">
        <f aca="false">T960-S960</f>
        <v>19.3738697078918</v>
      </c>
      <c r="V960" s="0" t="n">
        <f aca="false">1/(1+EXP(U960))</f>
        <v>3.8550968318162E-009</v>
      </c>
      <c r="W960" s="0" t="n">
        <f aca="true">RAND()</f>
        <v>0.0531065420300904</v>
      </c>
      <c r="X960" s="0" t="n">
        <f aca="false">IF(W960&lt;V960,1,0)</f>
        <v>0</v>
      </c>
      <c r="Y960" s="0" t="n">
        <f aca="false">(M960*(1-X960)+N960*X960)*D960+M960*E960</f>
        <v>11817.4327087538</v>
      </c>
      <c r="Z960" s="0" t="n">
        <f aca="false">((1-X960)*O960+X960*P960)*D960+E960*O960</f>
        <v>11.8972815218276</v>
      </c>
      <c r="AA960" s="0" t="n">
        <f aca="false">IF(D960*X960&gt;0,AA959,Q960)</f>
        <v>1</v>
      </c>
      <c r="AB960" s="0" t="n">
        <f aca="false">(X960*D960)</f>
        <v>0</v>
      </c>
      <c r="AC960" s="0" t="n">
        <f aca="false">SUM(AB$10:AB959)/K960</f>
        <v>8.47060267756507E-005</v>
      </c>
      <c r="AD960" s="0" t="n">
        <f aca="false">R960*E960+D960*(X960*S960+(1-X960)*T960)</f>
        <v>-0.0523969434815366</v>
      </c>
      <c r="AE960" s="0" t="n">
        <f aca="false">Z960</f>
        <v>11.8972815218276</v>
      </c>
      <c r="AF960" s="0" t="n">
        <f aca="false">E960*O960</f>
        <v>11.8972815218276</v>
      </c>
      <c r="AG960" s="0" t="n">
        <f aca="false">((1-X960)*O960+X960*P960)*D960</f>
        <v>0</v>
      </c>
      <c r="AH960" s="0" t="n">
        <f aca="false">D960*(LN(EXP(S960)+EXP(T960)))</f>
        <v>-0</v>
      </c>
      <c r="AJ960" s="0" t="n">
        <f aca="false">$J$5</f>
        <v>10</v>
      </c>
      <c r="AK960" s="4" t="n">
        <f aca="false">AJ960+MAX(K960,AK$10:AK959)</f>
        <v>11817.4327087538</v>
      </c>
      <c r="AL960" s="5" t="n">
        <f aca="false">AK960-K960</f>
        <v>11.8972815218276</v>
      </c>
      <c r="AM960" s="0" t="n">
        <f aca="false">-G960*AL960/3600</f>
        <v>-0.0523969434815366</v>
      </c>
      <c r="AN960" s="0" t="n">
        <f aca="false">-H960*AL960/3600</f>
        <v>-0.126130292108177</v>
      </c>
      <c r="AO960" s="0" t="n">
        <f aca="false">AM960*E960+AN960*D960</f>
        <v>-0.0523969434815366</v>
      </c>
      <c r="AP960" s="0" t="n">
        <f aca="false">AL960*D960</f>
        <v>0</v>
      </c>
      <c r="AR960" s="0" t="n">
        <f aca="false">AN960*D960</f>
        <v>-0</v>
      </c>
      <c r="AS960" s="0" t="n">
        <f aca="false">AH960-AR960</f>
        <v>0</v>
      </c>
    </row>
    <row r="961" customFormat="false" ht="12" hidden="false" customHeight="false" outlineLevel="0" collapsed="false">
      <c r="A961" s="3" t="n">
        <f aca="false">A960+1</f>
        <v>952</v>
      </c>
      <c r="B961" s="3" t="n">
        <f aca="false">IF(A961&lt;$N$4/3,0.1,(IF(A961&gt;2*$N$4/3,0.05,0.12)))</f>
        <v>0.05</v>
      </c>
      <c r="C961" s="4" t="n">
        <f aca="true">RAND()</f>
        <v>0.68770101721231</v>
      </c>
      <c r="D961" s="0" t="n">
        <f aca="false">IF((C961&gt;$M$2),1,0)</f>
        <v>0</v>
      </c>
      <c r="E961" s="0" t="n">
        <f aca="false">1-D961</f>
        <v>1</v>
      </c>
      <c r="F961" s="0" t="n">
        <f aca="true">RAND()</f>
        <v>0.403208238271348</v>
      </c>
      <c r="G961" s="0" t="n">
        <f aca="false">7.75+F961*10</f>
        <v>11.7820823827135</v>
      </c>
      <c r="H961" s="0" t="n">
        <f aca="false">LOGINV(F961,2.64,1.139)</f>
        <v>10.6003415827106</v>
      </c>
      <c r="I961" s="0" t="n">
        <v>19.5</v>
      </c>
      <c r="J961" s="4" t="n">
        <f aca="true">-LN(RAND())/B961</f>
        <v>0.303968076103495</v>
      </c>
      <c r="K961" s="4" t="n">
        <f aca="false">K960+J961</f>
        <v>11805.839395308</v>
      </c>
      <c r="L961" s="4" t="n">
        <f aca="false">(1/$J$4)*(1+AB960)</f>
        <v>10</v>
      </c>
      <c r="M961" s="4" t="n">
        <f aca="false">L961+MAX(K961,Y$10:Y960)</f>
        <v>11827.4327087538</v>
      </c>
      <c r="N961" s="4" t="n">
        <f aca="false">K961</f>
        <v>11805.839395308</v>
      </c>
      <c r="O961" s="4" t="n">
        <f aca="false">M961-K961</f>
        <v>21.5933134457246</v>
      </c>
      <c r="P961" s="4" t="n">
        <f aca="false">N961-K961</f>
        <v>0</v>
      </c>
      <c r="Q961" s="4" t="n">
        <f aca="false">A961-MATCH(K961,$M$9:M960,1)</f>
        <v>2</v>
      </c>
      <c r="R961" s="0" t="n">
        <f aca="false">-G961*(O961/3600)</f>
        <v>-0.0706706105370226</v>
      </c>
      <c r="S961" s="0" t="n">
        <f aca="false">-1*I961-(H961*(P961/3600))</f>
        <v>-19.5</v>
      </c>
      <c r="T961" s="0" t="n">
        <f aca="false">-H961*(O961/3600)</f>
        <v>-0.0635823606742274</v>
      </c>
      <c r="U961" s="0" t="n">
        <f aca="false">T961-S961</f>
        <v>19.4364176393258</v>
      </c>
      <c r="V961" s="0" t="n">
        <f aca="false">1/(1+EXP(U961))</f>
        <v>3.6213547421799E-009</v>
      </c>
      <c r="W961" s="0" t="n">
        <f aca="true">RAND()</f>
        <v>0.499604215035606</v>
      </c>
      <c r="X961" s="0" t="n">
        <f aca="false">IF(W961&lt;V961,1,0)</f>
        <v>0</v>
      </c>
      <c r="Y961" s="0" t="n">
        <f aca="false">(M961*(1-X961)+N961*X961)*D961+M961*E961</f>
        <v>11827.4327087538</v>
      </c>
      <c r="Z961" s="0" t="n">
        <f aca="false">((1-X961)*O961+X961*P961)*D961+E961*O961</f>
        <v>21.5933134457246</v>
      </c>
      <c r="AA961" s="0" t="n">
        <f aca="false">IF(D961*X961&gt;0,AA960,Q961)</f>
        <v>2</v>
      </c>
      <c r="AB961" s="0" t="n">
        <f aca="false">(X961*D961)</f>
        <v>0</v>
      </c>
      <c r="AC961" s="0" t="n">
        <f aca="false">SUM(AB$10:AB960)/K961</f>
        <v>8.47038458271275E-005</v>
      </c>
      <c r="AD961" s="0" t="n">
        <f aca="false">R961*E961+D961*(X961*S961+(1-X961)*T961)</f>
        <v>-0.0706706105370226</v>
      </c>
      <c r="AE961" s="0" t="n">
        <f aca="false">Z961</f>
        <v>21.5933134457246</v>
      </c>
      <c r="AF961" s="0" t="n">
        <f aca="false">E961*O961</f>
        <v>21.5933134457246</v>
      </c>
      <c r="AG961" s="0" t="n">
        <f aca="false">((1-X961)*O961+X961*P961)*D961</f>
        <v>0</v>
      </c>
      <c r="AH961" s="0" t="n">
        <f aca="false">D961*(LN(EXP(S961)+EXP(T961)))</f>
        <v>-0</v>
      </c>
      <c r="AJ961" s="0" t="n">
        <f aca="false">$J$5</f>
        <v>10</v>
      </c>
      <c r="AK961" s="4" t="n">
        <f aca="false">AJ961+MAX(K961,AK$10:AK960)</f>
        <v>11827.4327087538</v>
      </c>
      <c r="AL961" s="5" t="n">
        <f aca="false">AK961-K961</f>
        <v>21.5933134457246</v>
      </c>
      <c r="AM961" s="0" t="n">
        <f aca="false">-G961*AL961/3600</f>
        <v>-0.0706706105370226</v>
      </c>
      <c r="AN961" s="0" t="n">
        <f aca="false">-H961*AL961/3600</f>
        <v>-0.0635823606742274</v>
      </c>
      <c r="AO961" s="0" t="n">
        <f aca="false">AM961*E961+AN961*D961</f>
        <v>-0.0706706105370226</v>
      </c>
      <c r="AP961" s="0" t="n">
        <f aca="false">AL961*D961</f>
        <v>0</v>
      </c>
      <c r="AR961" s="0" t="n">
        <f aca="false">AN961*D961</f>
        <v>-0</v>
      </c>
      <c r="AS961" s="0" t="n">
        <f aca="false">AH961-AR961</f>
        <v>0</v>
      </c>
    </row>
    <row r="962" customFormat="false" ht="12" hidden="false" customHeight="false" outlineLevel="0" collapsed="false">
      <c r="A962" s="3" t="n">
        <f aca="false">A961+1</f>
        <v>953</v>
      </c>
      <c r="B962" s="3" t="n">
        <f aca="false">IF(A962&lt;$N$4/3,0.1,(IF(A962&gt;2*$N$4/3,0.05,0.12)))</f>
        <v>0.05</v>
      </c>
      <c r="C962" s="4" t="n">
        <f aca="true">RAND()</f>
        <v>0.954569421122901</v>
      </c>
      <c r="D962" s="0" t="n">
        <f aca="false">IF((C962&gt;$M$2),1,0)</f>
        <v>1</v>
      </c>
      <c r="E962" s="0" t="n">
        <f aca="false">1-D962</f>
        <v>0</v>
      </c>
      <c r="F962" s="0" t="n">
        <f aca="true">RAND()</f>
        <v>0.527854875210094</v>
      </c>
      <c r="G962" s="0" t="n">
        <f aca="false">7.75+F962*10</f>
        <v>13.0285487521009</v>
      </c>
      <c r="H962" s="0" t="n">
        <f aca="false">LOGINV(F962,2.64,1.139)</f>
        <v>15.1741265653953</v>
      </c>
      <c r="I962" s="0" t="n">
        <v>19.5</v>
      </c>
      <c r="J962" s="4" t="n">
        <f aca="true">-LN(RAND())/B962</f>
        <v>0.928715527605835</v>
      </c>
      <c r="K962" s="4" t="n">
        <f aca="false">K961+J962</f>
        <v>11806.7681108356</v>
      </c>
      <c r="L962" s="4" t="n">
        <f aca="false">(1/$J$4)*(1+AB961)</f>
        <v>10</v>
      </c>
      <c r="M962" s="4" t="n">
        <f aca="false">L962+MAX(K962,Y$10:Y961)</f>
        <v>11837.4327087538</v>
      </c>
      <c r="N962" s="4" t="n">
        <f aca="false">K962</f>
        <v>11806.7681108356</v>
      </c>
      <c r="O962" s="4" t="n">
        <f aca="false">M962-K962</f>
        <v>30.6645979181194</v>
      </c>
      <c r="P962" s="4" t="n">
        <f aca="false">N962-K962</f>
        <v>0</v>
      </c>
      <c r="Q962" s="4" t="n">
        <f aca="false">A962-MATCH(K962,$M$9:M961,1)</f>
        <v>3</v>
      </c>
      <c r="R962" s="0" t="n">
        <f aca="false">-G962*(O962/3600)</f>
        <v>-0.11097644692772</v>
      </c>
      <c r="S962" s="0" t="n">
        <f aca="false">-1*I962-(H962*(P962/3600))</f>
        <v>-19.5</v>
      </c>
      <c r="T962" s="0" t="n">
        <f aca="false">-H962*(O962/3600)</f>
        <v>-0.129252358301806</v>
      </c>
      <c r="U962" s="0" t="n">
        <f aca="false">T962-S962</f>
        <v>19.3707476416982</v>
      </c>
      <c r="V962" s="0" t="n">
        <f aca="false">1/(1+EXP(U962))</f>
        <v>3.867151507217E-009</v>
      </c>
      <c r="W962" s="0" t="n">
        <f aca="true">RAND()</f>
        <v>0.0288253894256828</v>
      </c>
      <c r="X962" s="0" t="n">
        <f aca="false">IF(W962&lt;V962,1,0)</f>
        <v>0</v>
      </c>
      <c r="Y962" s="0" t="n">
        <f aca="false">(M962*(1-X962)+N962*X962)*D962+M962*E962</f>
        <v>11837.4327087538</v>
      </c>
      <c r="Z962" s="0" t="n">
        <f aca="false">((1-X962)*O962+X962*P962)*D962+E962*O962</f>
        <v>30.6645979181194</v>
      </c>
      <c r="AA962" s="0" t="n">
        <f aca="false">IF(D962*X962&gt;0,AA961,Q962)</f>
        <v>3</v>
      </c>
      <c r="AB962" s="0" t="n">
        <f aca="false">(X962*D962)</f>
        <v>0</v>
      </c>
      <c r="AC962" s="0" t="n">
        <f aca="false">SUM(AB$10:AB961)/K962</f>
        <v>8.46971830574238E-005</v>
      </c>
      <c r="AD962" s="0" t="n">
        <f aca="false">R962*E962+D962*(X962*S962+(1-X962)*T962)</f>
        <v>-0.129252358301806</v>
      </c>
      <c r="AE962" s="0" t="n">
        <f aca="false">Z962</f>
        <v>30.6645979181194</v>
      </c>
      <c r="AF962" s="0" t="n">
        <f aca="false">E962*O962</f>
        <v>0</v>
      </c>
      <c r="AG962" s="0" t="n">
        <f aca="false">((1-X962)*O962+X962*P962)*D962</f>
        <v>30.6645979181194</v>
      </c>
      <c r="AH962" s="0" t="n">
        <f aca="false">D962*(LN(EXP(S962)+EXP(T962)))</f>
        <v>-0.129252354434655</v>
      </c>
      <c r="AJ962" s="0" t="n">
        <f aca="false">$J$5</f>
        <v>10</v>
      </c>
      <c r="AK962" s="4" t="n">
        <f aca="false">AJ962+MAX(K962,AK$10:AK961)</f>
        <v>11837.4327087538</v>
      </c>
      <c r="AL962" s="5" t="n">
        <f aca="false">AK962-K962</f>
        <v>30.6645979181194</v>
      </c>
      <c r="AM962" s="0" t="n">
        <f aca="false">-G962*AL962/3600</f>
        <v>-0.11097644692772</v>
      </c>
      <c r="AN962" s="0" t="n">
        <f aca="false">-H962*AL962/3600</f>
        <v>-0.129252358301806</v>
      </c>
      <c r="AO962" s="0" t="n">
        <f aca="false">AM962*E962+AN962*D962</f>
        <v>-0.129252358301806</v>
      </c>
      <c r="AP962" s="0" t="n">
        <f aca="false">AL962*D962</f>
        <v>30.6645979181194</v>
      </c>
      <c r="AR962" s="0" t="n">
        <f aca="false">AN962*D962</f>
        <v>-0.129252358301806</v>
      </c>
      <c r="AS962" s="0" t="n">
        <f aca="false">AH962-AR962</f>
        <v>3.8671515434352E-009</v>
      </c>
    </row>
    <row r="963" customFormat="false" ht="12" hidden="false" customHeight="false" outlineLevel="0" collapsed="false">
      <c r="A963" s="3" t="n">
        <f aca="false">A962+1</f>
        <v>954</v>
      </c>
      <c r="B963" s="3" t="n">
        <f aca="false">IF(A963&lt;$N$4/3,0.1,(IF(A963&gt;2*$N$4/3,0.05,0.12)))</f>
        <v>0.05</v>
      </c>
      <c r="C963" s="4" t="n">
        <f aca="true">RAND()</f>
        <v>0.93258218098167</v>
      </c>
      <c r="D963" s="0" t="n">
        <f aca="false">IF((C963&gt;$M$2),1,0)</f>
        <v>1</v>
      </c>
      <c r="E963" s="0" t="n">
        <f aca="false">1-D963</f>
        <v>0</v>
      </c>
      <c r="F963" s="0" t="n">
        <f aca="true">RAND()</f>
        <v>0.934921939521241</v>
      </c>
      <c r="G963" s="0" t="n">
        <f aca="false">7.75+F963*10</f>
        <v>17.0992193952124</v>
      </c>
      <c r="H963" s="0" t="n">
        <f aca="false">LOGINV(F963,2.64,1.139)</f>
        <v>78.5598813692684</v>
      </c>
      <c r="I963" s="0" t="n">
        <v>19.5</v>
      </c>
      <c r="J963" s="4" t="n">
        <f aca="true">-LN(RAND())/B963</f>
        <v>28.3642554455821</v>
      </c>
      <c r="K963" s="4" t="n">
        <f aca="false">K962+J963</f>
        <v>11835.1323662812</v>
      </c>
      <c r="L963" s="4" t="n">
        <f aca="false">(1/$J$4)*(1+AB962)</f>
        <v>10</v>
      </c>
      <c r="M963" s="4" t="n">
        <f aca="false">L963+MAX(K963,Y$10:Y962)</f>
        <v>11847.4327087538</v>
      </c>
      <c r="N963" s="4" t="n">
        <f aca="false">K963</f>
        <v>11835.1323662812</v>
      </c>
      <c r="O963" s="4" t="n">
        <f aca="false">M963-K963</f>
        <v>12.3003424725375</v>
      </c>
      <c r="P963" s="4" t="n">
        <f aca="false">N963-K963</f>
        <v>0</v>
      </c>
      <c r="Q963" s="4" t="n">
        <f aca="false">A963-MATCH(K963,$M$9:M962,1)</f>
        <v>1</v>
      </c>
      <c r="R963" s="0" t="n">
        <f aca="false">-G963*(O963/3600)</f>
        <v>-0.0584239596039357</v>
      </c>
      <c r="S963" s="0" t="n">
        <f aca="false">-1*I963-(H963*(P963/3600))</f>
        <v>-19.5</v>
      </c>
      <c r="T963" s="0" t="n">
        <f aca="false">-H963*(O963/3600)</f>
        <v>-0.268420401512201</v>
      </c>
      <c r="U963" s="0" t="n">
        <f aca="false">T963-S963</f>
        <v>19.2315795984878</v>
      </c>
      <c r="V963" s="0" t="n">
        <f aca="false">1/(1+EXP(U963))</f>
        <v>4.44458381212425E-009</v>
      </c>
      <c r="W963" s="0" t="n">
        <f aca="true">RAND()</f>
        <v>0.135754498815579</v>
      </c>
      <c r="X963" s="0" t="n">
        <f aca="false">IF(W963&lt;V963,1,0)</f>
        <v>0</v>
      </c>
      <c r="Y963" s="0" t="n">
        <f aca="false">(M963*(1-X963)+N963*X963)*D963+M963*E963</f>
        <v>11847.4327087538</v>
      </c>
      <c r="Z963" s="0" t="n">
        <f aca="false">((1-X963)*O963+X963*P963)*D963+E963*O963</f>
        <v>12.3003424725375</v>
      </c>
      <c r="AA963" s="0" t="n">
        <f aca="false">IF(D963*X963&gt;0,AA962,Q963)</f>
        <v>1</v>
      </c>
      <c r="AB963" s="0" t="n">
        <f aca="false">(X963*D963)</f>
        <v>0</v>
      </c>
      <c r="AC963" s="0" t="n">
        <f aca="false">SUM(AB$10:AB962)/K963</f>
        <v>8.44941965202723E-005</v>
      </c>
      <c r="AD963" s="0" t="n">
        <f aca="false">R963*E963+D963*(X963*S963+(1-X963)*T963)</f>
        <v>-0.268420401512201</v>
      </c>
      <c r="AE963" s="0" t="n">
        <f aca="false">Z963</f>
        <v>12.3003424725375</v>
      </c>
      <c r="AF963" s="0" t="n">
        <f aca="false">E963*O963</f>
        <v>0</v>
      </c>
      <c r="AG963" s="0" t="n">
        <f aca="false">((1-X963)*O963+X963*P963)*D963</f>
        <v>12.3003424725375</v>
      </c>
      <c r="AH963" s="0" t="n">
        <f aca="false">D963*(LN(EXP(S963)+EXP(T963)))</f>
        <v>-0.268420397067617</v>
      </c>
      <c r="AJ963" s="0" t="n">
        <f aca="false">$J$5</f>
        <v>10</v>
      </c>
      <c r="AK963" s="4" t="n">
        <f aca="false">AJ963+MAX(K963,AK$10:AK962)</f>
        <v>11847.4327087538</v>
      </c>
      <c r="AL963" s="5" t="n">
        <f aca="false">AK963-K963</f>
        <v>12.3003424725375</v>
      </c>
      <c r="AM963" s="0" t="n">
        <f aca="false">-G963*AL963/3600</f>
        <v>-0.0584239596039357</v>
      </c>
      <c r="AN963" s="0" t="n">
        <f aca="false">-H963*AL963/3600</f>
        <v>-0.268420401512201</v>
      </c>
      <c r="AO963" s="0" t="n">
        <f aca="false">AM963*E963+AN963*D963</f>
        <v>-0.268420401512201</v>
      </c>
      <c r="AP963" s="0" t="n">
        <f aca="false">AL963*D963</f>
        <v>12.3003424725375</v>
      </c>
      <c r="AR963" s="0" t="n">
        <f aca="false">AN963*D963</f>
        <v>-0.268420401512201</v>
      </c>
      <c r="AS963" s="0" t="n">
        <f aca="false">AH963-AR963</f>
        <v>4.44458375659096E-009</v>
      </c>
    </row>
    <row r="964" customFormat="false" ht="12" hidden="false" customHeight="false" outlineLevel="0" collapsed="false">
      <c r="A964" s="3" t="n">
        <f aca="false">A963+1</f>
        <v>955</v>
      </c>
      <c r="B964" s="3" t="n">
        <f aca="false">IF(A964&lt;$N$4/3,0.1,(IF(A964&gt;2*$N$4/3,0.05,0.12)))</f>
        <v>0.05</v>
      </c>
      <c r="C964" s="4" t="n">
        <f aca="true">RAND()</f>
        <v>0.0764602195173435</v>
      </c>
      <c r="D964" s="0" t="n">
        <f aca="false">IF((C964&gt;$M$2),1,0)</f>
        <v>0</v>
      </c>
      <c r="E964" s="0" t="n">
        <f aca="false">1-D964</f>
        <v>1</v>
      </c>
      <c r="F964" s="0" t="n">
        <f aca="true">RAND()</f>
        <v>0.223782700227285</v>
      </c>
      <c r="G964" s="0" t="n">
        <f aca="false">7.75+F964*10</f>
        <v>9.98782700227284</v>
      </c>
      <c r="H964" s="0" t="n">
        <f aca="false">LOGINV(F964,2.64,1.139)</f>
        <v>5.89999875971799</v>
      </c>
      <c r="I964" s="0" t="n">
        <v>19.5</v>
      </c>
      <c r="J964" s="4" t="n">
        <f aca="true">-LN(RAND())/B964</f>
        <v>8.11037270669373</v>
      </c>
      <c r="K964" s="4" t="n">
        <f aca="false">K963+J964</f>
        <v>11843.2427389879</v>
      </c>
      <c r="L964" s="4" t="n">
        <f aca="false">(1/$J$4)*(1+AB963)</f>
        <v>10</v>
      </c>
      <c r="M964" s="4" t="n">
        <f aca="false">L964+MAX(K964,Y$10:Y963)</f>
        <v>11857.4327087538</v>
      </c>
      <c r="N964" s="4" t="n">
        <f aca="false">K964</f>
        <v>11843.2427389879</v>
      </c>
      <c r="O964" s="4" t="n">
        <f aca="false">M964-K964</f>
        <v>14.1899697658446</v>
      </c>
      <c r="P964" s="4" t="n">
        <f aca="false">N964-K964</f>
        <v>0</v>
      </c>
      <c r="Q964" s="4" t="n">
        <f aca="false">A964-MATCH(K964,$M$9:M963,1)</f>
        <v>1</v>
      </c>
      <c r="R964" s="0" t="n">
        <f aca="false">-G964*(O964/3600)</f>
        <v>-0.0393686008857605</v>
      </c>
      <c r="S964" s="0" t="n">
        <f aca="false">-1*I964-(H964*(P964/3600))</f>
        <v>-19.5</v>
      </c>
      <c r="T964" s="0" t="n">
        <f aca="false">-H964*(O964/3600)</f>
        <v>-0.0232557788941441</v>
      </c>
      <c r="U964" s="0" t="n">
        <f aca="false">T964-S964</f>
        <v>19.4767442211059</v>
      </c>
      <c r="V964" s="0" t="n">
        <f aca="false">1/(1+EXP(U964))</f>
        <v>3.47822328235126E-009</v>
      </c>
      <c r="W964" s="0" t="n">
        <f aca="true">RAND()</f>
        <v>0.789753652113616</v>
      </c>
      <c r="X964" s="0" t="n">
        <f aca="false">IF(W964&lt;V964,1,0)</f>
        <v>0</v>
      </c>
      <c r="Y964" s="0" t="n">
        <f aca="false">(M964*(1-X964)+N964*X964)*D964+M964*E964</f>
        <v>11857.4327087538</v>
      </c>
      <c r="Z964" s="0" t="n">
        <f aca="false">((1-X964)*O964+X964*P964)*D964+E964*O964</f>
        <v>14.1899697658446</v>
      </c>
      <c r="AA964" s="0" t="n">
        <f aca="false">IF(D964*X964&gt;0,AA963,Q964)</f>
        <v>1</v>
      </c>
      <c r="AB964" s="0" t="n">
        <f aca="false">(X964*D964)</f>
        <v>0</v>
      </c>
      <c r="AC964" s="0" t="n">
        <f aca="false">SUM(AB$10:AB963)/K964</f>
        <v>8.44363340378057E-005</v>
      </c>
      <c r="AD964" s="0" t="n">
        <f aca="false">R964*E964+D964*(X964*S964+(1-X964)*T964)</f>
        <v>-0.0393686008857605</v>
      </c>
      <c r="AE964" s="0" t="n">
        <f aca="false">Z964</f>
        <v>14.1899697658446</v>
      </c>
      <c r="AF964" s="0" t="n">
        <f aca="false">E964*O964</f>
        <v>14.1899697658446</v>
      </c>
      <c r="AG964" s="0" t="n">
        <f aca="false">((1-X964)*O964+X964*P964)*D964</f>
        <v>0</v>
      </c>
      <c r="AH964" s="0" t="n">
        <f aca="false">D964*(LN(EXP(S964)+EXP(T964)))</f>
        <v>-0</v>
      </c>
      <c r="AJ964" s="0" t="n">
        <f aca="false">$J$5</f>
        <v>10</v>
      </c>
      <c r="AK964" s="4" t="n">
        <f aca="false">AJ964+MAX(K964,AK$10:AK963)</f>
        <v>11857.4327087538</v>
      </c>
      <c r="AL964" s="5" t="n">
        <f aca="false">AK964-K964</f>
        <v>14.1899697658446</v>
      </c>
      <c r="AM964" s="0" t="n">
        <f aca="false">-G964*AL964/3600</f>
        <v>-0.0393686008857605</v>
      </c>
      <c r="AN964" s="0" t="n">
        <f aca="false">-H964*AL964/3600</f>
        <v>-0.0232557788941441</v>
      </c>
      <c r="AO964" s="0" t="n">
        <f aca="false">AM964*E964+AN964*D964</f>
        <v>-0.0393686008857605</v>
      </c>
      <c r="AP964" s="0" t="n">
        <f aca="false">AL964*D964</f>
        <v>0</v>
      </c>
      <c r="AR964" s="0" t="n">
        <f aca="false">AN964*D964</f>
        <v>-0</v>
      </c>
      <c r="AS964" s="0" t="n">
        <f aca="false">AH964-AR964</f>
        <v>0</v>
      </c>
    </row>
    <row r="965" customFormat="false" ht="12" hidden="false" customHeight="false" outlineLevel="0" collapsed="false">
      <c r="A965" s="3" t="n">
        <f aca="false">A964+1</f>
        <v>956</v>
      </c>
      <c r="B965" s="3" t="n">
        <f aca="false">IF(A965&lt;$N$4/3,0.1,(IF(A965&gt;2*$N$4/3,0.05,0.12)))</f>
        <v>0.05</v>
      </c>
      <c r="C965" s="4" t="n">
        <f aca="true">RAND()</f>
        <v>0.751552253976653</v>
      </c>
      <c r="D965" s="0" t="n">
        <f aca="false">IF((C965&gt;$M$2),1,0)</f>
        <v>0</v>
      </c>
      <c r="E965" s="0" t="n">
        <f aca="false">1-D965</f>
        <v>1</v>
      </c>
      <c r="F965" s="0" t="n">
        <f aca="true">RAND()</f>
        <v>0.668655583378489</v>
      </c>
      <c r="G965" s="0" t="n">
        <f aca="false">7.75+F965*10</f>
        <v>14.4365558337849</v>
      </c>
      <c r="H965" s="0" t="n">
        <f aca="false">LOGINV(F965,2.64,1.139)</f>
        <v>23.0308860698189</v>
      </c>
      <c r="I965" s="0" t="n">
        <v>19.5</v>
      </c>
      <c r="J965" s="4" t="n">
        <f aca="true">-LN(RAND())/B965</f>
        <v>14.0619474795435</v>
      </c>
      <c r="K965" s="4" t="n">
        <f aca="false">K964+J965</f>
        <v>11857.3046864675</v>
      </c>
      <c r="L965" s="4" t="n">
        <f aca="false">(1/$J$4)*(1+AB964)</f>
        <v>10</v>
      </c>
      <c r="M965" s="4" t="n">
        <f aca="false">L965+MAX(K965,Y$10:Y964)</f>
        <v>11867.4327087538</v>
      </c>
      <c r="N965" s="4" t="n">
        <f aca="false">K965</f>
        <v>11857.3046864675</v>
      </c>
      <c r="O965" s="4" t="n">
        <f aca="false">M965-K965</f>
        <v>10.1280222863006</v>
      </c>
      <c r="P965" s="4" t="n">
        <f aca="false">N965-K965</f>
        <v>0</v>
      </c>
      <c r="Q965" s="4" t="n">
        <f aca="false">A965-MATCH(K965,$M$9:M964,1)</f>
        <v>1</v>
      </c>
      <c r="R965" s="0" t="n">
        <f aca="false">-G965*(O965/3600)</f>
        <v>-0.0406149331172213</v>
      </c>
      <c r="S965" s="0" t="n">
        <f aca="false">-1*I965-(H965*(P965/3600))</f>
        <v>-19.5</v>
      </c>
      <c r="T965" s="0" t="n">
        <f aca="false">-H965*(O965/3600)</f>
        <v>-0.0647937020523266</v>
      </c>
      <c r="U965" s="0" t="n">
        <f aca="false">T965-S965</f>
        <v>19.4352062979477</v>
      </c>
      <c r="V965" s="0" t="n">
        <f aca="false">1/(1+EXP(U965))</f>
        <v>3.62574409697479E-009</v>
      </c>
      <c r="W965" s="0" t="n">
        <f aca="true">RAND()</f>
        <v>0.942823068315881</v>
      </c>
      <c r="X965" s="0" t="n">
        <f aca="false">IF(W965&lt;V965,1,0)</f>
        <v>0</v>
      </c>
      <c r="Y965" s="0" t="n">
        <f aca="false">(M965*(1-X965)+N965*X965)*D965+M965*E965</f>
        <v>11867.4327087538</v>
      </c>
      <c r="Z965" s="0" t="n">
        <f aca="false">((1-X965)*O965+X965*P965)*D965+E965*O965</f>
        <v>10.1280222863006</v>
      </c>
      <c r="AA965" s="0" t="n">
        <f aca="false">IF(D965*X965&gt;0,AA964,Q965)</f>
        <v>1</v>
      </c>
      <c r="AB965" s="0" t="n">
        <f aca="false">(X965*D965)</f>
        <v>0</v>
      </c>
      <c r="AC965" s="0" t="n">
        <f aca="false">SUM(AB$10:AB964)/K965</f>
        <v>8.43361983555406E-005</v>
      </c>
      <c r="AD965" s="0" t="n">
        <f aca="false">R965*E965+D965*(X965*S965+(1-X965)*T965)</f>
        <v>-0.0406149331172213</v>
      </c>
      <c r="AE965" s="0" t="n">
        <f aca="false">Z965</f>
        <v>10.1280222863006</v>
      </c>
      <c r="AF965" s="0" t="n">
        <f aca="false">E965*O965</f>
        <v>10.1280222863006</v>
      </c>
      <c r="AG965" s="0" t="n">
        <f aca="false">((1-X965)*O965+X965*P965)*D965</f>
        <v>0</v>
      </c>
      <c r="AH965" s="0" t="n">
        <f aca="false">D965*(LN(EXP(S965)+EXP(T965)))</f>
        <v>-0</v>
      </c>
      <c r="AJ965" s="0" t="n">
        <f aca="false">$J$5</f>
        <v>10</v>
      </c>
      <c r="AK965" s="4" t="n">
        <f aca="false">AJ965+MAX(K965,AK$10:AK964)</f>
        <v>11867.4327087538</v>
      </c>
      <c r="AL965" s="5" t="n">
        <f aca="false">AK965-K965</f>
        <v>10.1280222863006</v>
      </c>
      <c r="AM965" s="0" t="n">
        <f aca="false">-G965*AL965/3600</f>
        <v>-0.0406149331172213</v>
      </c>
      <c r="AN965" s="0" t="n">
        <f aca="false">-H965*AL965/3600</f>
        <v>-0.0647937020523266</v>
      </c>
      <c r="AO965" s="0" t="n">
        <f aca="false">AM965*E965+AN965*D965</f>
        <v>-0.0406149331172213</v>
      </c>
      <c r="AP965" s="0" t="n">
        <f aca="false">AL965*D965</f>
        <v>0</v>
      </c>
      <c r="AR965" s="0" t="n">
        <f aca="false">AN965*D965</f>
        <v>-0</v>
      </c>
      <c r="AS965" s="0" t="n">
        <f aca="false">AH965-AR965</f>
        <v>0</v>
      </c>
    </row>
    <row r="966" customFormat="false" ht="12" hidden="false" customHeight="false" outlineLevel="0" collapsed="false">
      <c r="A966" s="3" t="n">
        <f aca="false">A965+1</f>
        <v>957</v>
      </c>
      <c r="B966" s="3" t="n">
        <f aca="false">IF(A966&lt;$N$4/3,0.1,(IF(A966&gt;2*$N$4/3,0.05,0.12)))</f>
        <v>0.05</v>
      </c>
      <c r="C966" s="4" t="n">
        <f aca="true">RAND()</f>
        <v>0.281179358041757</v>
      </c>
      <c r="D966" s="0" t="n">
        <f aca="false">IF((C966&gt;$M$2),1,0)</f>
        <v>0</v>
      </c>
      <c r="E966" s="0" t="n">
        <f aca="false">1-D966</f>
        <v>1</v>
      </c>
      <c r="F966" s="0" t="n">
        <f aca="true">RAND()</f>
        <v>0.204475705015591</v>
      </c>
      <c r="G966" s="0" t="n">
        <f aca="false">7.75+F966*10</f>
        <v>9.79475705015592</v>
      </c>
      <c r="H966" s="0" t="n">
        <f aca="false">LOGINV(F966,2.64,1.139)</f>
        <v>5.47111133976863</v>
      </c>
      <c r="I966" s="0" t="n">
        <v>19.5</v>
      </c>
      <c r="J966" s="4" t="n">
        <f aca="true">-LN(RAND())/B966</f>
        <v>13.7751691590798</v>
      </c>
      <c r="K966" s="4" t="n">
        <f aca="false">K965+J966</f>
        <v>11871.0798556265</v>
      </c>
      <c r="L966" s="4" t="n">
        <f aca="false">(1/$J$4)*(1+AB965)</f>
        <v>10</v>
      </c>
      <c r="M966" s="4" t="n">
        <f aca="false">L966+MAX(K966,Y$10:Y965)</f>
        <v>11881.0798556265</v>
      </c>
      <c r="N966" s="4" t="n">
        <f aca="false">K966</f>
        <v>11871.0798556265</v>
      </c>
      <c r="O966" s="4" t="n">
        <f aca="false">M966-K966</f>
        <v>10</v>
      </c>
      <c r="P966" s="4" t="n">
        <f aca="false">N966-K966</f>
        <v>0</v>
      </c>
      <c r="Q966" s="4" t="n">
        <f aca="false">A966-MATCH(K966,$M$9:M965,1)</f>
        <v>0</v>
      </c>
      <c r="R966" s="0" t="n">
        <f aca="false">-G966*(O966/3600)</f>
        <v>-0.0272076584726553</v>
      </c>
      <c r="S966" s="0" t="n">
        <f aca="false">-1*I966-(H966*(P966/3600))</f>
        <v>-19.5</v>
      </c>
      <c r="T966" s="0" t="n">
        <f aca="false">-H966*(O966/3600)</f>
        <v>-0.0151975314993573</v>
      </c>
      <c r="U966" s="0" t="n">
        <f aca="false">T966-S966</f>
        <v>19.4848024685006</v>
      </c>
      <c r="V966" s="0" t="n">
        <f aca="false">1/(1+EXP(U966))</f>
        <v>3.45030752584036E-009</v>
      </c>
      <c r="W966" s="0" t="n">
        <f aca="true">RAND()</f>
        <v>0.929252392896128</v>
      </c>
      <c r="X966" s="0" t="n">
        <f aca="false">IF(W966&lt;V966,1,0)</f>
        <v>0</v>
      </c>
      <c r="Y966" s="0" t="n">
        <f aca="false">(M966*(1-X966)+N966*X966)*D966+M966*E966</f>
        <v>11881.0798556265</v>
      </c>
      <c r="Z966" s="0" t="n">
        <f aca="false">((1-X966)*O966+X966*P966)*D966+E966*O966</f>
        <v>10</v>
      </c>
      <c r="AA966" s="0" t="n">
        <f aca="false">IF(D966*X966&gt;0,AA965,Q966)</f>
        <v>0</v>
      </c>
      <c r="AB966" s="0" t="n">
        <f aca="false">(X966*D966)</f>
        <v>0</v>
      </c>
      <c r="AC966" s="0" t="n">
        <f aca="false">SUM(AB$10:AB965)/K966</f>
        <v>8.42383348576356E-005</v>
      </c>
      <c r="AD966" s="0" t="n">
        <f aca="false">R966*E966+D966*(X966*S966+(1-X966)*T966)</f>
        <v>-0.0272076584726553</v>
      </c>
      <c r="AE966" s="0" t="n">
        <f aca="false">Z966</f>
        <v>10</v>
      </c>
      <c r="AF966" s="0" t="n">
        <f aca="false">E966*O966</f>
        <v>10</v>
      </c>
      <c r="AG966" s="0" t="n">
        <f aca="false">((1-X966)*O966+X966*P966)*D966</f>
        <v>0</v>
      </c>
      <c r="AH966" s="0" t="n">
        <f aca="false">D966*(LN(EXP(S966)+EXP(T966)))</f>
        <v>-0</v>
      </c>
      <c r="AJ966" s="0" t="n">
        <f aca="false">$J$5</f>
        <v>10</v>
      </c>
      <c r="AK966" s="4" t="n">
        <f aca="false">AJ966+MAX(K966,AK$10:AK965)</f>
        <v>11881.0798556265</v>
      </c>
      <c r="AL966" s="5" t="n">
        <f aca="false">AK966-K966</f>
        <v>10</v>
      </c>
      <c r="AM966" s="0" t="n">
        <f aca="false">-G966*AL966/3600</f>
        <v>-0.0272076584726553</v>
      </c>
      <c r="AN966" s="0" t="n">
        <f aca="false">-H966*AL966/3600</f>
        <v>-0.0151975314993573</v>
      </c>
      <c r="AO966" s="0" t="n">
        <f aca="false">AM966*E966+AN966*D966</f>
        <v>-0.0272076584726553</v>
      </c>
      <c r="AP966" s="0" t="n">
        <f aca="false">AL966*D966</f>
        <v>0</v>
      </c>
      <c r="AR966" s="0" t="n">
        <f aca="false">AN966*D966</f>
        <v>-0</v>
      </c>
      <c r="AS966" s="0" t="n">
        <f aca="false">AH966-AR966</f>
        <v>0</v>
      </c>
    </row>
    <row r="967" customFormat="false" ht="12" hidden="false" customHeight="false" outlineLevel="0" collapsed="false">
      <c r="A967" s="3" t="n">
        <f aca="false">A966+1</f>
        <v>958</v>
      </c>
      <c r="B967" s="3" t="n">
        <f aca="false">IF(A967&lt;$N$4/3,0.1,(IF(A967&gt;2*$N$4/3,0.05,0.12)))</f>
        <v>0.05</v>
      </c>
      <c r="C967" s="4" t="n">
        <f aca="true">RAND()</f>
        <v>0.34618047026769</v>
      </c>
      <c r="D967" s="0" t="n">
        <f aca="false">IF((C967&gt;$M$2),1,0)</f>
        <v>0</v>
      </c>
      <c r="E967" s="0" t="n">
        <f aca="false">1-D967</f>
        <v>1</v>
      </c>
      <c r="F967" s="0" t="n">
        <f aca="true">RAND()</f>
        <v>0.41317095232374</v>
      </c>
      <c r="G967" s="0" t="n">
        <f aca="false">7.75+F967*10</f>
        <v>11.8817095232374</v>
      </c>
      <c r="H967" s="0" t="n">
        <f aca="false">LOGINV(F967,2.64,1.139)</f>
        <v>10.9146772748289</v>
      </c>
      <c r="I967" s="0" t="n">
        <v>19.5</v>
      </c>
      <c r="J967" s="4" t="n">
        <f aca="true">-LN(RAND())/B967</f>
        <v>0.371745116305564</v>
      </c>
      <c r="K967" s="4" t="n">
        <f aca="false">K966+J967</f>
        <v>11871.4516007428</v>
      </c>
      <c r="L967" s="4" t="n">
        <f aca="false">(1/$J$4)*(1+AB966)</f>
        <v>10</v>
      </c>
      <c r="M967" s="4" t="n">
        <f aca="false">L967+MAX(K967,Y$10:Y966)</f>
        <v>11891.0798556265</v>
      </c>
      <c r="N967" s="4" t="n">
        <f aca="false">K967</f>
        <v>11871.4516007428</v>
      </c>
      <c r="O967" s="4" t="n">
        <f aca="false">M967-K967</f>
        <v>19.6282548836953</v>
      </c>
      <c r="P967" s="4" t="n">
        <f aca="false">N967-K967</f>
        <v>0</v>
      </c>
      <c r="Q967" s="4" t="n">
        <f aca="false">A967-MATCH(K967,$M$9:M966,1)</f>
        <v>1</v>
      </c>
      <c r="R967" s="0" t="n">
        <f aca="false">-G967*(O967/3600)</f>
        <v>-0.0647825619378147</v>
      </c>
      <c r="S967" s="0" t="n">
        <f aca="false">-1*I967-(H967*(P967/3600))</f>
        <v>-19.5</v>
      </c>
      <c r="T967" s="0" t="n">
        <f aca="false">-H967*(O967/3600)</f>
        <v>-0.0595100187565605</v>
      </c>
      <c r="U967" s="0" t="n">
        <f aca="false">T967-S967</f>
        <v>19.4404899812434</v>
      </c>
      <c r="V967" s="0" t="n">
        <f aca="false">1/(1+EXP(U967))</f>
        <v>3.60663733501424E-009</v>
      </c>
      <c r="W967" s="0" t="n">
        <f aca="true">RAND()</f>
        <v>0.22558836984075</v>
      </c>
      <c r="X967" s="0" t="n">
        <f aca="false">IF(W967&lt;V967,1,0)</f>
        <v>0</v>
      </c>
      <c r="Y967" s="0" t="n">
        <f aca="false">(M967*(1-X967)+N967*X967)*D967+M967*E967</f>
        <v>11891.0798556265</v>
      </c>
      <c r="Z967" s="0" t="n">
        <f aca="false">((1-X967)*O967+X967*P967)*D967+E967*O967</f>
        <v>19.6282548836953</v>
      </c>
      <c r="AA967" s="0" t="n">
        <f aca="false">IF(D967*X967&gt;0,AA966,Q967)</f>
        <v>1</v>
      </c>
      <c r="AB967" s="0" t="n">
        <f aca="false">(X967*D967)</f>
        <v>0</v>
      </c>
      <c r="AC967" s="0" t="n">
        <f aca="false">SUM(AB$10:AB966)/K967</f>
        <v>8.42356970008138E-005</v>
      </c>
      <c r="AD967" s="0" t="n">
        <f aca="false">R967*E967+D967*(X967*S967+(1-X967)*T967)</f>
        <v>-0.0647825619378147</v>
      </c>
      <c r="AE967" s="0" t="n">
        <f aca="false">Z967</f>
        <v>19.6282548836953</v>
      </c>
      <c r="AF967" s="0" t="n">
        <f aca="false">E967*O967</f>
        <v>19.6282548836953</v>
      </c>
      <c r="AG967" s="0" t="n">
        <f aca="false">((1-X967)*O967+X967*P967)*D967</f>
        <v>0</v>
      </c>
      <c r="AH967" s="0" t="n">
        <f aca="false">D967*(LN(EXP(S967)+EXP(T967)))</f>
        <v>-0</v>
      </c>
      <c r="AJ967" s="0" t="n">
        <f aca="false">$J$5</f>
        <v>10</v>
      </c>
      <c r="AK967" s="4" t="n">
        <f aca="false">AJ967+MAX(K967,AK$10:AK966)</f>
        <v>11891.0798556265</v>
      </c>
      <c r="AL967" s="5" t="n">
        <f aca="false">AK967-K967</f>
        <v>19.6282548836953</v>
      </c>
      <c r="AM967" s="0" t="n">
        <f aca="false">-G967*AL967/3600</f>
        <v>-0.0647825619378147</v>
      </c>
      <c r="AN967" s="0" t="n">
        <f aca="false">-H967*AL967/3600</f>
        <v>-0.0595100187565605</v>
      </c>
      <c r="AO967" s="0" t="n">
        <f aca="false">AM967*E967+AN967*D967</f>
        <v>-0.0647825619378147</v>
      </c>
      <c r="AP967" s="0" t="n">
        <f aca="false">AL967*D967</f>
        <v>0</v>
      </c>
      <c r="AR967" s="0" t="n">
        <f aca="false">AN967*D967</f>
        <v>-0</v>
      </c>
      <c r="AS967" s="0" t="n">
        <f aca="false">AH967-AR967</f>
        <v>0</v>
      </c>
    </row>
    <row r="968" customFormat="false" ht="12" hidden="false" customHeight="false" outlineLevel="0" collapsed="false">
      <c r="A968" s="3" t="n">
        <f aca="false">A967+1</f>
        <v>959</v>
      </c>
      <c r="B968" s="3" t="n">
        <f aca="false">IF(A968&lt;$N$4/3,0.1,(IF(A968&gt;2*$N$4/3,0.05,0.12)))</f>
        <v>0.05</v>
      </c>
      <c r="C968" s="4" t="n">
        <f aca="true">RAND()</f>
        <v>0.863387322378749</v>
      </c>
      <c r="D968" s="0" t="n">
        <f aca="false">IF((C968&gt;$M$2),1,0)</f>
        <v>0</v>
      </c>
      <c r="E968" s="0" t="n">
        <f aca="false">1-D968</f>
        <v>1</v>
      </c>
      <c r="F968" s="0" t="n">
        <f aca="true">RAND()</f>
        <v>0.819202945488887</v>
      </c>
      <c r="G968" s="0" t="n">
        <f aca="false">7.75+F968*10</f>
        <v>15.9420294548889</v>
      </c>
      <c r="H968" s="0" t="n">
        <f aca="false">LOGINV(F968,2.64,1.139)</f>
        <v>39.6125447815691</v>
      </c>
      <c r="I968" s="0" t="n">
        <v>19.5</v>
      </c>
      <c r="J968" s="4" t="n">
        <f aca="true">-LN(RAND())/B968</f>
        <v>15.7017050298077</v>
      </c>
      <c r="K968" s="4" t="n">
        <f aca="false">K967+J968</f>
        <v>11887.1533057726</v>
      </c>
      <c r="L968" s="4" t="n">
        <f aca="false">(1/$J$4)*(1+AB967)</f>
        <v>10</v>
      </c>
      <c r="M968" s="4" t="n">
        <f aca="false">L968+MAX(K968,Y$10:Y967)</f>
        <v>11901.0798556265</v>
      </c>
      <c r="N968" s="4" t="n">
        <f aca="false">K968</f>
        <v>11887.1533057726</v>
      </c>
      <c r="O968" s="4" t="n">
        <f aca="false">M968-K968</f>
        <v>13.926549853888</v>
      </c>
      <c r="P968" s="4" t="n">
        <f aca="false">N968-K968</f>
        <v>0</v>
      </c>
      <c r="Q968" s="4" t="n">
        <f aca="false">A968-MATCH(K968,$M$9:M967,1)</f>
        <v>1</v>
      </c>
      <c r="R968" s="0" t="n">
        <f aca="false">-G968*(O968/3600)</f>
        <v>-0.061671518882128</v>
      </c>
      <c r="S968" s="0" t="n">
        <f aca="false">-1*I968-(H968*(P968/3600))</f>
        <v>-19.5</v>
      </c>
      <c r="T968" s="0" t="n">
        <f aca="false">-H968*(O968/3600)</f>
        <v>-0.153240577705526</v>
      </c>
      <c r="U968" s="0" t="n">
        <f aca="false">T968-S968</f>
        <v>19.3467594222945</v>
      </c>
      <c r="V968" s="0" t="n">
        <f aca="false">1/(1+EXP(U968))</f>
        <v>3.96103918260827E-009</v>
      </c>
      <c r="W968" s="0" t="n">
        <f aca="true">RAND()</f>
        <v>0.133292971069144</v>
      </c>
      <c r="X968" s="0" t="n">
        <f aca="false">IF(W968&lt;V968,1,0)</f>
        <v>0</v>
      </c>
      <c r="Y968" s="0" t="n">
        <f aca="false">(M968*(1-X968)+N968*X968)*D968+M968*E968</f>
        <v>11901.0798556265</v>
      </c>
      <c r="Z968" s="0" t="n">
        <f aca="false">((1-X968)*O968+X968*P968)*D968+E968*O968</f>
        <v>13.926549853888</v>
      </c>
      <c r="AA968" s="0" t="n">
        <f aca="false">IF(D968*X968&gt;0,AA967,Q968)</f>
        <v>1</v>
      </c>
      <c r="AB968" s="0" t="n">
        <f aca="false">(X968*D968)</f>
        <v>0</v>
      </c>
      <c r="AC968" s="0" t="n">
        <f aca="false">SUM(AB$10:AB967)/K968</f>
        <v>8.41244303221344E-005</v>
      </c>
      <c r="AD968" s="0" t="n">
        <f aca="false">R968*E968+D968*(X968*S968+(1-X968)*T968)</f>
        <v>-0.061671518882128</v>
      </c>
      <c r="AE968" s="0" t="n">
        <f aca="false">Z968</f>
        <v>13.926549853888</v>
      </c>
      <c r="AF968" s="0" t="n">
        <f aca="false">E968*O968</f>
        <v>13.926549853888</v>
      </c>
      <c r="AG968" s="0" t="n">
        <f aca="false">((1-X968)*O968+X968*P968)*D968</f>
        <v>0</v>
      </c>
      <c r="AH968" s="0" t="n">
        <f aca="false">D968*(LN(EXP(S968)+EXP(T968)))</f>
        <v>-0</v>
      </c>
      <c r="AJ968" s="0" t="n">
        <f aca="false">$J$5</f>
        <v>10</v>
      </c>
      <c r="AK968" s="4" t="n">
        <f aca="false">AJ968+MAX(K968,AK$10:AK967)</f>
        <v>11901.0798556265</v>
      </c>
      <c r="AL968" s="5" t="n">
        <f aca="false">AK968-K968</f>
        <v>13.926549853888</v>
      </c>
      <c r="AM968" s="0" t="n">
        <f aca="false">-G968*AL968/3600</f>
        <v>-0.061671518882128</v>
      </c>
      <c r="AN968" s="0" t="n">
        <f aca="false">-H968*AL968/3600</f>
        <v>-0.153240577705526</v>
      </c>
      <c r="AO968" s="0" t="n">
        <f aca="false">AM968*E968+AN968*D968</f>
        <v>-0.061671518882128</v>
      </c>
      <c r="AP968" s="0" t="n">
        <f aca="false">AL968*D968</f>
        <v>0</v>
      </c>
      <c r="AR968" s="0" t="n">
        <f aca="false">AN968*D968</f>
        <v>-0</v>
      </c>
      <c r="AS968" s="0" t="n">
        <f aca="false">AH968-AR968</f>
        <v>0</v>
      </c>
    </row>
    <row r="969" customFormat="false" ht="12" hidden="false" customHeight="false" outlineLevel="0" collapsed="false">
      <c r="A969" s="3" t="n">
        <f aca="false">A968+1</f>
        <v>960</v>
      </c>
      <c r="B969" s="3" t="n">
        <f aca="false">IF(A969&lt;$N$4/3,0.1,(IF(A969&gt;2*$N$4/3,0.05,0.12)))</f>
        <v>0.05</v>
      </c>
      <c r="C969" s="4" t="n">
        <f aca="true">RAND()</f>
        <v>0.477222492352694</v>
      </c>
      <c r="D969" s="0" t="n">
        <f aca="false">IF((C969&gt;$M$2),1,0)</f>
        <v>0</v>
      </c>
      <c r="E969" s="0" t="n">
        <f aca="false">1-D969</f>
        <v>1</v>
      </c>
      <c r="F969" s="0" t="n">
        <f aca="true">RAND()</f>
        <v>0.0235729217485333</v>
      </c>
      <c r="G969" s="0" t="n">
        <f aca="false">7.75+F969*10</f>
        <v>7.98572921748533</v>
      </c>
      <c r="H969" s="0" t="n">
        <f aca="false">LOGINV(F969,2.64,1.139)</f>
        <v>1.46096773103901</v>
      </c>
      <c r="I969" s="0" t="n">
        <v>19.5</v>
      </c>
      <c r="J969" s="4" t="n">
        <f aca="true">-LN(RAND())/B969</f>
        <v>9.31208512948973</v>
      </c>
      <c r="K969" s="4" t="n">
        <f aca="false">K968+J969</f>
        <v>11896.4653909021</v>
      </c>
      <c r="L969" s="4" t="n">
        <f aca="false">(1/$J$4)*(1+AB968)</f>
        <v>10</v>
      </c>
      <c r="M969" s="4" t="n">
        <f aca="false">L969+MAX(K969,Y$10:Y968)</f>
        <v>11911.0798556265</v>
      </c>
      <c r="N969" s="4" t="n">
        <f aca="false">K969</f>
        <v>11896.4653909021</v>
      </c>
      <c r="O969" s="4" t="n">
        <f aca="false">M969-K969</f>
        <v>14.6144647243982</v>
      </c>
      <c r="P969" s="4" t="n">
        <f aca="false">N969-K969</f>
        <v>0</v>
      </c>
      <c r="Q969" s="4" t="n">
        <f aca="false">A969-MATCH(K969,$M$9:M968,1)</f>
        <v>1</v>
      </c>
      <c r="R969" s="0" t="n">
        <f aca="false">-G969*(O969/3600)</f>
        <v>-0.0324186549854265</v>
      </c>
      <c r="S969" s="0" t="n">
        <f aca="false">-1*I969-(H969*(P969/3600))</f>
        <v>-19.5</v>
      </c>
      <c r="T969" s="0" t="n">
        <f aca="false">-H969*(O969/3600)</f>
        <v>-0.00593090593576492</v>
      </c>
      <c r="U969" s="0" t="n">
        <f aca="false">T969-S969</f>
        <v>19.4940690940642</v>
      </c>
      <c r="V969" s="0" t="n">
        <f aca="false">1/(1+EXP(U969))</f>
        <v>3.41848250105773E-009</v>
      </c>
      <c r="W969" s="0" t="n">
        <f aca="true">RAND()</f>
        <v>0.394412747823442</v>
      </c>
      <c r="X969" s="0" t="n">
        <f aca="false">IF(W969&lt;V969,1,0)</f>
        <v>0</v>
      </c>
      <c r="Y969" s="0" t="n">
        <f aca="false">(M969*(1-X969)+N969*X969)*D969+M969*E969</f>
        <v>11911.0798556265</v>
      </c>
      <c r="Z969" s="0" t="n">
        <f aca="false">((1-X969)*O969+X969*P969)*D969+E969*O969</f>
        <v>14.6144647243982</v>
      </c>
      <c r="AA969" s="0" t="n">
        <f aca="false">IF(D969*X969&gt;0,AA968,Q969)</f>
        <v>1</v>
      </c>
      <c r="AB969" s="0" t="n">
        <f aca="false">(X969*D969)</f>
        <v>0</v>
      </c>
      <c r="AC969" s="0" t="n">
        <f aca="false">SUM(AB$10:AB968)/K969</f>
        <v>8.40585810273322E-005</v>
      </c>
      <c r="AD969" s="0" t="n">
        <f aca="false">R969*E969+D969*(X969*S969+(1-X969)*T969)</f>
        <v>-0.0324186549854265</v>
      </c>
      <c r="AE969" s="0" t="n">
        <f aca="false">Z969</f>
        <v>14.6144647243982</v>
      </c>
      <c r="AF969" s="0" t="n">
        <f aca="false">E969*O969</f>
        <v>14.6144647243982</v>
      </c>
      <c r="AG969" s="0" t="n">
        <f aca="false">((1-X969)*O969+X969*P969)*D969</f>
        <v>0</v>
      </c>
      <c r="AH969" s="0" t="n">
        <f aca="false">D969*(LN(EXP(S969)+EXP(T969)))</f>
        <v>-0</v>
      </c>
      <c r="AJ969" s="0" t="n">
        <f aca="false">$J$5</f>
        <v>10</v>
      </c>
      <c r="AK969" s="4" t="n">
        <f aca="false">AJ969+MAX(K969,AK$10:AK968)</f>
        <v>11911.0798556265</v>
      </c>
      <c r="AL969" s="5" t="n">
        <f aca="false">AK969-K969</f>
        <v>14.6144647243982</v>
      </c>
      <c r="AM969" s="0" t="n">
        <f aca="false">-G969*AL969/3600</f>
        <v>-0.0324186549854265</v>
      </c>
      <c r="AN969" s="0" t="n">
        <f aca="false">-H969*AL969/3600</f>
        <v>-0.00593090593576492</v>
      </c>
      <c r="AO969" s="0" t="n">
        <f aca="false">AM969*E969+AN969*D969</f>
        <v>-0.0324186549854265</v>
      </c>
      <c r="AP969" s="0" t="n">
        <f aca="false">AL969*D969</f>
        <v>0</v>
      </c>
      <c r="AR969" s="0" t="n">
        <f aca="false">AN969*D969</f>
        <v>-0</v>
      </c>
      <c r="AS969" s="0" t="n">
        <f aca="false">AH969-AR969</f>
        <v>0</v>
      </c>
    </row>
    <row r="970" customFormat="false" ht="12" hidden="false" customHeight="false" outlineLevel="0" collapsed="false">
      <c r="A970" s="3" t="n">
        <f aca="false">A969+1</f>
        <v>961</v>
      </c>
      <c r="B970" s="3" t="n">
        <f aca="false">IF(A970&lt;$N$4/3,0.1,(IF(A970&gt;2*$N$4/3,0.05,0.12)))</f>
        <v>0.05</v>
      </c>
      <c r="C970" s="4" t="n">
        <f aca="true">RAND()</f>
        <v>0.838921683404629</v>
      </c>
      <c r="D970" s="0" t="n">
        <f aca="false">IF((C970&gt;$M$2),1,0)</f>
        <v>0</v>
      </c>
      <c r="E970" s="0" t="n">
        <f aca="false">1-D970</f>
        <v>1</v>
      </c>
      <c r="F970" s="0" t="n">
        <f aca="true">RAND()</f>
        <v>0.140321154958196</v>
      </c>
      <c r="G970" s="0" t="n">
        <f aca="false">7.75+F970*10</f>
        <v>9.15321154958196</v>
      </c>
      <c r="H970" s="0" t="n">
        <f aca="false">LOGINV(F970,2.64,1.139)</f>
        <v>4.10070311270043</v>
      </c>
      <c r="I970" s="0" t="n">
        <v>19.5</v>
      </c>
      <c r="J970" s="4" t="n">
        <f aca="true">-LN(RAND())/B970</f>
        <v>20.6386484272339</v>
      </c>
      <c r="K970" s="4" t="n">
        <f aca="false">K969+J970</f>
        <v>11917.1040393294</v>
      </c>
      <c r="L970" s="4" t="n">
        <f aca="false">(1/$J$4)*(1+AB969)</f>
        <v>10</v>
      </c>
      <c r="M970" s="4" t="n">
        <f aca="false">L970+MAX(K970,Y$10:Y969)</f>
        <v>11927.1040393294</v>
      </c>
      <c r="N970" s="4" t="n">
        <f aca="false">K970</f>
        <v>11917.1040393294</v>
      </c>
      <c r="O970" s="4" t="n">
        <f aca="false">M970-K970</f>
        <v>10</v>
      </c>
      <c r="P970" s="4" t="n">
        <f aca="false">N970-K970</f>
        <v>0</v>
      </c>
      <c r="Q970" s="4" t="n">
        <f aca="false">A970-MATCH(K970,$M$9:M969,1)</f>
        <v>0</v>
      </c>
      <c r="R970" s="0" t="n">
        <f aca="false">-G970*(O970/3600)</f>
        <v>-0.0254255876377277</v>
      </c>
      <c r="S970" s="0" t="n">
        <f aca="false">-1*I970-(H970*(P970/3600))</f>
        <v>-19.5</v>
      </c>
      <c r="T970" s="0" t="n">
        <f aca="false">-H970*(O970/3600)</f>
        <v>-0.0113908419797234</v>
      </c>
      <c r="U970" s="0" t="n">
        <f aca="false">T970-S970</f>
        <v>19.4886091580203</v>
      </c>
      <c r="V970" s="0" t="n">
        <f aca="false">1/(1+EXP(U970))</f>
        <v>3.43719824370125E-009</v>
      </c>
      <c r="W970" s="0" t="n">
        <f aca="true">RAND()</f>
        <v>0.0689784666506177</v>
      </c>
      <c r="X970" s="0" t="n">
        <f aca="false">IF(W970&lt;V970,1,0)</f>
        <v>0</v>
      </c>
      <c r="Y970" s="0" t="n">
        <f aca="false">(M970*(1-X970)+N970*X970)*D970+M970*E970</f>
        <v>11927.1040393294</v>
      </c>
      <c r="Z970" s="0" t="n">
        <f aca="false">((1-X970)*O970+X970*P970)*D970+E970*O970</f>
        <v>10</v>
      </c>
      <c r="AA970" s="0" t="n">
        <f aca="false">IF(D970*X970&gt;0,AA969,Q970)</f>
        <v>0</v>
      </c>
      <c r="AB970" s="0" t="n">
        <f aca="false">(X970*D970)</f>
        <v>0</v>
      </c>
      <c r="AC970" s="0" t="n">
        <f aca="false">SUM(AB$10:AB969)/K970</f>
        <v>8.39130040905705E-005</v>
      </c>
      <c r="AD970" s="0" t="n">
        <f aca="false">R970*E970+D970*(X970*S970+(1-X970)*T970)</f>
        <v>-0.0254255876377277</v>
      </c>
      <c r="AE970" s="0" t="n">
        <f aca="false">Z970</f>
        <v>10</v>
      </c>
      <c r="AF970" s="0" t="n">
        <f aca="false">E970*O970</f>
        <v>10</v>
      </c>
      <c r="AG970" s="0" t="n">
        <f aca="false">((1-X970)*O970+X970*P970)*D970</f>
        <v>0</v>
      </c>
      <c r="AH970" s="0" t="n">
        <f aca="false">D970*(LN(EXP(S970)+EXP(T970)))</f>
        <v>-0</v>
      </c>
      <c r="AJ970" s="0" t="n">
        <f aca="false">$J$5</f>
        <v>10</v>
      </c>
      <c r="AK970" s="4" t="n">
        <f aca="false">AJ970+MAX(K970,AK$10:AK969)</f>
        <v>11927.1040393294</v>
      </c>
      <c r="AL970" s="5" t="n">
        <f aca="false">AK970-K970</f>
        <v>10</v>
      </c>
      <c r="AM970" s="0" t="n">
        <f aca="false">-G970*AL970/3600</f>
        <v>-0.0254255876377277</v>
      </c>
      <c r="AN970" s="0" t="n">
        <f aca="false">-H970*AL970/3600</f>
        <v>-0.0113908419797234</v>
      </c>
      <c r="AO970" s="0" t="n">
        <f aca="false">AM970*E970+AN970*D970</f>
        <v>-0.0254255876377277</v>
      </c>
      <c r="AP970" s="0" t="n">
        <f aca="false">AL970*D970</f>
        <v>0</v>
      </c>
      <c r="AR970" s="0" t="n">
        <f aca="false">AN970*D970</f>
        <v>-0</v>
      </c>
      <c r="AS970" s="0" t="n">
        <f aca="false">AH970-AR970</f>
        <v>0</v>
      </c>
    </row>
    <row r="971" customFormat="false" ht="12" hidden="false" customHeight="false" outlineLevel="0" collapsed="false">
      <c r="A971" s="3" t="n">
        <f aca="false">A970+1</f>
        <v>962</v>
      </c>
      <c r="B971" s="3" t="n">
        <f aca="false">IF(A971&lt;$N$4/3,0.1,(IF(A971&gt;2*$N$4/3,0.05,0.12)))</f>
        <v>0.05</v>
      </c>
      <c r="C971" s="4" t="n">
        <f aca="true">RAND()</f>
        <v>0.723936082545524</v>
      </c>
      <c r="D971" s="0" t="n">
        <f aca="false">IF((C971&gt;$M$2),1,0)</f>
        <v>0</v>
      </c>
      <c r="E971" s="0" t="n">
        <f aca="false">1-D971</f>
        <v>1</v>
      </c>
      <c r="F971" s="0" t="n">
        <f aca="true">RAND()</f>
        <v>0.47409211288581</v>
      </c>
      <c r="G971" s="0" t="n">
        <f aca="false">7.75+F971*10</f>
        <v>12.4909211288581</v>
      </c>
      <c r="H971" s="0" t="n">
        <f aca="false">LOGINV(F971,2.64,1.139)</f>
        <v>13.0134004193614</v>
      </c>
      <c r="I971" s="0" t="n">
        <v>19.5</v>
      </c>
      <c r="J971" s="4" t="n">
        <f aca="true">-LN(RAND())/B971</f>
        <v>21.9316805039988</v>
      </c>
      <c r="K971" s="4" t="n">
        <f aca="false">K970+J971</f>
        <v>11939.0357198334</v>
      </c>
      <c r="L971" s="4" t="n">
        <f aca="false">(1/$J$4)*(1+AB970)</f>
        <v>10</v>
      </c>
      <c r="M971" s="4" t="n">
        <f aca="false">L971+MAX(K971,Y$10:Y970)</f>
        <v>11949.0357198334</v>
      </c>
      <c r="N971" s="4" t="n">
        <f aca="false">K971</f>
        <v>11939.0357198334</v>
      </c>
      <c r="O971" s="4" t="n">
        <f aca="false">M971-K971</f>
        <v>10</v>
      </c>
      <c r="P971" s="4" t="n">
        <f aca="false">N971-K971</f>
        <v>0</v>
      </c>
      <c r="Q971" s="4" t="n">
        <f aca="false">A971-MATCH(K971,$M$9:M970,1)</f>
        <v>0</v>
      </c>
      <c r="R971" s="0" t="n">
        <f aca="false">-G971*(O971/3600)</f>
        <v>-0.0346970031357169</v>
      </c>
      <c r="S971" s="0" t="n">
        <f aca="false">-1*I971-(H971*(P971/3600))</f>
        <v>-19.5</v>
      </c>
      <c r="T971" s="0" t="n">
        <f aca="false">-H971*(O971/3600)</f>
        <v>-0.036148334498226</v>
      </c>
      <c r="U971" s="0" t="n">
        <f aca="false">T971-S971</f>
        <v>19.4638516655018</v>
      </c>
      <c r="V971" s="0" t="n">
        <f aca="false">1/(1+EXP(U971))</f>
        <v>3.52335678720992E-009</v>
      </c>
      <c r="W971" s="0" t="n">
        <f aca="true">RAND()</f>
        <v>0.266149987611877</v>
      </c>
      <c r="X971" s="0" t="n">
        <f aca="false">IF(W971&lt;V971,1,0)</f>
        <v>0</v>
      </c>
      <c r="Y971" s="0" t="n">
        <f aca="false">(M971*(1-X971)+N971*X971)*D971+M971*E971</f>
        <v>11949.0357198334</v>
      </c>
      <c r="Z971" s="0" t="n">
        <f aca="false">((1-X971)*O971+X971*P971)*D971+E971*O971</f>
        <v>10</v>
      </c>
      <c r="AA971" s="0" t="n">
        <f aca="false">IF(D971*X971&gt;0,AA970,Q971)</f>
        <v>0</v>
      </c>
      <c r="AB971" s="0" t="n">
        <f aca="false">(X971*D971)</f>
        <v>0</v>
      </c>
      <c r="AC971" s="0" t="n">
        <f aca="false">SUM(AB$10:AB970)/K971</f>
        <v>8.37588582081868E-005</v>
      </c>
      <c r="AD971" s="0" t="n">
        <f aca="false">R971*E971+D971*(X971*S971+(1-X971)*T971)</f>
        <v>-0.0346970031357169</v>
      </c>
      <c r="AE971" s="0" t="n">
        <f aca="false">Z971</f>
        <v>10</v>
      </c>
      <c r="AF971" s="0" t="n">
        <f aca="false">E971*O971</f>
        <v>10</v>
      </c>
      <c r="AG971" s="0" t="n">
        <f aca="false">((1-X971)*O971+X971*P971)*D971</f>
        <v>0</v>
      </c>
      <c r="AH971" s="0" t="n">
        <f aca="false">D971*(LN(EXP(S971)+EXP(T971)))</f>
        <v>-0</v>
      </c>
      <c r="AJ971" s="0" t="n">
        <f aca="false">$J$5</f>
        <v>10</v>
      </c>
      <c r="AK971" s="4" t="n">
        <f aca="false">AJ971+MAX(K971,AK$10:AK970)</f>
        <v>11949.0357198334</v>
      </c>
      <c r="AL971" s="5" t="n">
        <f aca="false">AK971-K971</f>
        <v>10</v>
      </c>
      <c r="AM971" s="0" t="n">
        <f aca="false">-G971*AL971/3600</f>
        <v>-0.0346970031357169</v>
      </c>
      <c r="AN971" s="0" t="n">
        <f aca="false">-H971*AL971/3600</f>
        <v>-0.036148334498226</v>
      </c>
      <c r="AO971" s="0" t="n">
        <f aca="false">AM971*E971+AN971*D971</f>
        <v>-0.0346970031357169</v>
      </c>
      <c r="AP971" s="0" t="n">
        <f aca="false">AL971*D971</f>
        <v>0</v>
      </c>
      <c r="AR971" s="0" t="n">
        <f aca="false">AN971*D971</f>
        <v>-0</v>
      </c>
      <c r="AS971" s="0" t="n">
        <f aca="false">AH971-AR971</f>
        <v>0</v>
      </c>
    </row>
    <row r="972" customFormat="false" ht="12" hidden="false" customHeight="false" outlineLevel="0" collapsed="false">
      <c r="A972" s="3" t="n">
        <f aca="false">A971+1</f>
        <v>963</v>
      </c>
      <c r="B972" s="3" t="n">
        <f aca="false">IF(A972&lt;$N$4/3,0.1,(IF(A972&gt;2*$N$4/3,0.05,0.12)))</f>
        <v>0.05</v>
      </c>
      <c r="C972" s="4" t="n">
        <f aca="true">RAND()</f>
        <v>0.320675961186994</v>
      </c>
      <c r="D972" s="0" t="n">
        <f aca="false">IF((C972&gt;$M$2),1,0)</f>
        <v>0</v>
      </c>
      <c r="E972" s="0" t="n">
        <f aca="false">1-D972</f>
        <v>1</v>
      </c>
      <c r="F972" s="0" t="n">
        <f aca="true">RAND()</f>
        <v>0.0328149385920832</v>
      </c>
      <c r="G972" s="0" t="n">
        <f aca="false">7.75+F972*10</f>
        <v>8.07814938592083</v>
      </c>
      <c r="H972" s="0" t="n">
        <f aca="false">LOGINV(F972,2.64,1.139)</f>
        <v>1.72144774916191</v>
      </c>
      <c r="I972" s="0" t="n">
        <v>19.5</v>
      </c>
      <c r="J972" s="4" t="n">
        <f aca="true">-LN(RAND())/B972</f>
        <v>27.0167707757886</v>
      </c>
      <c r="K972" s="4" t="n">
        <f aca="false">K971+J972</f>
        <v>11966.0524906092</v>
      </c>
      <c r="L972" s="4" t="n">
        <f aca="false">(1/$J$4)*(1+AB971)</f>
        <v>10</v>
      </c>
      <c r="M972" s="4" t="n">
        <f aca="false">L972+MAX(K972,Y$10:Y971)</f>
        <v>11976.0524906092</v>
      </c>
      <c r="N972" s="4" t="n">
        <f aca="false">K972</f>
        <v>11966.0524906092</v>
      </c>
      <c r="O972" s="4" t="n">
        <f aca="false">M972-K972</f>
        <v>10</v>
      </c>
      <c r="P972" s="4" t="n">
        <f aca="false">N972-K972</f>
        <v>0</v>
      </c>
      <c r="Q972" s="4" t="n">
        <f aca="false">A972-MATCH(K972,$M$9:M971,1)</f>
        <v>0</v>
      </c>
      <c r="R972" s="0" t="n">
        <f aca="false">-G972*(O972/3600)</f>
        <v>-0.0224393038497801</v>
      </c>
      <c r="S972" s="0" t="n">
        <f aca="false">-1*I972-(H972*(P972/3600))</f>
        <v>-19.5</v>
      </c>
      <c r="T972" s="0" t="n">
        <f aca="false">-H972*(O972/3600)</f>
        <v>-0.00478179930322753</v>
      </c>
      <c r="U972" s="0" t="n">
        <f aca="false">T972-S972</f>
        <v>19.4952182006968</v>
      </c>
      <c r="V972" s="0" t="n">
        <f aca="false">1/(1+EXP(U972))</f>
        <v>3.41455655625257E-009</v>
      </c>
      <c r="W972" s="0" t="n">
        <f aca="true">RAND()</f>
        <v>0.564404752944214</v>
      </c>
      <c r="X972" s="0" t="n">
        <f aca="false">IF(W972&lt;V972,1,0)</f>
        <v>0</v>
      </c>
      <c r="Y972" s="0" t="n">
        <f aca="false">(M972*(1-X972)+N972*X972)*D972+M972*E972</f>
        <v>11976.0524906092</v>
      </c>
      <c r="Z972" s="0" t="n">
        <f aca="false">((1-X972)*O972+X972*P972)*D972+E972*O972</f>
        <v>10</v>
      </c>
      <c r="AA972" s="0" t="n">
        <f aca="false">IF(D972*X972&gt;0,AA971,Q972)</f>
        <v>0</v>
      </c>
      <c r="AB972" s="0" t="n">
        <f aca="false">(X972*D972)</f>
        <v>0</v>
      </c>
      <c r="AC972" s="0" t="n">
        <f aca="false">SUM(AB$10:AB971)/K972</f>
        <v>8.35697487358333E-005</v>
      </c>
      <c r="AD972" s="0" t="n">
        <f aca="false">R972*E972+D972*(X972*S972+(1-X972)*T972)</f>
        <v>-0.0224393038497801</v>
      </c>
      <c r="AE972" s="0" t="n">
        <f aca="false">Z972</f>
        <v>10</v>
      </c>
      <c r="AF972" s="0" t="n">
        <f aca="false">E972*O972</f>
        <v>10</v>
      </c>
      <c r="AG972" s="0" t="n">
        <f aca="false">((1-X972)*O972+X972*P972)*D972</f>
        <v>0</v>
      </c>
      <c r="AH972" s="0" t="n">
        <f aca="false">D972*(LN(EXP(S972)+EXP(T972)))</f>
        <v>-0</v>
      </c>
      <c r="AJ972" s="0" t="n">
        <f aca="false">$J$5</f>
        <v>10</v>
      </c>
      <c r="AK972" s="4" t="n">
        <f aca="false">AJ972+MAX(K972,AK$10:AK971)</f>
        <v>11976.0524906092</v>
      </c>
      <c r="AL972" s="5" t="n">
        <f aca="false">AK972-K972</f>
        <v>10</v>
      </c>
      <c r="AM972" s="0" t="n">
        <f aca="false">-G972*AL972/3600</f>
        <v>-0.0224393038497801</v>
      </c>
      <c r="AN972" s="0" t="n">
        <f aca="false">-H972*AL972/3600</f>
        <v>-0.00478179930322753</v>
      </c>
      <c r="AO972" s="0" t="n">
        <f aca="false">AM972*E972+AN972*D972</f>
        <v>-0.0224393038497801</v>
      </c>
      <c r="AP972" s="0" t="n">
        <f aca="false">AL972*D972</f>
        <v>0</v>
      </c>
      <c r="AR972" s="0" t="n">
        <f aca="false">AN972*D972</f>
        <v>-0</v>
      </c>
      <c r="AS972" s="0" t="n">
        <f aca="false">AH972-AR972</f>
        <v>0</v>
      </c>
    </row>
    <row r="973" customFormat="false" ht="12" hidden="false" customHeight="false" outlineLevel="0" collapsed="false">
      <c r="A973" s="3" t="n">
        <f aca="false">A972+1</f>
        <v>964</v>
      </c>
      <c r="B973" s="3" t="n">
        <f aca="false">IF(A973&lt;$N$4/3,0.1,(IF(A973&gt;2*$N$4/3,0.05,0.12)))</f>
        <v>0.05</v>
      </c>
      <c r="C973" s="4" t="n">
        <f aca="true">RAND()</f>
        <v>0.8583937952442</v>
      </c>
      <c r="D973" s="0" t="n">
        <f aca="false">IF((C973&gt;$M$2),1,0)</f>
        <v>0</v>
      </c>
      <c r="E973" s="0" t="n">
        <f aca="false">1-D973</f>
        <v>1</v>
      </c>
      <c r="F973" s="0" t="n">
        <f aca="true">RAND()</f>
        <v>0.128717960940421</v>
      </c>
      <c r="G973" s="0" t="n">
        <f aca="false">7.75+F973*10</f>
        <v>9.03717960940421</v>
      </c>
      <c r="H973" s="0" t="n">
        <f aca="false">LOGINV(F973,2.64,1.139)</f>
        <v>3.85786547853687</v>
      </c>
      <c r="I973" s="0" t="n">
        <v>19.5</v>
      </c>
      <c r="J973" s="4" t="n">
        <f aca="true">-LN(RAND())/B973</f>
        <v>10.6404295083874</v>
      </c>
      <c r="K973" s="4" t="n">
        <f aca="false">K972+J973</f>
        <v>11976.6929201175</v>
      </c>
      <c r="L973" s="4" t="n">
        <f aca="false">(1/$J$4)*(1+AB972)</f>
        <v>10</v>
      </c>
      <c r="M973" s="4" t="n">
        <f aca="false">L973+MAX(K973,Y$10:Y972)</f>
        <v>11986.6929201175</v>
      </c>
      <c r="N973" s="4" t="n">
        <f aca="false">K973</f>
        <v>11976.6929201175</v>
      </c>
      <c r="O973" s="4" t="n">
        <f aca="false">M973-K973</f>
        <v>10</v>
      </c>
      <c r="P973" s="4" t="n">
        <f aca="false">N973-K973</f>
        <v>0</v>
      </c>
      <c r="Q973" s="4" t="n">
        <f aca="false">A973-MATCH(K973,$M$9:M972,1)</f>
        <v>0</v>
      </c>
      <c r="R973" s="0" t="n">
        <f aca="false">-G973*(O973/3600)</f>
        <v>-0.0251032766927895</v>
      </c>
      <c r="S973" s="0" t="n">
        <f aca="false">-1*I973-(H973*(P973/3600))</f>
        <v>-19.5</v>
      </c>
      <c r="T973" s="0" t="n">
        <f aca="false">-H973*(O973/3600)</f>
        <v>-0.0107162929959358</v>
      </c>
      <c r="U973" s="0" t="n">
        <f aca="false">T973-S973</f>
        <v>19.4892837070041</v>
      </c>
      <c r="V973" s="0" t="n">
        <f aca="false">1/(1+EXP(U973))</f>
        <v>3.43488046694173E-009</v>
      </c>
      <c r="W973" s="0" t="n">
        <f aca="true">RAND()</f>
        <v>0.8895071910365</v>
      </c>
      <c r="X973" s="0" t="n">
        <f aca="false">IF(W973&lt;V973,1,0)</f>
        <v>0</v>
      </c>
      <c r="Y973" s="0" t="n">
        <f aca="false">(M973*(1-X973)+N973*X973)*D973+M973*E973</f>
        <v>11986.6929201175</v>
      </c>
      <c r="Z973" s="0" t="n">
        <f aca="false">((1-X973)*O973+X973*P973)*D973+E973*O973</f>
        <v>10</v>
      </c>
      <c r="AA973" s="0" t="n">
        <f aca="false">IF(D973*X973&gt;0,AA972,Q973)</f>
        <v>0</v>
      </c>
      <c r="AB973" s="0" t="n">
        <f aca="false">(X973*D973)</f>
        <v>0</v>
      </c>
      <c r="AC973" s="0" t="n">
        <f aca="false">SUM(AB$10:AB972)/K973</f>
        <v>8.3495503029912E-005</v>
      </c>
      <c r="AD973" s="0" t="n">
        <f aca="false">R973*E973+D973*(X973*S973+(1-X973)*T973)</f>
        <v>-0.0251032766927895</v>
      </c>
      <c r="AE973" s="0" t="n">
        <f aca="false">Z973</f>
        <v>10</v>
      </c>
      <c r="AF973" s="0" t="n">
        <f aca="false">E973*O973</f>
        <v>10</v>
      </c>
      <c r="AG973" s="0" t="n">
        <f aca="false">((1-X973)*O973+X973*P973)*D973</f>
        <v>0</v>
      </c>
      <c r="AH973" s="0" t="n">
        <f aca="false">D973*(LN(EXP(S973)+EXP(T973)))</f>
        <v>-0</v>
      </c>
      <c r="AJ973" s="0" t="n">
        <f aca="false">$J$5</f>
        <v>10</v>
      </c>
      <c r="AK973" s="4" t="n">
        <f aca="false">AJ973+MAX(K973,AK$10:AK972)</f>
        <v>11986.6929201175</v>
      </c>
      <c r="AL973" s="5" t="n">
        <f aca="false">AK973-K973</f>
        <v>10</v>
      </c>
      <c r="AM973" s="0" t="n">
        <f aca="false">-G973*AL973/3600</f>
        <v>-0.0251032766927895</v>
      </c>
      <c r="AN973" s="0" t="n">
        <f aca="false">-H973*AL973/3600</f>
        <v>-0.0107162929959358</v>
      </c>
      <c r="AO973" s="0" t="n">
        <f aca="false">AM973*E973+AN973*D973</f>
        <v>-0.0251032766927895</v>
      </c>
      <c r="AP973" s="0" t="n">
        <f aca="false">AL973*D973</f>
        <v>0</v>
      </c>
      <c r="AR973" s="0" t="n">
        <f aca="false">AN973*D973</f>
        <v>-0</v>
      </c>
      <c r="AS973" s="0" t="n">
        <f aca="false">AH973-AR973</f>
        <v>0</v>
      </c>
    </row>
    <row r="974" customFormat="false" ht="12" hidden="false" customHeight="false" outlineLevel="0" collapsed="false">
      <c r="A974" s="3" t="n">
        <f aca="false">A973+1</f>
        <v>965</v>
      </c>
      <c r="B974" s="3" t="n">
        <f aca="false">IF(A974&lt;$N$4/3,0.1,(IF(A974&gt;2*$N$4/3,0.05,0.12)))</f>
        <v>0.05</v>
      </c>
      <c r="C974" s="4" t="n">
        <f aca="true">RAND()</f>
        <v>0.629974186289879</v>
      </c>
      <c r="D974" s="0" t="n">
        <f aca="false">IF((C974&gt;$M$2),1,0)</f>
        <v>0</v>
      </c>
      <c r="E974" s="0" t="n">
        <f aca="false">1-D974</f>
        <v>1</v>
      </c>
      <c r="F974" s="0" t="n">
        <f aca="true">RAND()</f>
        <v>0.802644416689406</v>
      </c>
      <c r="G974" s="0" t="n">
        <f aca="false">7.75+F974*10</f>
        <v>15.7764441668941</v>
      </c>
      <c r="H974" s="0" t="n">
        <f aca="false">LOGINV(F974,2.64,1.139)</f>
        <v>36.9441868827913</v>
      </c>
      <c r="I974" s="0" t="n">
        <v>19.5</v>
      </c>
      <c r="J974" s="4" t="n">
        <f aca="true">-LN(RAND())/B974</f>
        <v>41.3413110034043</v>
      </c>
      <c r="K974" s="4" t="n">
        <f aca="false">K973+J974</f>
        <v>12018.0342311209</v>
      </c>
      <c r="L974" s="4" t="n">
        <f aca="false">(1/$J$4)*(1+AB973)</f>
        <v>10</v>
      </c>
      <c r="M974" s="4" t="n">
        <f aca="false">L974+MAX(K974,Y$10:Y973)</f>
        <v>12028.0342311209</v>
      </c>
      <c r="N974" s="4" t="n">
        <f aca="false">K974</f>
        <v>12018.0342311209</v>
      </c>
      <c r="O974" s="4" t="n">
        <f aca="false">M974-K974</f>
        <v>10</v>
      </c>
      <c r="P974" s="4" t="n">
        <f aca="false">N974-K974</f>
        <v>0</v>
      </c>
      <c r="Q974" s="4" t="n">
        <f aca="false">A974-MATCH(K974,$M$9:M973,1)</f>
        <v>0</v>
      </c>
      <c r="R974" s="0" t="n">
        <f aca="false">-G974*(O974/3600)</f>
        <v>-0.0438234560191502</v>
      </c>
      <c r="S974" s="0" t="n">
        <f aca="false">-1*I974-(H974*(P974/3600))</f>
        <v>-19.5</v>
      </c>
      <c r="T974" s="0" t="n">
        <f aca="false">-H974*(O974/3600)</f>
        <v>-0.102622741341087</v>
      </c>
      <c r="U974" s="0" t="n">
        <f aca="false">T974-S974</f>
        <v>19.3973772586589</v>
      </c>
      <c r="V974" s="0" t="n">
        <f aca="false">1/(1+EXP(U974))</f>
        <v>3.76552982273764E-009</v>
      </c>
      <c r="W974" s="0" t="n">
        <f aca="true">RAND()</f>
        <v>0.0315647922409545</v>
      </c>
      <c r="X974" s="0" t="n">
        <f aca="false">IF(W974&lt;V974,1,0)</f>
        <v>0</v>
      </c>
      <c r="Y974" s="0" t="n">
        <f aca="false">(M974*(1-X974)+N974*X974)*D974+M974*E974</f>
        <v>12028.0342311209</v>
      </c>
      <c r="Z974" s="0" t="n">
        <f aca="false">((1-X974)*O974+X974*P974)*D974+E974*O974</f>
        <v>10</v>
      </c>
      <c r="AA974" s="0" t="n">
        <f aca="false">IF(D974*X974&gt;0,AA973,Q974)</f>
        <v>0</v>
      </c>
      <c r="AB974" s="0" t="n">
        <f aca="false">(X974*D974)</f>
        <v>0</v>
      </c>
      <c r="AC974" s="0" t="n">
        <f aca="false">SUM(AB$10:AB973)/K974</f>
        <v>8.32082835486089E-005</v>
      </c>
      <c r="AD974" s="0" t="n">
        <f aca="false">R974*E974+D974*(X974*S974+(1-X974)*T974)</f>
        <v>-0.0438234560191502</v>
      </c>
      <c r="AE974" s="0" t="n">
        <f aca="false">Z974</f>
        <v>10</v>
      </c>
      <c r="AF974" s="0" t="n">
        <f aca="false">E974*O974</f>
        <v>10</v>
      </c>
      <c r="AG974" s="0" t="n">
        <f aca="false">((1-X974)*O974+X974*P974)*D974</f>
        <v>0</v>
      </c>
      <c r="AH974" s="0" t="n">
        <f aca="false">D974*(LN(EXP(S974)+EXP(T974)))</f>
        <v>-0</v>
      </c>
      <c r="AJ974" s="0" t="n">
        <f aca="false">$J$5</f>
        <v>10</v>
      </c>
      <c r="AK974" s="4" t="n">
        <f aca="false">AJ974+MAX(K974,AK$10:AK973)</f>
        <v>12028.0342311209</v>
      </c>
      <c r="AL974" s="5" t="n">
        <f aca="false">AK974-K974</f>
        <v>10</v>
      </c>
      <c r="AM974" s="0" t="n">
        <f aca="false">-G974*AL974/3600</f>
        <v>-0.0438234560191502</v>
      </c>
      <c r="AN974" s="0" t="n">
        <f aca="false">-H974*AL974/3600</f>
        <v>-0.102622741341087</v>
      </c>
      <c r="AO974" s="0" t="n">
        <f aca="false">AM974*E974+AN974*D974</f>
        <v>-0.0438234560191502</v>
      </c>
      <c r="AP974" s="0" t="n">
        <f aca="false">AL974*D974</f>
        <v>0</v>
      </c>
      <c r="AR974" s="0" t="n">
        <f aca="false">AN974*D974</f>
        <v>-0</v>
      </c>
      <c r="AS974" s="0" t="n">
        <f aca="false">AH974-AR974</f>
        <v>0</v>
      </c>
    </row>
    <row r="975" customFormat="false" ht="12" hidden="false" customHeight="false" outlineLevel="0" collapsed="false">
      <c r="A975" s="3" t="n">
        <f aca="false">A974+1</f>
        <v>966</v>
      </c>
      <c r="B975" s="3" t="n">
        <f aca="false">IF(A975&lt;$N$4/3,0.1,(IF(A975&gt;2*$N$4/3,0.05,0.12)))</f>
        <v>0.05</v>
      </c>
      <c r="C975" s="4" t="n">
        <f aca="true">RAND()</f>
        <v>0.746260331410524</v>
      </c>
      <c r="D975" s="0" t="n">
        <f aca="false">IF((C975&gt;$M$2),1,0)</f>
        <v>0</v>
      </c>
      <c r="E975" s="0" t="n">
        <f aca="false">1-D975</f>
        <v>1</v>
      </c>
      <c r="F975" s="0" t="n">
        <f aca="true">RAND()</f>
        <v>0.0945733105722154</v>
      </c>
      <c r="G975" s="0" t="n">
        <f aca="false">7.75+F975*10</f>
        <v>8.69573310572215</v>
      </c>
      <c r="H975" s="0" t="n">
        <f aca="false">LOGINV(F975,2.64,1.139)</f>
        <v>3.1404628694516</v>
      </c>
      <c r="I975" s="0" t="n">
        <v>19.5</v>
      </c>
      <c r="J975" s="4" t="n">
        <f aca="true">-LN(RAND())/B975</f>
        <v>78.7188641861074</v>
      </c>
      <c r="K975" s="4" t="n">
        <f aca="false">K974+J975</f>
        <v>12096.7530953071</v>
      </c>
      <c r="L975" s="4" t="n">
        <f aca="false">(1/$J$4)*(1+AB974)</f>
        <v>10</v>
      </c>
      <c r="M975" s="4" t="n">
        <f aca="false">L975+MAX(K975,Y$10:Y974)</f>
        <v>12106.7530953071</v>
      </c>
      <c r="N975" s="4" t="n">
        <f aca="false">K975</f>
        <v>12096.7530953071</v>
      </c>
      <c r="O975" s="4" t="n">
        <f aca="false">M975-K975</f>
        <v>10</v>
      </c>
      <c r="P975" s="4" t="n">
        <f aca="false">N975-K975</f>
        <v>0</v>
      </c>
      <c r="Q975" s="4" t="n">
        <f aca="false">A975-MATCH(K975,$M$9:M974,1)</f>
        <v>0</v>
      </c>
      <c r="R975" s="0" t="n">
        <f aca="false">-G975*(O975/3600)</f>
        <v>-0.0241548141825615</v>
      </c>
      <c r="S975" s="0" t="n">
        <f aca="false">-1*I975-(H975*(P975/3600))</f>
        <v>-19.5</v>
      </c>
      <c r="T975" s="0" t="n">
        <f aca="false">-H975*(O975/3600)</f>
        <v>-0.00872350797069888</v>
      </c>
      <c r="U975" s="0" t="n">
        <f aca="false">T975-S975</f>
        <v>19.4912764920293</v>
      </c>
      <c r="V975" s="0" t="n">
        <f aca="false">1/(1+EXP(U975))</f>
        <v>3.42804230436415E-009</v>
      </c>
      <c r="W975" s="0" t="n">
        <f aca="true">RAND()</f>
        <v>0.0578881990842482</v>
      </c>
      <c r="X975" s="0" t="n">
        <f aca="false">IF(W975&lt;V975,1,0)</f>
        <v>0</v>
      </c>
      <c r="Y975" s="0" t="n">
        <f aca="false">(M975*(1-X975)+N975*X975)*D975+M975*E975</f>
        <v>12106.7530953071</v>
      </c>
      <c r="Z975" s="0" t="n">
        <f aca="false">((1-X975)*O975+X975*P975)*D975+E975*O975</f>
        <v>10</v>
      </c>
      <c r="AA975" s="0" t="n">
        <f aca="false">IF(D975*X975&gt;0,AA974,Q975)</f>
        <v>0</v>
      </c>
      <c r="AB975" s="0" t="n">
        <f aca="false">(X975*D975)</f>
        <v>0</v>
      </c>
      <c r="AC975" s="0" t="n">
        <f aca="false">SUM(AB$10:AB974)/K975</f>
        <v>8.26668108476109E-005</v>
      </c>
      <c r="AD975" s="0" t="n">
        <f aca="false">R975*E975+D975*(X975*S975+(1-X975)*T975)</f>
        <v>-0.0241548141825615</v>
      </c>
      <c r="AE975" s="0" t="n">
        <f aca="false">Z975</f>
        <v>10</v>
      </c>
      <c r="AF975" s="0" t="n">
        <f aca="false">E975*O975</f>
        <v>10</v>
      </c>
      <c r="AG975" s="0" t="n">
        <f aca="false">((1-X975)*O975+X975*P975)*D975</f>
        <v>0</v>
      </c>
      <c r="AH975" s="0" t="n">
        <f aca="false">D975*(LN(EXP(S975)+EXP(T975)))</f>
        <v>-0</v>
      </c>
      <c r="AJ975" s="0" t="n">
        <f aca="false">$J$5</f>
        <v>10</v>
      </c>
      <c r="AK975" s="4" t="n">
        <f aca="false">AJ975+MAX(K975,AK$10:AK974)</f>
        <v>12106.7530953071</v>
      </c>
      <c r="AL975" s="5" t="n">
        <f aca="false">AK975-K975</f>
        <v>10</v>
      </c>
      <c r="AM975" s="0" t="n">
        <f aca="false">-G975*AL975/3600</f>
        <v>-0.0241548141825615</v>
      </c>
      <c r="AN975" s="0" t="n">
        <f aca="false">-H975*AL975/3600</f>
        <v>-0.00872350797069888</v>
      </c>
      <c r="AO975" s="0" t="n">
        <f aca="false">AM975*E975+AN975*D975</f>
        <v>-0.0241548141825615</v>
      </c>
      <c r="AP975" s="0" t="n">
        <f aca="false">AL975*D975</f>
        <v>0</v>
      </c>
      <c r="AR975" s="0" t="n">
        <f aca="false">AN975*D975</f>
        <v>-0</v>
      </c>
      <c r="AS975" s="0" t="n">
        <f aca="false">AH975-AR975</f>
        <v>0</v>
      </c>
    </row>
    <row r="976" customFormat="false" ht="12" hidden="false" customHeight="false" outlineLevel="0" collapsed="false">
      <c r="A976" s="3" t="n">
        <f aca="false">A975+1</f>
        <v>967</v>
      </c>
      <c r="B976" s="3" t="n">
        <f aca="false">IF(A976&lt;$N$4/3,0.1,(IF(A976&gt;2*$N$4/3,0.05,0.12)))</f>
        <v>0.05</v>
      </c>
      <c r="C976" s="4" t="n">
        <f aca="true">RAND()</f>
        <v>0.0863818282925409</v>
      </c>
      <c r="D976" s="0" t="n">
        <f aca="false">IF((C976&gt;$M$2),1,0)</f>
        <v>0</v>
      </c>
      <c r="E976" s="0" t="n">
        <f aca="false">1-D976</f>
        <v>1</v>
      </c>
      <c r="F976" s="0" t="n">
        <f aca="true">RAND()</f>
        <v>0.344489167964633</v>
      </c>
      <c r="G976" s="0" t="n">
        <f aca="false">7.75+F976*10</f>
        <v>11.1948916796463</v>
      </c>
      <c r="H976" s="0" t="n">
        <f aca="false">LOGINV(F976,2.64,1.139)</f>
        <v>8.88286770288853</v>
      </c>
      <c r="I976" s="0" t="n">
        <v>19.5</v>
      </c>
      <c r="J976" s="4" t="n">
        <f aca="true">-LN(RAND())/B976</f>
        <v>10.2175470192983</v>
      </c>
      <c r="K976" s="4" t="n">
        <f aca="false">K975+J976</f>
        <v>12106.9706423264</v>
      </c>
      <c r="L976" s="4" t="n">
        <f aca="false">(1/$J$4)*(1+AB975)</f>
        <v>10</v>
      </c>
      <c r="M976" s="4" t="n">
        <f aca="false">L976+MAX(K976,Y$10:Y975)</f>
        <v>12116.9706423264</v>
      </c>
      <c r="N976" s="4" t="n">
        <f aca="false">K976</f>
        <v>12106.9706423264</v>
      </c>
      <c r="O976" s="4" t="n">
        <f aca="false">M976-K976</f>
        <v>10</v>
      </c>
      <c r="P976" s="4" t="n">
        <f aca="false">N976-K976</f>
        <v>0</v>
      </c>
      <c r="Q976" s="4" t="n">
        <f aca="false">A976-MATCH(K976,$M$9:M975,1)</f>
        <v>0</v>
      </c>
      <c r="R976" s="0" t="n">
        <f aca="false">-G976*(O976/3600)</f>
        <v>-0.0310969213323509</v>
      </c>
      <c r="S976" s="0" t="n">
        <f aca="false">-1*I976-(H976*(P976/3600))</f>
        <v>-19.5</v>
      </c>
      <c r="T976" s="0" t="n">
        <f aca="false">-H976*(O976/3600)</f>
        <v>-0.0246746325080237</v>
      </c>
      <c r="U976" s="0" t="n">
        <f aca="false">T976-S976</f>
        <v>19.475325367492</v>
      </c>
      <c r="V976" s="0" t="n">
        <f aca="false">1/(1+EXP(U976))</f>
        <v>3.48316187474945E-009</v>
      </c>
      <c r="W976" s="0" t="n">
        <f aca="true">RAND()</f>
        <v>0.657007356393753</v>
      </c>
      <c r="X976" s="0" t="n">
        <f aca="false">IF(W976&lt;V976,1,0)</f>
        <v>0</v>
      </c>
      <c r="Y976" s="0" t="n">
        <f aca="false">(M976*(1-X976)+N976*X976)*D976+M976*E976</f>
        <v>12116.9706423264</v>
      </c>
      <c r="Z976" s="0" t="n">
        <f aca="false">((1-X976)*O976+X976*P976)*D976+E976*O976</f>
        <v>10</v>
      </c>
      <c r="AA976" s="0" t="n">
        <f aca="false">IF(D976*X976&gt;0,AA975,Q976)</f>
        <v>0</v>
      </c>
      <c r="AB976" s="0" t="n">
        <f aca="false">(X976*D976)</f>
        <v>0</v>
      </c>
      <c r="AC976" s="0" t="n">
        <f aca="false">SUM(AB$10:AB975)/K976</f>
        <v>8.25970450860737E-005</v>
      </c>
      <c r="AD976" s="0" t="n">
        <f aca="false">R976*E976+D976*(X976*S976+(1-X976)*T976)</f>
        <v>-0.0310969213323509</v>
      </c>
      <c r="AE976" s="0" t="n">
        <f aca="false">Z976</f>
        <v>10</v>
      </c>
      <c r="AF976" s="0" t="n">
        <f aca="false">E976*O976</f>
        <v>10</v>
      </c>
      <c r="AG976" s="0" t="n">
        <f aca="false">((1-X976)*O976+X976*P976)*D976</f>
        <v>0</v>
      </c>
      <c r="AH976" s="0" t="n">
        <f aca="false">D976*(LN(EXP(S976)+EXP(T976)))</f>
        <v>-0</v>
      </c>
      <c r="AJ976" s="0" t="n">
        <f aca="false">$J$5</f>
        <v>10</v>
      </c>
      <c r="AK976" s="4" t="n">
        <f aca="false">AJ976+MAX(K976,AK$10:AK975)</f>
        <v>12116.9706423264</v>
      </c>
      <c r="AL976" s="5" t="n">
        <f aca="false">AK976-K976</f>
        <v>10</v>
      </c>
      <c r="AM976" s="0" t="n">
        <f aca="false">-G976*AL976/3600</f>
        <v>-0.0310969213323509</v>
      </c>
      <c r="AN976" s="0" t="n">
        <f aca="false">-H976*AL976/3600</f>
        <v>-0.0246746325080237</v>
      </c>
      <c r="AO976" s="0" t="n">
        <f aca="false">AM976*E976+AN976*D976</f>
        <v>-0.0310969213323509</v>
      </c>
      <c r="AP976" s="0" t="n">
        <f aca="false">AL976*D976</f>
        <v>0</v>
      </c>
      <c r="AR976" s="0" t="n">
        <f aca="false">AN976*D976</f>
        <v>-0</v>
      </c>
      <c r="AS976" s="0" t="n">
        <f aca="false">AH976-AR976</f>
        <v>0</v>
      </c>
    </row>
    <row r="977" customFormat="false" ht="12" hidden="false" customHeight="false" outlineLevel="0" collapsed="false">
      <c r="A977" s="3" t="n">
        <f aca="false">A976+1</f>
        <v>968</v>
      </c>
      <c r="B977" s="3" t="n">
        <f aca="false">IF(A977&lt;$N$4/3,0.1,(IF(A977&gt;2*$N$4/3,0.05,0.12)))</f>
        <v>0.05</v>
      </c>
      <c r="C977" s="4" t="n">
        <f aca="true">RAND()</f>
        <v>0.703099062923654</v>
      </c>
      <c r="D977" s="0" t="n">
        <f aca="false">IF((C977&gt;$M$2),1,0)</f>
        <v>0</v>
      </c>
      <c r="E977" s="0" t="n">
        <f aca="false">1-D977</f>
        <v>1</v>
      </c>
      <c r="F977" s="0" t="n">
        <f aca="true">RAND()</f>
        <v>0.0643130219360773</v>
      </c>
      <c r="G977" s="0" t="n">
        <f aca="false">7.75+F977*10</f>
        <v>8.39313021936077</v>
      </c>
      <c r="H977" s="0" t="n">
        <f aca="false">LOGINV(F977,2.64,1.139)</f>
        <v>2.48243838471753</v>
      </c>
      <c r="I977" s="0" t="n">
        <v>19.5</v>
      </c>
      <c r="J977" s="4" t="n">
        <f aca="true">-LN(RAND())/B977</f>
        <v>5.87970601664898</v>
      </c>
      <c r="K977" s="4" t="n">
        <f aca="false">K976+J977</f>
        <v>12112.850348343</v>
      </c>
      <c r="L977" s="4" t="n">
        <f aca="false">(1/$J$4)*(1+AB976)</f>
        <v>10</v>
      </c>
      <c r="M977" s="4" t="n">
        <f aca="false">L977+MAX(K977,Y$10:Y976)</f>
        <v>12126.9706423264</v>
      </c>
      <c r="N977" s="4" t="n">
        <f aca="false">K977</f>
        <v>12112.850348343</v>
      </c>
      <c r="O977" s="4" t="n">
        <f aca="false">M977-K977</f>
        <v>14.1202939833511</v>
      </c>
      <c r="P977" s="4" t="n">
        <f aca="false">N977-K977</f>
        <v>0</v>
      </c>
      <c r="Q977" s="4" t="n">
        <f aca="false">A977-MATCH(K977,$M$9:M976,1)</f>
        <v>1</v>
      </c>
      <c r="R977" s="0" t="n">
        <f aca="false">-G977*(O977/3600)</f>
        <v>-0.0329204072605339</v>
      </c>
      <c r="S977" s="0" t="n">
        <f aca="false">-1*I977-(H977*(P977/3600))</f>
        <v>-19.5</v>
      </c>
      <c r="T977" s="0" t="n">
        <f aca="false">-H977*(O977/3600)</f>
        <v>-0.00973687771882406</v>
      </c>
      <c r="U977" s="0" t="n">
        <f aca="false">T977-S977</f>
        <v>19.4902631222812</v>
      </c>
      <c r="V977" s="0" t="n">
        <f aca="false">1/(1+EXP(U977))</f>
        <v>3.43151793947308E-009</v>
      </c>
      <c r="W977" s="0" t="n">
        <f aca="true">RAND()</f>
        <v>0.679797682959175</v>
      </c>
      <c r="X977" s="0" t="n">
        <f aca="false">IF(W977&lt;V977,1,0)</f>
        <v>0</v>
      </c>
      <c r="Y977" s="0" t="n">
        <f aca="false">(M977*(1-X977)+N977*X977)*D977+M977*E977</f>
        <v>12126.9706423264</v>
      </c>
      <c r="Z977" s="0" t="n">
        <f aca="false">((1-X977)*O977+X977*P977)*D977+E977*O977</f>
        <v>14.1202939833511</v>
      </c>
      <c r="AA977" s="0" t="n">
        <f aca="false">IF(D977*X977&gt;0,AA976,Q977)</f>
        <v>1</v>
      </c>
      <c r="AB977" s="0" t="n">
        <f aca="false">(X977*D977)</f>
        <v>0</v>
      </c>
      <c r="AC977" s="0" t="n">
        <f aca="false">SUM(AB$10:AB976)/K977</f>
        <v>8.25569516044419E-005</v>
      </c>
      <c r="AD977" s="0" t="n">
        <f aca="false">R977*E977+D977*(X977*S977+(1-X977)*T977)</f>
        <v>-0.0329204072605339</v>
      </c>
      <c r="AE977" s="0" t="n">
        <f aca="false">Z977</f>
        <v>14.1202939833511</v>
      </c>
      <c r="AF977" s="0" t="n">
        <f aca="false">E977*O977</f>
        <v>14.1202939833511</v>
      </c>
      <c r="AG977" s="0" t="n">
        <f aca="false">((1-X977)*O977+X977*P977)*D977</f>
        <v>0</v>
      </c>
      <c r="AH977" s="0" t="n">
        <f aca="false">D977*(LN(EXP(S977)+EXP(T977)))</f>
        <v>-0</v>
      </c>
      <c r="AJ977" s="0" t="n">
        <f aca="false">$J$5</f>
        <v>10</v>
      </c>
      <c r="AK977" s="4" t="n">
        <f aca="false">AJ977+MAX(K977,AK$10:AK976)</f>
        <v>12126.9706423264</v>
      </c>
      <c r="AL977" s="5" t="n">
        <f aca="false">AK977-K977</f>
        <v>14.1202939833511</v>
      </c>
      <c r="AM977" s="0" t="n">
        <f aca="false">-G977*AL977/3600</f>
        <v>-0.0329204072605339</v>
      </c>
      <c r="AN977" s="0" t="n">
        <f aca="false">-H977*AL977/3600</f>
        <v>-0.00973687771882406</v>
      </c>
      <c r="AO977" s="0" t="n">
        <f aca="false">AM977*E977+AN977*D977</f>
        <v>-0.0329204072605339</v>
      </c>
      <c r="AP977" s="0" t="n">
        <f aca="false">AL977*D977</f>
        <v>0</v>
      </c>
      <c r="AR977" s="0" t="n">
        <f aca="false">AN977*D977</f>
        <v>-0</v>
      </c>
      <c r="AS977" s="0" t="n">
        <f aca="false">AH977-AR977</f>
        <v>0</v>
      </c>
    </row>
    <row r="978" customFormat="false" ht="12" hidden="false" customHeight="false" outlineLevel="0" collapsed="false">
      <c r="A978" s="3" t="n">
        <f aca="false">A977+1</f>
        <v>969</v>
      </c>
      <c r="B978" s="3" t="n">
        <f aca="false">IF(A978&lt;$N$4/3,0.1,(IF(A978&gt;2*$N$4/3,0.05,0.12)))</f>
        <v>0.05</v>
      </c>
      <c r="C978" s="4" t="n">
        <f aca="true">RAND()</f>
        <v>0.965183401819397</v>
      </c>
      <c r="D978" s="0" t="n">
        <f aca="false">IF((C978&gt;$M$2),1,0)</f>
        <v>1</v>
      </c>
      <c r="E978" s="0" t="n">
        <f aca="false">1-D978</f>
        <v>0</v>
      </c>
      <c r="F978" s="0" t="n">
        <f aca="true">RAND()</f>
        <v>0.695637502271516</v>
      </c>
      <c r="G978" s="0" t="n">
        <f aca="false">7.75+F978*10</f>
        <v>14.7063750227152</v>
      </c>
      <c r="H978" s="0" t="n">
        <f aca="false">LOGINV(F978,2.64,1.139)</f>
        <v>25.1045121009837</v>
      </c>
      <c r="I978" s="0" t="n">
        <v>19.5</v>
      </c>
      <c r="J978" s="4" t="n">
        <f aca="true">-LN(RAND())/B978</f>
        <v>45.815341011993</v>
      </c>
      <c r="K978" s="4" t="n">
        <f aca="false">K977+J978</f>
        <v>12158.665689355</v>
      </c>
      <c r="L978" s="4" t="n">
        <f aca="false">(1/$J$4)*(1+AB977)</f>
        <v>10</v>
      </c>
      <c r="M978" s="4" t="n">
        <f aca="false">L978+MAX(K978,Y$10:Y977)</f>
        <v>12168.665689355</v>
      </c>
      <c r="N978" s="4" t="n">
        <f aca="false">K978</f>
        <v>12158.665689355</v>
      </c>
      <c r="O978" s="4" t="n">
        <f aca="false">M978-K978</f>
        <v>10</v>
      </c>
      <c r="P978" s="4" t="n">
        <f aca="false">N978-K978</f>
        <v>0</v>
      </c>
      <c r="Q978" s="4" t="n">
        <f aca="false">A978-MATCH(K978,$M$9:M977,1)</f>
        <v>0</v>
      </c>
      <c r="R978" s="0" t="n">
        <f aca="false">-G978*(O978/3600)</f>
        <v>-0.0408510417297643</v>
      </c>
      <c r="S978" s="0" t="n">
        <f aca="false">-1*I978-(H978*(P978/3600))</f>
        <v>-19.5</v>
      </c>
      <c r="T978" s="0" t="n">
        <f aca="false">-H978*(O978/3600)</f>
        <v>-0.069734755836066</v>
      </c>
      <c r="U978" s="0" t="n">
        <f aca="false">T978-S978</f>
        <v>19.4302652441639</v>
      </c>
      <c r="V978" s="0" t="n">
        <f aca="false">1/(1+EXP(U978))</f>
        <v>3.64370342596571E-009</v>
      </c>
      <c r="W978" s="0" t="n">
        <f aca="true">RAND()</f>
        <v>0.124161287302881</v>
      </c>
      <c r="X978" s="0" t="n">
        <f aca="false">IF(W978&lt;V978,1,0)</f>
        <v>0</v>
      </c>
      <c r="Y978" s="0" t="n">
        <f aca="false">(M978*(1-X978)+N978*X978)*D978+M978*E978</f>
        <v>12168.665689355</v>
      </c>
      <c r="Z978" s="0" t="n">
        <f aca="false">((1-X978)*O978+X978*P978)*D978+E978*O978</f>
        <v>10</v>
      </c>
      <c r="AA978" s="0" t="n">
        <f aca="false">IF(D978*X978&gt;0,AA977,Q978)</f>
        <v>0</v>
      </c>
      <c r="AB978" s="0" t="n">
        <f aca="false">(X978*D978)</f>
        <v>0</v>
      </c>
      <c r="AC978" s="0" t="n">
        <f aca="false">SUM(AB$10:AB977)/K978</f>
        <v>8.22458669026082E-005</v>
      </c>
      <c r="AD978" s="0" t="n">
        <f aca="false">R978*E978+D978*(X978*S978+(1-X978)*T978)</f>
        <v>-0.069734755836066</v>
      </c>
      <c r="AE978" s="0" t="n">
        <f aca="false">Z978</f>
        <v>10</v>
      </c>
      <c r="AF978" s="0" t="n">
        <f aca="false">E978*O978</f>
        <v>0</v>
      </c>
      <c r="AG978" s="0" t="n">
        <f aca="false">((1-X978)*O978+X978*P978)*D978</f>
        <v>10</v>
      </c>
      <c r="AH978" s="0" t="n">
        <f aca="false">D978*(LN(EXP(S978)+EXP(T978)))</f>
        <v>-0.0697347521923626</v>
      </c>
      <c r="AJ978" s="0" t="n">
        <f aca="false">$J$5</f>
        <v>10</v>
      </c>
      <c r="AK978" s="4" t="n">
        <f aca="false">AJ978+MAX(K978,AK$10:AK977)</f>
        <v>12168.665689355</v>
      </c>
      <c r="AL978" s="5" t="n">
        <f aca="false">AK978-K978</f>
        <v>10</v>
      </c>
      <c r="AM978" s="0" t="n">
        <f aca="false">-G978*AL978/3600</f>
        <v>-0.0408510417297643</v>
      </c>
      <c r="AN978" s="0" t="n">
        <f aca="false">-H978*AL978/3600</f>
        <v>-0.069734755836066</v>
      </c>
      <c r="AO978" s="0" t="n">
        <f aca="false">AM978*E978+AN978*D978</f>
        <v>-0.069734755836066</v>
      </c>
      <c r="AP978" s="0" t="n">
        <f aca="false">AL978*D978</f>
        <v>10</v>
      </c>
      <c r="AR978" s="0" t="n">
        <f aca="false">AN978*D978</f>
        <v>-0.069734755836066</v>
      </c>
      <c r="AS978" s="0" t="n">
        <f aca="false">AH978-AR978</f>
        <v>3.64370340844022E-009</v>
      </c>
    </row>
    <row r="979" customFormat="false" ht="12" hidden="false" customHeight="false" outlineLevel="0" collapsed="false">
      <c r="A979" s="3" t="n">
        <f aca="false">A978+1</f>
        <v>970</v>
      </c>
      <c r="B979" s="3" t="n">
        <f aca="false">IF(A979&lt;$N$4/3,0.1,(IF(A979&gt;2*$N$4/3,0.05,0.12)))</f>
        <v>0.05</v>
      </c>
      <c r="C979" s="4" t="n">
        <f aca="true">RAND()</f>
        <v>0.063855438455382</v>
      </c>
      <c r="D979" s="0" t="n">
        <f aca="false">IF((C979&gt;$M$2),1,0)</f>
        <v>0</v>
      </c>
      <c r="E979" s="0" t="n">
        <f aca="false">1-D979</f>
        <v>1</v>
      </c>
      <c r="F979" s="0" t="n">
        <f aca="true">RAND()</f>
        <v>0.436394493237924</v>
      </c>
      <c r="G979" s="0" t="n">
        <f aca="false">7.75+F979*10</f>
        <v>12.1139449323792</v>
      </c>
      <c r="H979" s="0" t="n">
        <f aca="false">LOGINV(F979,2.64,1.139)</f>
        <v>11.6770671739414</v>
      </c>
      <c r="I979" s="0" t="n">
        <v>19.5</v>
      </c>
      <c r="J979" s="4" t="n">
        <f aca="true">-LN(RAND())/B979</f>
        <v>6.79802531097203</v>
      </c>
      <c r="K979" s="4" t="n">
        <f aca="false">K978+J979</f>
        <v>12165.463714666</v>
      </c>
      <c r="L979" s="4" t="n">
        <f aca="false">(1/$J$4)*(1+AB978)</f>
        <v>10</v>
      </c>
      <c r="M979" s="4" t="n">
        <f aca="false">L979+MAX(K979,Y$10:Y978)</f>
        <v>12178.665689355</v>
      </c>
      <c r="N979" s="4" t="n">
        <f aca="false">K979</f>
        <v>12165.463714666</v>
      </c>
      <c r="O979" s="4" t="n">
        <f aca="false">M979-K979</f>
        <v>13.2019746890273</v>
      </c>
      <c r="P979" s="4" t="n">
        <f aca="false">N979-K979</f>
        <v>0</v>
      </c>
      <c r="Q979" s="4" t="n">
        <f aca="false">A979-MATCH(K979,$M$9:M978,1)</f>
        <v>1</v>
      </c>
      <c r="R979" s="0" t="n">
        <f aca="false">-G979*(O979/3600)</f>
        <v>-0.0444244428837616</v>
      </c>
      <c r="S979" s="0" t="n">
        <f aca="false">-1*I979-(H979*(P979/3600))</f>
        <v>-19.5</v>
      </c>
      <c r="T979" s="0" t="n">
        <f aca="false">-H979*(O979/3600)</f>
        <v>-0.042822318131235</v>
      </c>
      <c r="U979" s="0" t="n">
        <f aca="false">T979-S979</f>
        <v>19.4571776818688</v>
      </c>
      <c r="V979" s="0" t="n">
        <f aca="false">1/(1+EXP(U979))</f>
        <v>3.5469502562958E-009</v>
      </c>
      <c r="W979" s="0" t="n">
        <f aca="true">RAND()</f>
        <v>0.508641407989568</v>
      </c>
      <c r="X979" s="0" t="n">
        <f aca="false">IF(W979&lt;V979,1,0)</f>
        <v>0</v>
      </c>
      <c r="Y979" s="0" t="n">
        <f aca="false">(M979*(1-X979)+N979*X979)*D979+M979*E979</f>
        <v>12178.665689355</v>
      </c>
      <c r="Z979" s="0" t="n">
        <f aca="false">((1-X979)*O979+X979*P979)*D979+E979*O979</f>
        <v>13.2019746890273</v>
      </c>
      <c r="AA979" s="0" t="n">
        <f aca="false">IF(D979*X979&gt;0,AA978,Q979)</f>
        <v>1</v>
      </c>
      <c r="AB979" s="0" t="n">
        <f aca="false">(X979*D979)</f>
        <v>0</v>
      </c>
      <c r="AC979" s="0" t="n">
        <f aca="false">SUM(AB$10:AB978)/K979</f>
        <v>8.21999081542991E-005</v>
      </c>
      <c r="AD979" s="0" t="n">
        <f aca="false">R979*E979+D979*(X979*S979+(1-X979)*T979)</f>
        <v>-0.0444244428837616</v>
      </c>
      <c r="AE979" s="0" t="n">
        <f aca="false">Z979</f>
        <v>13.2019746890273</v>
      </c>
      <c r="AF979" s="0" t="n">
        <f aca="false">E979*O979</f>
        <v>13.2019746890273</v>
      </c>
      <c r="AG979" s="0" t="n">
        <f aca="false">((1-X979)*O979+X979*P979)*D979</f>
        <v>0</v>
      </c>
      <c r="AH979" s="0" t="n">
        <f aca="false">D979*(LN(EXP(S979)+EXP(T979)))</f>
        <v>-0</v>
      </c>
      <c r="AJ979" s="0" t="n">
        <f aca="false">$J$5</f>
        <v>10</v>
      </c>
      <c r="AK979" s="4" t="n">
        <f aca="false">AJ979+MAX(K979,AK$10:AK978)</f>
        <v>12178.665689355</v>
      </c>
      <c r="AL979" s="5" t="n">
        <f aca="false">AK979-K979</f>
        <v>13.2019746890273</v>
      </c>
      <c r="AM979" s="0" t="n">
        <f aca="false">-G979*AL979/3600</f>
        <v>-0.0444244428837616</v>
      </c>
      <c r="AN979" s="0" t="n">
        <f aca="false">-H979*AL979/3600</f>
        <v>-0.042822318131235</v>
      </c>
      <c r="AO979" s="0" t="n">
        <f aca="false">AM979*E979+AN979*D979</f>
        <v>-0.0444244428837616</v>
      </c>
      <c r="AP979" s="0" t="n">
        <f aca="false">AL979*D979</f>
        <v>0</v>
      </c>
      <c r="AR979" s="0" t="n">
        <f aca="false">AN979*D979</f>
        <v>-0</v>
      </c>
      <c r="AS979" s="0" t="n">
        <f aca="false">AH979-AR979</f>
        <v>0</v>
      </c>
    </row>
    <row r="980" customFormat="false" ht="12" hidden="false" customHeight="false" outlineLevel="0" collapsed="false">
      <c r="A980" s="3" t="n">
        <f aca="false">A979+1</f>
        <v>971</v>
      </c>
      <c r="B980" s="3" t="n">
        <f aca="false">IF(A980&lt;$N$4/3,0.1,(IF(A980&gt;2*$N$4/3,0.05,0.12)))</f>
        <v>0.05</v>
      </c>
      <c r="C980" s="4" t="n">
        <f aca="true">RAND()</f>
        <v>0.273927078626536</v>
      </c>
      <c r="D980" s="0" t="n">
        <f aca="false">IF((C980&gt;$M$2),1,0)</f>
        <v>0</v>
      </c>
      <c r="E980" s="0" t="n">
        <f aca="false">1-D980</f>
        <v>1</v>
      </c>
      <c r="F980" s="0" t="n">
        <f aca="true">RAND()</f>
        <v>0.721679166317842</v>
      </c>
      <c r="G980" s="0" t="n">
        <f aca="false">7.75+F980*10</f>
        <v>14.9667916631784</v>
      </c>
      <c r="H980" s="0" t="n">
        <f aca="false">LOGINV(F980,2.64,1.139)</f>
        <v>27.3727066475632</v>
      </c>
      <c r="I980" s="0" t="n">
        <v>19.5</v>
      </c>
      <c r="J980" s="4" t="n">
        <f aca="true">-LN(RAND())/B980</f>
        <v>12.2250991275056</v>
      </c>
      <c r="K980" s="4" t="n">
        <f aca="false">K979+J980</f>
        <v>12177.6888137935</v>
      </c>
      <c r="L980" s="4" t="n">
        <f aca="false">(1/$J$4)*(1+AB979)</f>
        <v>10</v>
      </c>
      <c r="M980" s="4" t="n">
        <f aca="false">L980+MAX(K980,Y$10:Y979)</f>
        <v>12188.665689355</v>
      </c>
      <c r="N980" s="4" t="n">
        <f aca="false">K980</f>
        <v>12177.6888137935</v>
      </c>
      <c r="O980" s="4" t="n">
        <f aca="false">M980-K980</f>
        <v>10.9768755615223</v>
      </c>
      <c r="P980" s="4" t="n">
        <f aca="false">N980-K980</f>
        <v>0</v>
      </c>
      <c r="Q980" s="4" t="n">
        <f aca="false">A980-MATCH(K980,$M$9:M979,1)</f>
        <v>1</v>
      </c>
      <c r="R980" s="0" t="n">
        <f aca="false">-G980*(O980/3600)</f>
        <v>-0.0456357249005387</v>
      </c>
      <c r="S980" s="0" t="n">
        <f aca="false">-1*I980-(H980*(P980/3600))</f>
        <v>-19.5</v>
      </c>
      <c r="T980" s="0" t="n">
        <f aca="false">-H980*(O980/3600)</f>
        <v>-0.0834629985145434</v>
      </c>
      <c r="U980" s="0" t="n">
        <f aca="false">T980-S980</f>
        <v>19.4165370014855</v>
      </c>
      <c r="V980" s="0" t="n">
        <f aca="false">1/(1+EXP(U980))</f>
        <v>3.69407000192573E-009</v>
      </c>
      <c r="W980" s="0" t="n">
        <f aca="true">RAND()</f>
        <v>0.288417054029293</v>
      </c>
      <c r="X980" s="0" t="n">
        <f aca="false">IF(W980&lt;V980,1,0)</f>
        <v>0</v>
      </c>
      <c r="Y980" s="0" t="n">
        <f aca="false">(M980*(1-X980)+N980*X980)*D980+M980*E980</f>
        <v>12188.665689355</v>
      </c>
      <c r="Z980" s="0" t="n">
        <f aca="false">((1-X980)*O980+X980*P980)*D980+E980*O980</f>
        <v>10.9768755615223</v>
      </c>
      <c r="AA980" s="0" t="n">
        <f aca="false">IF(D980*X980&gt;0,AA979,Q980)</f>
        <v>1</v>
      </c>
      <c r="AB980" s="0" t="n">
        <f aca="false">(X980*D980)</f>
        <v>0</v>
      </c>
      <c r="AC980" s="0" t="n">
        <f aca="false">SUM(AB$10:AB979)/K980</f>
        <v>8.21173882245469E-005</v>
      </c>
      <c r="AD980" s="0" t="n">
        <f aca="false">R980*E980+D980*(X980*S980+(1-X980)*T980)</f>
        <v>-0.0456357249005387</v>
      </c>
      <c r="AE980" s="0" t="n">
        <f aca="false">Z980</f>
        <v>10.9768755615223</v>
      </c>
      <c r="AF980" s="0" t="n">
        <f aca="false">E980*O980</f>
        <v>10.9768755615223</v>
      </c>
      <c r="AG980" s="0" t="n">
        <f aca="false">((1-X980)*O980+X980*P980)*D980</f>
        <v>0</v>
      </c>
      <c r="AH980" s="0" t="n">
        <f aca="false">D980*(LN(EXP(S980)+EXP(T980)))</f>
        <v>-0</v>
      </c>
      <c r="AJ980" s="0" t="n">
        <f aca="false">$J$5</f>
        <v>10</v>
      </c>
      <c r="AK980" s="4" t="n">
        <f aca="false">AJ980+MAX(K980,AK$10:AK979)</f>
        <v>12188.665689355</v>
      </c>
      <c r="AL980" s="5" t="n">
        <f aca="false">AK980-K980</f>
        <v>10.9768755615223</v>
      </c>
      <c r="AM980" s="0" t="n">
        <f aca="false">-G980*AL980/3600</f>
        <v>-0.0456357249005387</v>
      </c>
      <c r="AN980" s="0" t="n">
        <f aca="false">-H980*AL980/3600</f>
        <v>-0.0834629985145434</v>
      </c>
      <c r="AO980" s="0" t="n">
        <f aca="false">AM980*E980+AN980*D980</f>
        <v>-0.0456357249005387</v>
      </c>
      <c r="AP980" s="0" t="n">
        <f aca="false">AL980*D980</f>
        <v>0</v>
      </c>
      <c r="AR980" s="0" t="n">
        <f aca="false">AN980*D980</f>
        <v>-0</v>
      </c>
      <c r="AS980" s="0" t="n">
        <f aca="false">AH980-AR980</f>
        <v>0</v>
      </c>
    </row>
    <row r="981" customFormat="false" ht="12" hidden="false" customHeight="false" outlineLevel="0" collapsed="false">
      <c r="A981" s="3" t="n">
        <f aca="false">A980+1</f>
        <v>972</v>
      </c>
      <c r="B981" s="3" t="n">
        <f aca="false">IF(A981&lt;$N$4/3,0.1,(IF(A981&gt;2*$N$4/3,0.05,0.12)))</f>
        <v>0.05</v>
      </c>
      <c r="C981" s="4" t="n">
        <f aca="true">RAND()</f>
        <v>0.441757238256615</v>
      </c>
      <c r="D981" s="0" t="n">
        <f aca="false">IF((C981&gt;$M$2),1,0)</f>
        <v>0</v>
      </c>
      <c r="E981" s="0" t="n">
        <f aca="false">1-D981</f>
        <v>1</v>
      </c>
      <c r="F981" s="0" t="n">
        <f aca="true">RAND()</f>
        <v>0.00935764350532323</v>
      </c>
      <c r="G981" s="0" t="n">
        <f aca="false">7.75+F981*10</f>
        <v>7.84357643505323</v>
      </c>
      <c r="H981" s="0" t="n">
        <f aca="false">LOGINV(F981,2.64,1.139)</f>
        <v>0.962747224213278</v>
      </c>
      <c r="I981" s="0" t="n">
        <v>19.5</v>
      </c>
      <c r="J981" s="4" t="n">
        <f aca="true">-LN(RAND())/B981</f>
        <v>52.2543973141524</v>
      </c>
      <c r="K981" s="4" t="n">
        <f aca="false">K980+J981</f>
        <v>12229.9432111076</v>
      </c>
      <c r="L981" s="4" t="n">
        <f aca="false">(1/$J$4)*(1+AB980)</f>
        <v>10</v>
      </c>
      <c r="M981" s="4" t="n">
        <f aca="false">L981+MAX(K981,Y$10:Y980)</f>
        <v>12239.9432111076</v>
      </c>
      <c r="N981" s="4" t="n">
        <f aca="false">K981</f>
        <v>12229.9432111076</v>
      </c>
      <c r="O981" s="4" t="n">
        <f aca="false">M981-K981</f>
        <v>10</v>
      </c>
      <c r="P981" s="4" t="n">
        <f aca="false">N981-K981</f>
        <v>0</v>
      </c>
      <c r="Q981" s="4" t="n">
        <f aca="false">A981-MATCH(K981,$M$9:M980,1)</f>
        <v>0</v>
      </c>
      <c r="R981" s="0" t="n">
        <f aca="false">-G981*(O981/3600)</f>
        <v>-0.0217877123195923</v>
      </c>
      <c r="S981" s="0" t="n">
        <f aca="false">-1*I981-(H981*(P981/3600))</f>
        <v>-19.5</v>
      </c>
      <c r="T981" s="0" t="n">
        <f aca="false">-H981*(O981/3600)</f>
        <v>-0.00267429784503688</v>
      </c>
      <c r="U981" s="0" t="n">
        <f aca="false">T981-S981</f>
        <v>19.497325702155</v>
      </c>
      <c r="V981" s="0" t="n">
        <f aca="false">1/(1+EXP(U981))</f>
        <v>3.40736795101444E-009</v>
      </c>
      <c r="W981" s="0" t="n">
        <f aca="true">RAND()</f>
        <v>0.0950608023146602</v>
      </c>
      <c r="X981" s="0" t="n">
        <f aca="false">IF(W981&lt;V981,1,0)</f>
        <v>0</v>
      </c>
      <c r="Y981" s="0" t="n">
        <f aca="false">(M981*(1-X981)+N981*X981)*D981+M981*E981</f>
        <v>12239.9432111076</v>
      </c>
      <c r="Z981" s="0" t="n">
        <f aca="false">((1-X981)*O981+X981*P981)*D981+E981*O981</f>
        <v>10</v>
      </c>
      <c r="AA981" s="0" t="n">
        <f aca="false">IF(D981*X981&gt;0,AA980,Q981)</f>
        <v>0</v>
      </c>
      <c r="AB981" s="0" t="n">
        <f aca="false">(X981*D981)</f>
        <v>0</v>
      </c>
      <c r="AC981" s="0" t="n">
        <f aca="false">SUM(AB$10:AB980)/K981</f>
        <v>8.17665284898272E-005</v>
      </c>
      <c r="AD981" s="0" t="n">
        <f aca="false">R981*E981+D981*(X981*S981+(1-X981)*T981)</f>
        <v>-0.0217877123195923</v>
      </c>
      <c r="AE981" s="0" t="n">
        <f aca="false">Z981</f>
        <v>10</v>
      </c>
      <c r="AF981" s="0" t="n">
        <f aca="false">E981*O981</f>
        <v>10</v>
      </c>
      <c r="AG981" s="0" t="n">
        <f aca="false">((1-X981)*O981+X981*P981)*D981</f>
        <v>0</v>
      </c>
      <c r="AH981" s="0" t="n">
        <f aca="false">D981*(LN(EXP(S981)+EXP(T981)))</f>
        <v>-0</v>
      </c>
      <c r="AJ981" s="0" t="n">
        <f aca="false">$J$5</f>
        <v>10</v>
      </c>
      <c r="AK981" s="4" t="n">
        <f aca="false">AJ981+MAX(K981,AK$10:AK980)</f>
        <v>12239.9432111076</v>
      </c>
      <c r="AL981" s="5" t="n">
        <f aca="false">AK981-K981</f>
        <v>10</v>
      </c>
      <c r="AM981" s="0" t="n">
        <f aca="false">-G981*AL981/3600</f>
        <v>-0.0217877123195923</v>
      </c>
      <c r="AN981" s="0" t="n">
        <f aca="false">-H981*AL981/3600</f>
        <v>-0.00267429784503688</v>
      </c>
      <c r="AO981" s="0" t="n">
        <f aca="false">AM981*E981+AN981*D981</f>
        <v>-0.0217877123195923</v>
      </c>
      <c r="AP981" s="0" t="n">
        <f aca="false">AL981*D981</f>
        <v>0</v>
      </c>
      <c r="AR981" s="0" t="n">
        <f aca="false">AN981*D981</f>
        <v>-0</v>
      </c>
      <c r="AS981" s="0" t="n">
        <f aca="false">AH981-AR981</f>
        <v>0</v>
      </c>
    </row>
    <row r="982" customFormat="false" ht="12" hidden="false" customHeight="false" outlineLevel="0" collapsed="false">
      <c r="A982" s="3" t="n">
        <f aca="false">A981+1</f>
        <v>973</v>
      </c>
      <c r="B982" s="3" t="n">
        <f aca="false">IF(A982&lt;$N$4/3,0.1,(IF(A982&gt;2*$N$4/3,0.05,0.12)))</f>
        <v>0.05</v>
      </c>
      <c r="C982" s="4" t="n">
        <f aca="true">RAND()</f>
        <v>0.118282637231626</v>
      </c>
      <c r="D982" s="0" t="n">
        <f aca="false">IF((C982&gt;$M$2),1,0)</f>
        <v>0</v>
      </c>
      <c r="E982" s="0" t="n">
        <f aca="false">1-D982</f>
        <v>1</v>
      </c>
      <c r="F982" s="0" t="n">
        <f aca="true">RAND()</f>
        <v>0.321327041102887</v>
      </c>
      <c r="G982" s="0" t="n">
        <f aca="false">7.75+F982*10</f>
        <v>10.9632704110289</v>
      </c>
      <c r="H982" s="0" t="n">
        <f aca="false">LOGINV(F982,2.64,1.139)</f>
        <v>8.26073918866558</v>
      </c>
      <c r="I982" s="0" t="n">
        <v>19.5</v>
      </c>
      <c r="J982" s="4" t="n">
        <f aca="true">-LN(RAND())/B982</f>
        <v>5.84006998667124</v>
      </c>
      <c r="K982" s="4" t="n">
        <f aca="false">K981+J982</f>
        <v>12235.7832810943</v>
      </c>
      <c r="L982" s="4" t="n">
        <f aca="false">(1/$J$4)*(1+AB981)</f>
        <v>10</v>
      </c>
      <c r="M982" s="4" t="n">
        <f aca="false">L982+MAX(K982,Y$10:Y981)</f>
        <v>12249.9432111076</v>
      </c>
      <c r="N982" s="4" t="n">
        <f aca="false">K982</f>
        <v>12235.7832810943</v>
      </c>
      <c r="O982" s="4" t="n">
        <f aca="false">M982-K982</f>
        <v>14.1599300133294</v>
      </c>
      <c r="P982" s="4" t="n">
        <f aca="false">N982-K982</f>
        <v>0</v>
      </c>
      <c r="Q982" s="4" t="n">
        <f aca="false">A982-MATCH(K982,$M$9:M981,1)</f>
        <v>1</v>
      </c>
      <c r="R982" s="0" t="n">
        <f aca="false">-G982*(O982/3600)</f>
        <v>-0.043121983815937</v>
      </c>
      <c r="S982" s="0" t="n">
        <f aca="false">-1*I982-(H982*(P982/3600))</f>
        <v>-19.5</v>
      </c>
      <c r="T982" s="0" t="n">
        <f aca="false">-H982*(O982/3600)</f>
        <v>-0.0324920802138533</v>
      </c>
      <c r="U982" s="0" t="n">
        <f aca="false">T982-S982</f>
        <v>19.4675079197861</v>
      </c>
      <c r="V982" s="0" t="n">
        <f aca="false">1/(1+EXP(U982))</f>
        <v>3.51049802069149E-009</v>
      </c>
      <c r="W982" s="0" t="n">
        <f aca="true">RAND()</f>
        <v>0.624593084804533</v>
      </c>
      <c r="X982" s="0" t="n">
        <f aca="false">IF(W982&lt;V982,1,0)</f>
        <v>0</v>
      </c>
      <c r="Y982" s="0" t="n">
        <f aca="false">(M982*(1-X982)+N982*X982)*D982+M982*E982</f>
        <v>12249.9432111076</v>
      </c>
      <c r="Z982" s="0" t="n">
        <f aca="false">((1-X982)*O982+X982*P982)*D982+E982*O982</f>
        <v>14.1599300133294</v>
      </c>
      <c r="AA982" s="0" t="n">
        <f aca="false">IF(D982*X982&gt;0,AA981,Q982)</f>
        <v>1</v>
      </c>
      <c r="AB982" s="0" t="n">
        <f aca="false">(X982*D982)</f>
        <v>0</v>
      </c>
      <c r="AC982" s="0" t="n">
        <f aca="false">SUM(AB$10:AB981)/K982</f>
        <v>8.17275017893719E-005</v>
      </c>
      <c r="AD982" s="0" t="n">
        <f aca="false">R982*E982+D982*(X982*S982+(1-X982)*T982)</f>
        <v>-0.043121983815937</v>
      </c>
      <c r="AE982" s="0" t="n">
        <f aca="false">Z982</f>
        <v>14.1599300133294</v>
      </c>
      <c r="AF982" s="0" t="n">
        <f aca="false">E982*O982</f>
        <v>14.1599300133294</v>
      </c>
      <c r="AG982" s="0" t="n">
        <f aca="false">((1-X982)*O982+X982*P982)*D982</f>
        <v>0</v>
      </c>
      <c r="AH982" s="0" t="n">
        <f aca="false">D982*(LN(EXP(S982)+EXP(T982)))</f>
        <v>-0</v>
      </c>
      <c r="AJ982" s="0" t="n">
        <f aca="false">$J$5</f>
        <v>10</v>
      </c>
      <c r="AK982" s="4" t="n">
        <f aca="false">AJ982+MAX(K982,AK$10:AK981)</f>
        <v>12249.9432111076</v>
      </c>
      <c r="AL982" s="5" t="n">
        <f aca="false">AK982-K982</f>
        <v>14.1599300133294</v>
      </c>
      <c r="AM982" s="0" t="n">
        <f aca="false">-G982*AL982/3600</f>
        <v>-0.043121983815937</v>
      </c>
      <c r="AN982" s="0" t="n">
        <f aca="false">-H982*AL982/3600</f>
        <v>-0.0324920802138533</v>
      </c>
      <c r="AO982" s="0" t="n">
        <f aca="false">AM982*E982+AN982*D982</f>
        <v>-0.043121983815937</v>
      </c>
      <c r="AP982" s="0" t="n">
        <f aca="false">AL982*D982</f>
        <v>0</v>
      </c>
      <c r="AR982" s="0" t="n">
        <f aca="false">AN982*D982</f>
        <v>-0</v>
      </c>
      <c r="AS982" s="0" t="n">
        <f aca="false">AH982-AR982</f>
        <v>0</v>
      </c>
    </row>
    <row r="983" customFormat="false" ht="12" hidden="false" customHeight="false" outlineLevel="0" collapsed="false">
      <c r="A983" s="3" t="n">
        <f aca="false">A982+1</f>
        <v>974</v>
      </c>
      <c r="B983" s="3" t="n">
        <f aca="false">IF(A983&lt;$N$4/3,0.1,(IF(A983&gt;2*$N$4/3,0.05,0.12)))</f>
        <v>0.05</v>
      </c>
      <c r="C983" s="4" t="n">
        <f aca="true">RAND()</f>
        <v>0.0838462137124459</v>
      </c>
      <c r="D983" s="0" t="n">
        <f aca="false">IF((C983&gt;$M$2),1,0)</f>
        <v>0</v>
      </c>
      <c r="E983" s="0" t="n">
        <f aca="false">1-D983</f>
        <v>1</v>
      </c>
      <c r="F983" s="0" t="n">
        <f aca="true">RAND()</f>
        <v>0.816248494330168</v>
      </c>
      <c r="G983" s="0" t="n">
        <f aca="false">7.75+F983*10</f>
        <v>15.9124849433017</v>
      </c>
      <c r="H983" s="0" t="n">
        <f aca="false">LOGINV(F983,2.64,1.139)</f>
        <v>39.111704203256</v>
      </c>
      <c r="I983" s="0" t="n">
        <v>19.5</v>
      </c>
      <c r="J983" s="4" t="n">
        <f aca="true">-LN(RAND())/B983</f>
        <v>15.9265974046428</v>
      </c>
      <c r="K983" s="4" t="n">
        <f aca="false">K982+J983</f>
        <v>12251.7098784989</v>
      </c>
      <c r="L983" s="4" t="n">
        <f aca="false">(1/$J$4)*(1+AB982)</f>
        <v>10</v>
      </c>
      <c r="M983" s="4" t="n">
        <f aca="false">L983+MAX(K983,Y$10:Y982)</f>
        <v>12261.7098784989</v>
      </c>
      <c r="N983" s="4" t="n">
        <f aca="false">K983</f>
        <v>12251.7098784989</v>
      </c>
      <c r="O983" s="4" t="n">
        <f aca="false">M983-K983</f>
        <v>10</v>
      </c>
      <c r="P983" s="4" t="n">
        <f aca="false">N983-K983</f>
        <v>0</v>
      </c>
      <c r="Q983" s="4" t="n">
        <f aca="false">A983-MATCH(K983,$M$9:M982,1)</f>
        <v>0</v>
      </c>
      <c r="R983" s="0" t="n">
        <f aca="false">-G983*(O983/3600)</f>
        <v>-0.0442013470647269</v>
      </c>
      <c r="S983" s="0" t="n">
        <f aca="false">-1*I983-(H983*(P983/3600))</f>
        <v>-19.5</v>
      </c>
      <c r="T983" s="0" t="n">
        <f aca="false">-H983*(O983/3600)</f>
        <v>-0.108643622786822</v>
      </c>
      <c r="U983" s="0" t="n">
        <f aca="false">T983-S983</f>
        <v>19.3913563772132</v>
      </c>
      <c r="V983" s="0" t="n">
        <f aca="false">1/(1+EXP(U983))</f>
        <v>3.78827002061635E-009</v>
      </c>
      <c r="W983" s="0" t="n">
        <f aca="true">RAND()</f>
        <v>0.410157456232423</v>
      </c>
      <c r="X983" s="0" t="n">
        <f aca="false">IF(W983&lt;V983,1,0)</f>
        <v>0</v>
      </c>
      <c r="Y983" s="0" t="n">
        <f aca="false">(M983*(1-X983)+N983*X983)*D983+M983*E983</f>
        <v>12261.7098784989</v>
      </c>
      <c r="Z983" s="0" t="n">
        <f aca="false">((1-X983)*O983+X983*P983)*D983+E983*O983</f>
        <v>10</v>
      </c>
      <c r="AA983" s="0" t="n">
        <f aca="false">IF(D983*X983&gt;0,AA982,Q983)</f>
        <v>0</v>
      </c>
      <c r="AB983" s="0" t="n">
        <f aca="false">(X983*D983)</f>
        <v>0</v>
      </c>
      <c r="AC983" s="0" t="n">
        <f aca="false">SUM(AB$10:AB982)/K983</f>
        <v>8.1621260209152E-005</v>
      </c>
      <c r="AD983" s="0" t="n">
        <f aca="false">R983*E983+D983*(X983*S983+(1-X983)*T983)</f>
        <v>-0.0442013470647269</v>
      </c>
      <c r="AE983" s="0" t="n">
        <f aca="false">Z983</f>
        <v>10</v>
      </c>
      <c r="AF983" s="0" t="n">
        <f aca="false">E983*O983</f>
        <v>10</v>
      </c>
      <c r="AG983" s="0" t="n">
        <f aca="false">((1-X983)*O983+X983*P983)*D983</f>
        <v>0</v>
      </c>
      <c r="AH983" s="0" t="n">
        <f aca="false">D983*(LN(EXP(S983)+EXP(T983)))</f>
        <v>-0</v>
      </c>
      <c r="AJ983" s="0" t="n">
        <f aca="false">$J$5</f>
        <v>10</v>
      </c>
      <c r="AK983" s="4" t="n">
        <f aca="false">AJ983+MAX(K983,AK$10:AK982)</f>
        <v>12261.7098784989</v>
      </c>
      <c r="AL983" s="5" t="n">
        <f aca="false">AK983-K983</f>
        <v>10</v>
      </c>
      <c r="AM983" s="0" t="n">
        <f aca="false">-G983*AL983/3600</f>
        <v>-0.0442013470647269</v>
      </c>
      <c r="AN983" s="0" t="n">
        <f aca="false">-H983*AL983/3600</f>
        <v>-0.108643622786822</v>
      </c>
      <c r="AO983" s="0" t="n">
        <f aca="false">AM983*E983+AN983*D983</f>
        <v>-0.0442013470647269</v>
      </c>
      <c r="AP983" s="0" t="n">
        <f aca="false">AL983*D983</f>
        <v>0</v>
      </c>
      <c r="AR983" s="0" t="n">
        <f aca="false">AN983*D983</f>
        <v>-0</v>
      </c>
      <c r="AS983" s="0" t="n">
        <f aca="false">AH983-AR983</f>
        <v>0</v>
      </c>
    </row>
    <row r="984" customFormat="false" ht="12" hidden="false" customHeight="false" outlineLevel="0" collapsed="false">
      <c r="A984" s="3" t="n">
        <f aca="false">A983+1</f>
        <v>975</v>
      </c>
      <c r="B984" s="3" t="n">
        <f aca="false">IF(A984&lt;$N$4/3,0.1,(IF(A984&gt;2*$N$4/3,0.05,0.12)))</f>
        <v>0.05</v>
      </c>
      <c r="C984" s="4" t="n">
        <f aca="true">RAND()</f>
        <v>0.660531232515204</v>
      </c>
      <c r="D984" s="0" t="n">
        <f aca="false">IF((C984&gt;$M$2),1,0)</f>
        <v>0</v>
      </c>
      <c r="E984" s="0" t="n">
        <f aca="false">1-D984</f>
        <v>1</v>
      </c>
      <c r="F984" s="0" t="n">
        <f aca="true">RAND()</f>
        <v>0.447124385686533</v>
      </c>
      <c r="G984" s="0" t="n">
        <f aca="false">7.75+F984*10</f>
        <v>12.2212438568653</v>
      </c>
      <c r="H984" s="0" t="n">
        <f aca="false">LOGINV(F984,2.64,1.139)</f>
        <v>12.0443151149934</v>
      </c>
      <c r="I984" s="0" t="n">
        <v>19.5</v>
      </c>
      <c r="J984" s="4" t="n">
        <f aca="true">-LN(RAND())/B984</f>
        <v>8.24616512273726</v>
      </c>
      <c r="K984" s="4" t="n">
        <f aca="false">K983+J984</f>
        <v>12259.9560436217</v>
      </c>
      <c r="L984" s="4" t="n">
        <f aca="false">(1/$J$4)*(1+AB983)</f>
        <v>10</v>
      </c>
      <c r="M984" s="4" t="n">
        <f aca="false">L984+MAX(K984,Y$10:Y983)</f>
        <v>12271.7098784989</v>
      </c>
      <c r="N984" s="4" t="n">
        <f aca="false">K984</f>
        <v>12259.9560436217</v>
      </c>
      <c r="O984" s="4" t="n">
        <f aca="false">M984-K984</f>
        <v>11.7538348772632</v>
      </c>
      <c r="P984" s="4" t="n">
        <f aca="false">N984-K984</f>
        <v>0</v>
      </c>
      <c r="Q984" s="4" t="n">
        <f aca="false">A984-MATCH(K984,$M$9:M983,1)</f>
        <v>1</v>
      </c>
      <c r="R984" s="0" t="n">
        <f aca="false">-G984*(O984/3600)</f>
        <v>-0.0399018006356563</v>
      </c>
      <c r="S984" s="0" t="n">
        <f aca="false">-1*I984-(H984*(P984/3600))</f>
        <v>-19.5</v>
      </c>
      <c r="T984" s="0" t="n">
        <f aca="false">-H984*(O984/3600)</f>
        <v>-0.0393241364087105</v>
      </c>
      <c r="U984" s="0" t="n">
        <f aca="false">T984-S984</f>
        <v>19.4606758635913</v>
      </c>
      <c r="V984" s="0" t="n">
        <f aca="false">1/(1+EXP(U984))</f>
        <v>3.53456405700147E-009</v>
      </c>
      <c r="W984" s="0" t="n">
        <f aca="true">RAND()</f>
        <v>0.748113063024422</v>
      </c>
      <c r="X984" s="0" t="n">
        <f aca="false">IF(W984&lt;V984,1,0)</f>
        <v>0</v>
      </c>
      <c r="Y984" s="0" t="n">
        <f aca="false">(M984*(1-X984)+N984*X984)*D984+M984*E984</f>
        <v>12271.7098784989</v>
      </c>
      <c r="Z984" s="0" t="n">
        <f aca="false">((1-X984)*O984+X984*P984)*D984+E984*O984</f>
        <v>11.7538348772632</v>
      </c>
      <c r="AA984" s="0" t="n">
        <f aca="false">IF(D984*X984&gt;0,AA983,Q984)</f>
        <v>1</v>
      </c>
      <c r="AB984" s="0" t="n">
        <f aca="false">(X984*D984)</f>
        <v>0</v>
      </c>
      <c r="AC984" s="0" t="n">
        <f aca="false">SUM(AB$10:AB983)/K984</f>
        <v>8.15663609593655E-005</v>
      </c>
      <c r="AD984" s="0" t="n">
        <f aca="false">R984*E984+D984*(X984*S984+(1-X984)*T984)</f>
        <v>-0.0399018006356563</v>
      </c>
      <c r="AE984" s="0" t="n">
        <f aca="false">Z984</f>
        <v>11.7538348772632</v>
      </c>
      <c r="AF984" s="0" t="n">
        <f aca="false">E984*O984</f>
        <v>11.7538348772632</v>
      </c>
      <c r="AG984" s="0" t="n">
        <f aca="false">((1-X984)*O984+X984*P984)*D984</f>
        <v>0</v>
      </c>
      <c r="AH984" s="0" t="n">
        <f aca="false">D984*(LN(EXP(S984)+EXP(T984)))</f>
        <v>-0</v>
      </c>
      <c r="AJ984" s="0" t="n">
        <f aca="false">$J$5</f>
        <v>10</v>
      </c>
      <c r="AK984" s="4" t="n">
        <f aca="false">AJ984+MAX(K984,AK$10:AK983)</f>
        <v>12271.7098784989</v>
      </c>
      <c r="AL984" s="5" t="n">
        <f aca="false">AK984-K984</f>
        <v>11.7538348772632</v>
      </c>
      <c r="AM984" s="0" t="n">
        <f aca="false">-G984*AL984/3600</f>
        <v>-0.0399018006356563</v>
      </c>
      <c r="AN984" s="0" t="n">
        <f aca="false">-H984*AL984/3600</f>
        <v>-0.0393241364087105</v>
      </c>
      <c r="AO984" s="0" t="n">
        <f aca="false">AM984*E984+AN984*D984</f>
        <v>-0.0399018006356563</v>
      </c>
      <c r="AP984" s="0" t="n">
        <f aca="false">AL984*D984</f>
        <v>0</v>
      </c>
      <c r="AR984" s="0" t="n">
        <f aca="false">AN984*D984</f>
        <v>-0</v>
      </c>
      <c r="AS984" s="0" t="n">
        <f aca="false">AH984-AR984</f>
        <v>0</v>
      </c>
    </row>
    <row r="985" customFormat="false" ht="12" hidden="false" customHeight="false" outlineLevel="0" collapsed="false">
      <c r="A985" s="3" t="n">
        <f aca="false">A984+1</f>
        <v>976</v>
      </c>
      <c r="B985" s="3" t="n">
        <f aca="false">IF(A985&lt;$N$4/3,0.1,(IF(A985&gt;2*$N$4/3,0.05,0.12)))</f>
        <v>0.05</v>
      </c>
      <c r="C985" s="4" t="n">
        <f aca="true">RAND()</f>
        <v>0.76189128531357</v>
      </c>
      <c r="D985" s="0" t="n">
        <f aca="false">IF((C985&gt;$M$2),1,0)</f>
        <v>0</v>
      </c>
      <c r="E985" s="0" t="n">
        <f aca="false">1-D985</f>
        <v>1</v>
      </c>
      <c r="F985" s="0" t="n">
        <f aca="true">RAND()</f>
        <v>0.635144517506271</v>
      </c>
      <c r="G985" s="0" t="n">
        <f aca="false">7.75+F985*10</f>
        <v>14.1014451750627</v>
      </c>
      <c r="H985" s="0" t="n">
        <f aca="false">LOGINV(F985,2.64,1.139)</f>
        <v>20.7705461680181</v>
      </c>
      <c r="I985" s="0" t="n">
        <v>19.5</v>
      </c>
      <c r="J985" s="4" t="n">
        <f aca="true">-LN(RAND())/B985</f>
        <v>5.31664907291334</v>
      </c>
      <c r="K985" s="4" t="n">
        <f aca="false">K984+J985</f>
        <v>12265.2726926946</v>
      </c>
      <c r="L985" s="4" t="n">
        <f aca="false">(1/$J$4)*(1+AB984)</f>
        <v>10</v>
      </c>
      <c r="M985" s="4" t="n">
        <f aca="false">L985+MAX(K985,Y$10:Y984)</f>
        <v>12281.7098784989</v>
      </c>
      <c r="N985" s="4" t="n">
        <f aca="false">K985</f>
        <v>12265.2726926946</v>
      </c>
      <c r="O985" s="4" t="n">
        <f aca="false">M985-K985</f>
        <v>16.4371858043505</v>
      </c>
      <c r="P985" s="4" t="n">
        <f aca="false">N985-K985</f>
        <v>0</v>
      </c>
      <c r="Q985" s="4" t="n">
        <f aca="false">A985-MATCH(K985,$M$9:M984,1)</f>
        <v>1</v>
      </c>
      <c r="R985" s="0" t="n">
        <f aca="false">-G985*(O985/3600)</f>
        <v>-0.0643855762367689</v>
      </c>
      <c r="S985" s="0" t="n">
        <f aca="false">-1*I985-(H985*(P985/3600))</f>
        <v>-19.5</v>
      </c>
      <c r="T985" s="0" t="n">
        <f aca="false">-H985*(O985/3600)</f>
        <v>-0.0948359240615428</v>
      </c>
      <c r="U985" s="0" t="n">
        <f aca="false">T985-S985</f>
        <v>19.4051640759385</v>
      </c>
      <c r="V985" s="0" t="n">
        <f aca="false">1/(1+EXP(U985))</f>
        <v>3.73632219496956E-009</v>
      </c>
      <c r="W985" s="0" t="n">
        <f aca="true">RAND()</f>
        <v>0.175675827394114</v>
      </c>
      <c r="X985" s="0" t="n">
        <f aca="false">IF(W985&lt;V985,1,0)</f>
        <v>0</v>
      </c>
      <c r="Y985" s="0" t="n">
        <f aca="false">(M985*(1-X985)+N985*X985)*D985+M985*E985</f>
        <v>12281.7098784989</v>
      </c>
      <c r="Z985" s="0" t="n">
        <f aca="false">((1-X985)*O985+X985*P985)*D985+E985*O985</f>
        <v>16.4371858043505</v>
      </c>
      <c r="AA985" s="0" t="n">
        <f aca="false">IF(D985*X985&gt;0,AA984,Q985)</f>
        <v>1</v>
      </c>
      <c r="AB985" s="0" t="n">
        <f aca="false">(X985*D985)</f>
        <v>0</v>
      </c>
      <c r="AC985" s="0" t="n">
        <f aca="false">SUM(AB$10:AB984)/K985</f>
        <v>8.15310042471064E-005</v>
      </c>
      <c r="AD985" s="0" t="n">
        <f aca="false">R985*E985+D985*(X985*S985+(1-X985)*T985)</f>
        <v>-0.0643855762367689</v>
      </c>
      <c r="AE985" s="0" t="n">
        <f aca="false">Z985</f>
        <v>16.4371858043505</v>
      </c>
      <c r="AF985" s="0" t="n">
        <f aca="false">E985*O985</f>
        <v>16.4371858043505</v>
      </c>
      <c r="AG985" s="0" t="n">
        <f aca="false">((1-X985)*O985+X985*P985)*D985</f>
        <v>0</v>
      </c>
      <c r="AH985" s="0" t="n">
        <f aca="false">D985*(LN(EXP(S985)+EXP(T985)))</f>
        <v>-0</v>
      </c>
      <c r="AJ985" s="0" t="n">
        <f aca="false">$J$5</f>
        <v>10</v>
      </c>
      <c r="AK985" s="4" t="n">
        <f aca="false">AJ985+MAX(K985,AK$10:AK984)</f>
        <v>12281.7098784989</v>
      </c>
      <c r="AL985" s="5" t="n">
        <f aca="false">AK985-K985</f>
        <v>16.4371858043505</v>
      </c>
      <c r="AM985" s="0" t="n">
        <f aca="false">-G985*AL985/3600</f>
        <v>-0.0643855762367689</v>
      </c>
      <c r="AN985" s="0" t="n">
        <f aca="false">-H985*AL985/3600</f>
        <v>-0.0948359240615428</v>
      </c>
      <c r="AO985" s="0" t="n">
        <f aca="false">AM985*E985+AN985*D985</f>
        <v>-0.0643855762367689</v>
      </c>
      <c r="AP985" s="0" t="n">
        <f aca="false">AL985*D985</f>
        <v>0</v>
      </c>
      <c r="AR985" s="0" t="n">
        <f aca="false">AN985*D985</f>
        <v>-0</v>
      </c>
      <c r="AS985" s="0" t="n">
        <f aca="false">AH985-AR985</f>
        <v>0</v>
      </c>
    </row>
    <row r="986" customFormat="false" ht="12" hidden="false" customHeight="false" outlineLevel="0" collapsed="false">
      <c r="A986" s="3" t="n">
        <f aca="false">A985+1</f>
        <v>977</v>
      </c>
      <c r="B986" s="3" t="n">
        <f aca="false">IF(A986&lt;$N$4/3,0.1,(IF(A986&gt;2*$N$4/3,0.05,0.12)))</f>
        <v>0.05</v>
      </c>
      <c r="C986" s="4" t="n">
        <f aca="true">RAND()</f>
        <v>0.541813985241962</v>
      </c>
      <c r="D986" s="0" t="n">
        <f aca="false">IF((C986&gt;$M$2),1,0)</f>
        <v>0</v>
      </c>
      <c r="E986" s="0" t="n">
        <f aca="false">1-D986</f>
        <v>1</v>
      </c>
      <c r="F986" s="0" t="n">
        <f aca="true">RAND()</f>
        <v>0.114222712526841</v>
      </c>
      <c r="G986" s="0" t="n">
        <f aca="false">7.75+F986*10</f>
        <v>8.89222712526841</v>
      </c>
      <c r="H986" s="0" t="n">
        <f aca="false">LOGINV(F986,2.64,1.139)</f>
        <v>3.5545166843542</v>
      </c>
      <c r="I986" s="0" t="n">
        <v>19.5</v>
      </c>
      <c r="J986" s="4" t="n">
        <f aca="true">-LN(RAND())/B986</f>
        <v>9.96194397594437</v>
      </c>
      <c r="K986" s="4" t="n">
        <f aca="false">K985+J986</f>
        <v>12275.2346366705</v>
      </c>
      <c r="L986" s="4" t="n">
        <f aca="false">(1/$J$4)*(1+AB985)</f>
        <v>10</v>
      </c>
      <c r="M986" s="4" t="n">
        <f aca="false">L986+MAX(K986,Y$10:Y985)</f>
        <v>12291.7098784989</v>
      </c>
      <c r="N986" s="4" t="n">
        <f aca="false">K986</f>
        <v>12275.2346366705</v>
      </c>
      <c r="O986" s="4" t="n">
        <f aca="false">M986-K986</f>
        <v>16.4752418284061</v>
      </c>
      <c r="P986" s="4" t="n">
        <f aca="false">N986-K986</f>
        <v>0</v>
      </c>
      <c r="Q986" s="4" t="n">
        <f aca="false">A986-MATCH(K986,$M$9:M985,1)</f>
        <v>1</v>
      </c>
      <c r="R986" s="0" t="n">
        <f aca="false">-G986*(O986/3600)</f>
        <v>-0.0406948867449748</v>
      </c>
      <c r="S986" s="0" t="n">
        <f aca="false">-1*I986-(H986*(P986/3600))</f>
        <v>-19.5</v>
      </c>
      <c r="T986" s="0" t="n">
        <f aca="false">-H986*(O986/3600)</f>
        <v>-0.0162670894327332</v>
      </c>
      <c r="U986" s="0" t="n">
        <f aca="false">T986-S986</f>
        <v>19.4837329105673</v>
      </c>
      <c r="V986" s="0" t="n">
        <f aca="false">1/(1+EXP(U986))</f>
        <v>3.45399980381508E-009</v>
      </c>
      <c r="W986" s="0" t="n">
        <f aca="true">RAND()</f>
        <v>0.929557869576325</v>
      </c>
      <c r="X986" s="0" t="n">
        <f aca="false">IF(W986&lt;V986,1,0)</f>
        <v>0</v>
      </c>
      <c r="Y986" s="0" t="n">
        <f aca="false">(M986*(1-X986)+N986*X986)*D986+M986*E986</f>
        <v>12291.7098784989</v>
      </c>
      <c r="Z986" s="0" t="n">
        <f aca="false">((1-X986)*O986+X986*P986)*D986+E986*O986</f>
        <v>16.4752418284061</v>
      </c>
      <c r="AA986" s="0" t="n">
        <f aca="false">IF(D986*X986&gt;0,AA985,Q986)</f>
        <v>1</v>
      </c>
      <c r="AB986" s="0" t="n">
        <f aca="false">(X986*D986)</f>
        <v>0</v>
      </c>
      <c r="AC986" s="0" t="n">
        <f aca="false">SUM(AB$10:AB985)/K986</f>
        <v>8.14648379113375E-005</v>
      </c>
      <c r="AD986" s="0" t="n">
        <f aca="false">R986*E986+D986*(X986*S986+(1-X986)*T986)</f>
        <v>-0.0406948867449748</v>
      </c>
      <c r="AE986" s="0" t="n">
        <f aca="false">Z986</f>
        <v>16.4752418284061</v>
      </c>
      <c r="AF986" s="0" t="n">
        <f aca="false">E986*O986</f>
        <v>16.4752418284061</v>
      </c>
      <c r="AG986" s="0" t="n">
        <f aca="false">((1-X986)*O986+X986*P986)*D986</f>
        <v>0</v>
      </c>
      <c r="AH986" s="0" t="n">
        <f aca="false">D986*(LN(EXP(S986)+EXP(T986)))</f>
        <v>-0</v>
      </c>
      <c r="AJ986" s="0" t="n">
        <f aca="false">$J$5</f>
        <v>10</v>
      </c>
      <c r="AK986" s="4" t="n">
        <f aca="false">AJ986+MAX(K986,AK$10:AK985)</f>
        <v>12291.7098784989</v>
      </c>
      <c r="AL986" s="5" t="n">
        <f aca="false">AK986-K986</f>
        <v>16.4752418284061</v>
      </c>
      <c r="AM986" s="0" t="n">
        <f aca="false">-G986*AL986/3600</f>
        <v>-0.0406948867449748</v>
      </c>
      <c r="AN986" s="0" t="n">
        <f aca="false">-H986*AL986/3600</f>
        <v>-0.0162670894327332</v>
      </c>
      <c r="AO986" s="0" t="n">
        <f aca="false">AM986*E986+AN986*D986</f>
        <v>-0.0406948867449748</v>
      </c>
      <c r="AP986" s="0" t="n">
        <f aca="false">AL986*D986</f>
        <v>0</v>
      </c>
      <c r="AR986" s="0" t="n">
        <f aca="false">AN986*D986</f>
        <v>-0</v>
      </c>
      <c r="AS986" s="0" t="n">
        <f aca="false">AH986-AR986</f>
        <v>0</v>
      </c>
    </row>
    <row r="987" customFormat="false" ht="12" hidden="false" customHeight="false" outlineLevel="0" collapsed="false">
      <c r="A987" s="3" t="n">
        <f aca="false">A986+1</f>
        <v>978</v>
      </c>
      <c r="B987" s="3" t="n">
        <f aca="false">IF(A987&lt;$N$4/3,0.1,(IF(A987&gt;2*$N$4/3,0.05,0.12)))</f>
        <v>0.05</v>
      </c>
      <c r="C987" s="4" t="n">
        <f aca="true">RAND()</f>
        <v>0.705430804012047</v>
      </c>
      <c r="D987" s="0" t="n">
        <f aca="false">IF((C987&gt;$M$2),1,0)</f>
        <v>0</v>
      </c>
      <c r="E987" s="0" t="n">
        <f aca="false">1-D987</f>
        <v>1</v>
      </c>
      <c r="F987" s="0" t="n">
        <f aca="true">RAND()</f>
        <v>0.364891763475978</v>
      </c>
      <c r="G987" s="0" t="n">
        <f aca="false">7.75+F987*10</f>
        <v>11.3989176347598</v>
      </c>
      <c r="H987" s="0" t="n">
        <f aca="false">LOGINV(F987,2.64,1.139)</f>
        <v>9.45528665672474</v>
      </c>
      <c r="I987" s="0" t="n">
        <v>19.5</v>
      </c>
      <c r="J987" s="4" t="n">
        <f aca="true">-LN(RAND())/B987</f>
        <v>6.82268744169059</v>
      </c>
      <c r="K987" s="4" t="n">
        <f aca="false">K986+J987</f>
        <v>12282.0573241122</v>
      </c>
      <c r="L987" s="4" t="n">
        <f aca="false">(1/$J$4)*(1+AB986)</f>
        <v>10</v>
      </c>
      <c r="M987" s="4" t="n">
        <f aca="false">L987+MAX(K987,Y$10:Y986)</f>
        <v>12301.7098784989</v>
      </c>
      <c r="N987" s="4" t="n">
        <f aca="false">K987</f>
        <v>12282.0573241122</v>
      </c>
      <c r="O987" s="4" t="n">
        <f aca="false">M987-K987</f>
        <v>19.6525543867156</v>
      </c>
      <c r="P987" s="4" t="n">
        <f aca="false">N987-K987</f>
        <v>0</v>
      </c>
      <c r="Q987" s="4" t="n">
        <f aca="false">A987-MATCH(K987,$M$9:M986,1)</f>
        <v>1</v>
      </c>
      <c r="R987" s="0" t="n">
        <f aca="false">-G987*(O987/3600)</f>
        <v>-0.0622271802130022</v>
      </c>
      <c r="S987" s="0" t="n">
        <f aca="false">-1*I987-(H987*(P987/3600))</f>
        <v>-19.5</v>
      </c>
      <c r="T987" s="0" t="n">
        <f aca="false">-H987*(O987/3600)</f>
        <v>-0.051616815350908</v>
      </c>
      <c r="U987" s="0" t="n">
        <f aca="false">T987-S987</f>
        <v>19.4483831846491</v>
      </c>
      <c r="V987" s="0" t="n">
        <f aca="false">1/(1+EXP(U987))</f>
        <v>3.57828146954768E-009</v>
      </c>
      <c r="W987" s="0" t="n">
        <f aca="true">RAND()</f>
        <v>0.464425407537255</v>
      </c>
      <c r="X987" s="0" t="n">
        <f aca="false">IF(W987&lt;V987,1,0)</f>
        <v>0</v>
      </c>
      <c r="Y987" s="0" t="n">
        <f aca="false">(M987*(1-X987)+N987*X987)*D987+M987*E987</f>
        <v>12301.7098784989</v>
      </c>
      <c r="Z987" s="0" t="n">
        <f aca="false">((1-X987)*O987+X987*P987)*D987+E987*O987</f>
        <v>19.6525543867156</v>
      </c>
      <c r="AA987" s="0" t="n">
        <f aca="false">IF(D987*X987&gt;0,AA986,Q987)</f>
        <v>1</v>
      </c>
      <c r="AB987" s="0" t="n">
        <f aca="false">(X987*D987)</f>
        <v>0</v>
      </c>
      <c r="AC987" s="0" t="n">
        <f aca="false">SUM(AB$10:AB986)/K987</f>
        <v>8.1419584163379E-005</v>
      </c>
      <c r="AD987" s="0" t="n">
        <f aca="false">R987*E987+D987*(X987*S987+(1-X987)*T987)</f>
        <v>-0.0622271802130022</v>
      </c>
      <c r="AE987" s="0" t="n">
        <f aca="false">Z987</f>
        <v>19.6525543867156</v>
      </c>
      <c r="AF987" s="0" t="n">
        <f aca="false">E987*O987</f>
        <v>19.6525543867156</v>
      </c>
      <c r="AG987" s="0" t="n">
        <f aca="false">((1-X987)*O987+X987*P987)*D987</f>
        <v>0</v>
      </c>
      <c r="AH987" s="0" t="n">
        <f aca="false">D987*(LN(EXP(S987)+EXP(T987)))</f>
        <v>-0</v>
      </c>
      <c r="AJ987" s="0" t="n">
        <f aca="false">$J$5</f>
        <v>10</v>
      </c>
      <c r="AK987" s="4" t="n">
        <f aca="false">AJ987+MAX(K987,AK$10:AK986)</f>
        <v>12301.7098784989</v>
      </c>
      <c r="AL987" s="5" t="n">
        <f aca="false">AK987-K987</f>
        <v>19.6525543867156</v>
      </c>
      <c r="AM987" s="0" t="n">
        <f aca="false">-G987*AL987/3600</f>
        <v>-0.0622271802130022</v>
      </c>
      <c r="AN987" s="0" t="n">
        <f aca="false">-H987*AL987/3600</f>
        <v>-0.051616815350908</v>
      </c>
      <c r="AO987" s="0" t="n">
        <f aca="false">AM987*E987+AN987*D987</f>
        <v>-0.0622271802130022</v>
      </c>
      <c r="AP987" s="0" t="n">
        <f aca="false">AL987*D987</f>
        <v>0</v>
      </c>
      <c r="AR987" s="0" t="n">
        <f aca="false">AN987*D987</f>
        <v>-0</v>
      </c>
      <c r="AS987" s="0" t="n">
        <f aca="false">AH987-AR987</f>
        <v>0</v>
      </c>
    </row>
    <row r="988" customFormat="false" ht="12" hidden="false" customHeight="false" outlineLevel="0" collapsed="false">
      <c r="A988" s="3" t="n">
        <f aca="false">A987+1</f>
        <v>979</v>
      </c>
      <c r="B988" s="3" t="n">
        <f aca="false">IF(A988&lt;$N$4/3,0.1,(IF(A988&gt;2*$N$4/3,0.05,0.12)))</f>
        <v>0.05</v>
      </c>
      <c r="C988" s="4" t="n">
        <f aca="true">RAND()</f>
        <v>0.563009820605517</v>
      </c>
      <c r="D988" s="0" t="n">
        <f aca="false">IF((C988&gt;$M$2),1,0)</f>
        <v>0</v>
      </c>
      <c r="E988" s="0" t="n">
        <f aca="false">1-D988</f>
        <v>1</v>
      </c>
      <c r="F988" s="0" t="n">
        <f aca="true">RAND()</f>
        <v>0.107149930501153</v>
      </c>
      <c r="G988" s="0" t="n">
        <f aca="false">7.75+F988*10</f>
        <v>8.82149930501153</v>
      </c>
      <c r="H988" s="0" t="n">
        <f aca="false">LOGINV(F988,2.64,1.139)</f>
        <v>3.40606405234394</v>
      </c>
      <c r="I988" s="0" t="n">
        <v>19.5</v>
      </c>
      <c r="J988" s="4" t="n">
        <f aca="true">-LN(RAND())/B988</f>
        <v>62.0592936927431</v>
      </c>
      <c r="K988" s="4" t="n">
        <f aca="false">K987+J988</f>
        <v>12344.116617805</v>
      </c>
      <c r="L988" s="4" t="n">
        <f aca="false">(1/$J$4)*(1+AB987)</f>
        <v>10</v>
      </c>
      <c r="M988" s="4" t="n">
        <f aca="false">L988+MAX(K988,Y$10:Y987)</f>
        <v>12354.116617805</v>
      </c>
      <c r="N988" s="4" t="n">
        <f aca="false">K988</f>
        <v>12344.116617805</v>
      </c>
      <c r="O988" s="4" t="n">
        <f aca="false">M988-K988</f>
        <v>10</v>
      </c>
      <c r="P988" s="4" t="n">
        <f aca="false">N988-K988</f>
        <v>0</v>
      </c>
      <c r="Q988" s="4" t="n">
        <f aca="false">A988-MATCH(K988,$M$9:M987,1)</f>
        <v>0</v>
      </c>
      <c r="R988" s="0" t="n">
        <f aca="false">-G988*(O988/3600)</f>
        <v>-0.0245041647361431</v>
      </c>
      <c r="S988" s="0" t="n">
        <f aca="false">-1*I988-(H988*(P988/3600))</f>
        <v>-19.5</v>
      </c>
      <c r="T988" s="0" t="n">
        <f aca="false">-H988*(O988/3600)</f>
        <v>-0.00946128903428874</v>
      </c>
      <c r="U988" s="0" t="n">
        <f aca="false">T988-S988</f>
        <v>19.4905387109657</v>
      </c>
      <c r="V988" s="0" t="n">
        <f aca="false">1/(1+EXP(U988))</f>
        <v>3.43057238225983E-009</v>
      </c>
      <c r="W988" s="0" t="n">
        <f aca="true">RAND()</f>
        <v>0.18194409963289</v>
      </c>
      <c r="X988" s="0" t="n">
        <f aca="false">IF(W988&lt;V988,1,0)</f>
        <v>0</v>
      </c>
      <c r="Y988" s="0" t="n">
        <f aca="false">(M988*(1-X988)+N988*X988)*D988+M988*E988</f>
        <v>12354.116617805</v>
      </c>
      <c r="Z988" s="0" t="n">
        <f aca="false">((1-X988)*O988+X988*P988)*D988+E988*O988</f>
        <v>10</v>
      </c>
      <c r="AA988" s="0" t="n">
        <f aca="false">IF(D988*X988&gt;0,AA987,Q988)</f>
        <v>0</v>
      </c>
      <c r="AB988" s="0" t="n">
        <f aca="false">(X988*D988)</f>
        <v>0</v>
      </c>
      <c r="AC988" s="0" t="n">
        <f aca="false">SUM(AB$10:AB987)/K988</f>
        <v>8.10102521680341E-005</v>
      </c>
      <c r="AD988" s="0" t="n">
        <f aca="false">R988*E988+D988*(X988*S988+(1-X988)*T988)</f>
        <v>-0.0245041647361431</v>
      </c>
      <c r="AE988" s="0" t="n">
        <f aca="false">Z988</f>
        <v>10</v>
      </c>
      <c r="AF988" s="0" t="n">
        <f aca="false">E988*O988</f>
        <v>10</v>
      </c>
      <c r="AG988" s="0" t="n">
        <f aca="false">((1-X988)*O988+X988*P988)*D988</f>
        <v>0</v>
      </c>
      <c r="AH988" s="0" t="n">
        <f aca="false">D988*(LN(EXP(S988)+EXP(T988)))</f>
        <v>-0</v>
      </c>
      <c r="AJ988" s="0" t="n">
        <f aca="false">$J$5</f>
        <v>10</v>
      </c>
      <c r="AK988" s="4" t="n">
        <f aca="false">AJ988+MAX(K988,AK$10:AK987)</f>
        <v>12354.116617805</v>
      </c>
      <c r="AL988" s="5" t="n">
        <f aca="false">AK988-K988</f>
        <v>10</v>
      </c>
      <c r="AM988" s="0" t="n">
        <f aca="false">-G988*AL988/3600</f>
        <v>-0.0245041647361431</v>
      </c>
      <c r="AN988" s="0" t="n">
        <f aca="false">-H988*AL988/3600</f>
        <v>-0.00946128903428874</v>
      </c>
      <c r="AO988" s="0" t="n">
        <f aca="false">AM988*E988+AN988*D988</f>
        <v>-0.0245041647361431</v>
      </c>
      <c r="AP988" s="0" t="n">
        <f aca="false">AL988*D988</f>
        <v>0</v>
      </c>
      <c r="AR988" s="0" t="n">
        <f aca="false">AN988*D988</f>
        <v>-0</v>
      </c>
      <c r="AS988" s="0" t="n">
        <f aca="false">AH988-AR988</f>
        <v>0</v>
      </c>
    </row>
    <row r="989" customFormat="false" ht="12" hidden="false" customHeight="false" outlineLevel="0" collapsed="false">
      <c r="A989" s="3" t="n">
        <f aca="false">A988+1</f>
        <v>980</v>
      </c>
      <c r="B989" s="3" t="n">
        <f aca="false">IF(A989&lt;$N$4/3,0.1,(IF(A989&gt;2*$N$4/3,0.05,0.12)))</f>
        <v>0.05</v>
      </c>
      <c r="C989" s="4" t="n">
        <f aca="true">RAND()</f>
        <v>0.284802115894646</v>
      </c>
      <c r="D989" s="0" t="n">
        <f aca="false">IF((C989&gt;$M$2),1,0)</f>
        <v>0</v>
      </c>
      <c r="E989" s="0" t="n">
        <f aca="false">1-D989</f>
        <v>1</v>
      </c>
      <c r="F989" s="0" t="n">
        <f aca="true">RAND()</f>
        <v>0.721029097781848</v>
      </c>
      <c r="G989" s="0" t="n">
        <f aca="false">7.75+F989*10</f>
        <v>14.9602909778185</v>
      </c>
      <c r="H989" s="0" t="n">
        <f aca="false">LOGINV(F989,2.64,1.139)</f>
        <v>27.3124228239343</v>
      </c>
      <c r="I989" s="0" t="n">
        <v>19.5</v>
      </c>
      <c r="J989" s="4" t="n">
        <f aca="true">-LN(RAND())/B989</f>
        <v>4.4999295449745</v>
      </c>
      <c r="K989" s="4" t="n">
        <f aca="false">K988+J989</f>
        <v>12348.6165473499</v>
      </c>
      <c r="L989" s="4" t="n">
        <f aca="false">(1/$J$4)*(1+AB988)</f>
        <v>10</v>
      </c>
      <c r="M989" s="4" t="n">
        <f aca="false">L989+MAX(K989,Y$10:Y988)</f>
        <v>12364.116617805</v>
      </c>
      <c r="N989" s="4" t="n">
        <f aca="false">K989</f>
        <v>12348.6165473499</v>
      </c>
      <c r="O989" s="4" t="n">
        <f aca="false">M989-K989</f>
        <v>15.5000704550257</v>
      </c>
      <c r="P989" s="4" t="n">
        <f aca="false">N989-K989</f>
        <v>0</v>
      </c>
      <c r="Q989" s="4" t="n">
        <f aca="false">A989-MATCH(K989,$M$9:M988,1)</f>
        <v>1</v>
      </c>
      <c r="R989" s="0" t="n">
        <f aca="false">-G989*(O989/3600)</f>
        <v>-0.0644126567177422</v>
      </c>
      <c r="S989" s="0" t="n">
        <f aca="false">-1*I989-(H989*(P989/3600))</f>
        <v>-19.5</v>
      </c>
      <c r="T989" s="0" t="n">
        <f aca="false">-H989*(O989/3600)</f>
        <v>-0.117595688352343</v>
      </c>
      <c r="U989" s="0" t="n">
        <f aca="false">T989-S989</f>
        <v>19.3824043116477</v>
      </c>
      <c r="V989" s="0" t="n">
        <f aca="false">1/(1+EXP(U989))</f>
        <v>3.82233511105649E-009</v>
      </c>
      <c r="W989" s="0" t="n">
        <f aca="true">RAND()</f>
        <v>0.0516861065023782</v>
      </c>
      <c r="X989" s="0" t="n">
        <f aca="false">IF(W989&lt;V989,1,0)</f>
        <v>0</v>
      </c>
      <c r="Y989" s="0" t="n">
        <f aca="false">(M989*(1-X989)+N989*X989)*D989+M989*E989</f>
        <v>12364.116617805</v>
      </c>
      <c r="Z989" s="0" t="n">
        <f aca="false">((1-X989)*O989+X989*P989)*D989+E989*O989</f>
        <v>15.5000704550257</v>
      </c>
      <c r="AA989" s="0" t="n">
        <f aca="false">IF(D989*X989&gt;0,AA988,Q989)</f>
        <v>1</v>
      </c>
      <c r="AB989" s="0" t="n">
        <f aca="false">(X989*D989)</f>
        <v>0</v>
      </c>
      <c r="AC989" s="0" t="n">
        <f aca="false">SUM(AB$10:AB988)/K989</f>
        <v>8.098073141761E-005</v>
      </c>
      <c r="AD989" s="0" t="n">
        <f aca="false">R989*E989+D989*(X989*S989+(1-X989)*T989)</f>
        <v>-0.0644126567177422</v>
      </c>
      <c r="AE989" s="0" t="n">
        <f aca="false">Z989</f>
        <v>15.5000704550257</v>
      </c>
      <c r="AF989" s="0" t="n">
        <f aca="false">E989*O989</f>
        <v>15.5000704550257</v>
      </c>
      <c r="AG989" s="0" t="n">
        <f aca="false">((1-X989)*O989+X989*P989)*D989</f>
        <v>0</v>
      </c>
      <c r="AH989" s="0" t="n">
        <f aca="false">D989*(LN(EXP(S989)+EXP(T989)))</f>
        <v>-0</v>
      </c>
      <c r="AJ989" s="0" t="n">
        <f aca="false">$J$5</f>
        <v>10</v>
      </c>
      <c r="AK989" s="4" t="n">
        <f aca="false">AJ989+MAX(K989,AK$10:AK988)</f>
        <v>12364.116617805</v>
      </c>
      <c r="AL989" s="5" t="n">
        <f aca="false">AK989-K989</f>
        <v>15.5000704550257</v>
      </c>
      <c r="AM989" s="0" t="n">
        <f aca="false">-G989*AL989/3600</f>
        <v>-0.0644126567177422</v>
      </c>
      <c r="AN989" s="0" t="n">
        <f aca="false">-H989*AL989/3600</f>
        <v>-0.117595688352343</v>
      </c>
      <c r="AO989" s="0" t="n">
        <f aca="false">AM989*E989+AN989*D989</f>
        <v>-0.0644126567177422</v>
      </c>
      <c r="AP989" s="0" t="n">
        <f aca="false">AL989*D989</f>
        <v>0</v>
      </c>
      <c r="AR989" s="0" t="n">
        <f aca="false">AN989*D989</f>
        <v>-0</v>
      </c>
      <c r="AS989" s="0" t="n">
        <f aca="false">AH989-AR989</f>
        <v>0</v>
      </c>
    </row>
    <row r="990" customFormat="false" ht="12" hidden="false" customHeight="false" outlineLevel="0" collapsed="false">
      <c r="A990" s="3" t="n">
        <f aca="false">A989+1</f>
        <v>981</v>
      </c>
      <c r="B990" s="3" t="n">
        <f aca="false">IF(A990&lt;$N$4/3,0.1,(IF(A990&gt;2*$N$4/3,0.05,0.12)))</f>
        <v>0.05</v>
      </c>
      <c r="C990" s="4" t="n">
        <f aca="true">RAND()</f>
        <v>0.382062760382181</v>
      </c>
      <c r="D990" s="0" t="n">
        <f aca="false">IF((C990&gt;$M$2),1,0)</f>
        <v>0</v>
      </c>
      <c r="E990" s="0" t="n">
        <f aca="false">1-D990</f>
        <v>1</v>
      </c>
      <c r="F990" s="0" t="n">
        <f aca="true">RAND()</f>
        <v>0.91035274381045</v>
      </c>
      <c r="G990" s="0" t="n">
        <f aca="false">7.75+F990*10</f>
        <v>16.8535274381045</v>
      </c>
      <c r="H990" s="0" t="n">
        <f aca="false">LOGINV(F990,2.64,1.139)</f>
        <v>64.6894238144184</v>
      </c>
      <c r="I990" s="0" t="n">
        <v>19.5</v>
      </c>
      <c r="J990" s="4" t="n">
        <f aca="true">-LN(RAND())/B990</f>
        <v>26.066835545523</v>
      </c>
      <c r="K990" s="4" t="n">
        <f aca="false">K989+J990</f>
        <v>12374.6833828955</v>
      </c>
      <c r="L990" s="4" t="n">
        <f aca="false">(1/$J$4)*(1+AB989)</f>
        <v>10</v>
      </c>
      <c r="M990" s="4" t="n">
        <f aca="false">L990+MAX(K990,Y$10:Y989)</f>
        <v>12384.6833828955</v>
      </c>
      <c r="N990" s="4" t="n">
        <f aca="false">K990</f>
        <v>12374.6833828955</v>
      </c>
      <c r="O990" s="4" t="n">
        <f aca="false">M990-K990</f>
        <v>10</v>
      </c>
      <c r="P990" s="4" t="n">
        <f aca="false">N990-K990</f>
        <v>0</v>
      </c>
      <c r="Q990" s="4" t="n">
        <f aca="false">A990-MATCH(K990,$M$9:M989,1)</f>
        <v>0</v>
      </c>
      <c r="R990" s="0" t="n">
        <f aca="false">-G990*(O990/3600)</f>
        <v>-0.0468153539947347</v>
      </c>
      <c r="S990" s="0" t="n">
        <f aca="false">-1*I990-(H990*(P990/3600))</f>
        <v>-19.5</v>
      </c>
      <c r="T990" s="0" t="n">
        <f aca="false">-H990*(O990/3600)</f>
        <v>-0.17969284392894</v>
      </c>
      <c r="U990" s="0" t="n">
        <f aca="false">T990-S990</f>
        <v>19.3203071560711</v>
      </c>
      <c r="V990" s="0" t="n">
        <f aca="false">1/(1+EXP(U990))</f>
        <v>4.06721575959732E-009</v>
      </c>
      <c r="W990" s="0" t="n">
        <f aca="true">RAND()</f>
        <v>0.611499110171833</v>
      </c>
      <c r="X990" s="0" t="n">
        <f aca="false">IF(W990&lt;V990,1,0)</f>
        <v>0</v>
      </c>
      <c r="Y990" s="0" t="n">
        <f aca="false">(M990*(1-X990)+N990*X990)*D990+M990*E990</f>
        <v>12384.6833828955</v>
      </c>
      <c r="Z990" s="0" t="n">
        <f aca="false">((1-X990)*O990+X990*P990)*D990+E990*O990</f>
        <v>10</v>
      </c>
      <c r="AA990" s="0" t="n">
        <f aca="false">IF(D990*X990&gt;0,AA989,Q990)</f>
        <v>0</v>
      </c>
      <c r="AB990" s="0" t="n">
        <f aca="false">(X990*D990)</f>
        <v>0</v>
      </c>
      <c r="AC990" s="0" t="n">
        <f aca="false">SUM(AB$10:AB989)/K990</f>
        <v>8.08101483535506E-005</v>
      </c>
      <c r="AD990" s="0" t="n">
        <f aca="false">R990*E990+D990*(X990*S990+(1-X990)*T990)</f>
        <v>-0.0468153539947347</v>
      </c>
      <c r="AE990" s="0" t="n">
        <f aca="false">Z990</f>
        <v>10</v>
      </c>
      <c r="AF990" s="0" t="n">
        <f aca="false">E990*O990</f>
        <v>10</v>
      </c>
      <c r="AG990" s="0" t="n">
        <f aca="false">((1-X990)*O990+X990*P990)*D990</f>
        <v>0</v>
      </c>
      <c r="AH990" s="0" t="n">
        <f aca="false">D990*(LN(EXP(S990)+EXP(T990)))</f>
        <v>-0</v>
      </c>
      <c r="AJ990" s="0" t="n">
        <f aca="false">$J$5</f>
        <v>10</v>
      </c>
      <c r="AK990" s="4" t="n">
        <f aca="false">AJ990+MAX(K990,AK$10:AK989)</f>
        <v>12384.6833828955</v>
      </c>
      <c r="AL990" s="5" t="n">
        <f aca="false">AK990-K990</f>
        <v>10</v>
      </c>
      <c r="AM990" s="0" t="n">
        <f aca="false">-G990*AL990/3600</f>
        <v>-0.0468153539947347</v>
      </c>
      <c r="AN990" s="0" t="n">
        <f aca="false">-H990*AL990/3600</f>
        <v>-0.17969284392894</v>
      </c>
      <c r="AO990" s="0" t="n">
        <f aca="false">AM990*E990+AN990*D990</f>
        <v>-0.0468153539947347</v>
      </c>
      <c r="AP990" s="0" t="n">
        <f aca="false">AL990*D990</f>
        <v>0</v>
      </c>
      <c r="AR990" s="0" t="n">
        <f aca="false">AN990*D990</f>
        <v>-0</v>
      </c>
      <c r="AS990" s="0" t="n">
        <f aca="false">AH990-AR990</f>
        <v>0</v>
      </c>
    </row>
    <row r="991" customFormat="false" ht="12" hidden="false" customHeight="false" outlineLevel="0" collapsed="false">
      <c r="A991" s="3" t="n">
        <f aca="false">A990+1</f>
        <v>982</v>
      </c>
      <c r="B991" s="3" t="n">
        <f aca="false">IF(A991&lt;$N$4/3,0.1,(IF(A991&gt;2*$N$4/3,0.05,0.12)))</f>
        <v>0.05</v>
      </c>
      <c r="C991" s="4" t="n">
        <f aca="true">RAND()</f>
        <v>0.12269411913104</v>
      </c>
      <c r="D991" s="0" t="n">
        <f aca="false">IF((C991&gt;$M$2),1,0)</f>
        <v>0</v>
      </c>
      <c r="E991" s="0" t="n">
        <f aca="false">1-D991</f>
        <v>1</v>
      </c>
      <c r="F991" s="0" t="n">
        <f aca="true">RAND()</f>
        <v>0.893890893749072</v>
      </c>
      <c r="G991" s="0" t="n">
        <f aca="false">7.75+F991*10</f>
        <v>16.6889089374907</v>
      </c>
      <c r="H991" s="0" t="n">
        <f aca="false">LOGINV(F991,2.64,1.139)</f>
        <v>58.025936464342</v>
      </c>
      <c r="I991" s="0" t="n">
        <v>19.5</v>
      </c>
      <c r="J991" s="4" t="n">
        <f aca="true">-LN(RAND())/B991</f>
        <v>4.25936875544964</v>
      </c>
      <c r="K991" s="4" t="n">
        <f aca="false">K990+J991</f>
        <v>12378.9427516509</v>
      </c>
      <c r="L991" s="4" t="n">
        <f aca="false">(1/$J$4)*(1+AB990)</f>
        <v>10</v>
      </c>
      <c r="M991" s="4" t="n">
        <f aca="false">L991+MAX(K991,Y$10:Y990)</f>
        <v>12394.6833828955</v>
      </c>
      <c r="N991" s="4" t="n">
        <f aca="false">K991</f>
        <v>12378.9427516509</v>
      </c>
      <c r="O991" s="4" t="n">
        <f aca="false">M991-K991</f>
        <v>15.740631244551</v>
      </c>
      <c r="P991" s="4" t="n">
        <f aca="false">N991-K991</f>
        <v>0</v>
      </c>
      <c r="Q991" s="4" t="n">
        <f aca="false">A991-MATCH(K991,$M$9:M990,1)</f>
        <v>1</v>
      </c>
      <c r="R991" s="0" t="n">
        <f aca="false">-G991*(O991/3600)</f>
        <v>-0.0729705448497034</v>
      </c>
      <c r="S991" s="0" t="n">
        <f aca="false">-1*I991-(H991*(P991/3600))</f>
        <v>-19.5</v>
      </c>
      <c r="T991" s="0" t="n">
        <f aca="false">-H991*(O991/3600)</f>
        <v>-0.253712463473598</v>
      </c>
      <c r="U991" s="0" t="n">
        <f aca="false">T991-S991</f>
        <v>19.2462875365264</v>
      </c>
      <c r="V991" s="0" t="n">
        <f aca="false">1/(1+EXP(U991))</f>
        <v>4.37969153469807E-009</v>
      </c>
      <c r="W991" s="0" t="n">
        <f aca="true">RAND()</f>
        <v>0.824073234712571</v>
      </c>
      <c r="X991" s="0" t="n">
        <f aca="false">IF(W991&lt;V991,1,0)</f>
        <v>0</v>
      </c>
      <c r="Y991" s="0" t="n">
        <f aca="false">(M991*(1-X991)+N991*X991)*D991+M991*E991</f>
        <v>12394.6833828955</v>
      </c>
      <c r="Z991" s="0" t="n">
        <f aca="false">((1-X991)*O991+X991*P991)*D991+E991*O991</f>
        <v>15.740631244551</v>
      </c>
      <c r="AA991" s="0" t="n">
        <f aca="false">IF(D991*X991&gt;0,AA990,Q991)</f>
        <v>1</v>
      </c>
      <c r="AB991" s="0" t="n">
        <f aca="false">(X991*D991)</f>
        <v>0</v>
      </c>
      <c r="AC991" s="0" t="n">
        <f aca="false">SUM(AB$10:AB990)/K991</f>
        <v>8.07823430532172E-005</v>
      </c>
      <c r="AD991" s="0" t="n">
        <f aca="false">R991*E991+D991*(X991*S991+(1-X991)*T991)</f>
        <v>-0.0729705448497034</v>
      </c>
      <c r="AE991" s="0" t="n">
        <f aca="false">Z991</f>
        <v>15.740631244551</v>
      </c>
      <c r="AF991" s="0" t="n">
        <f aca="false">E991*O991</f>
        <v>15.740631244551</v>
      </c>
      <c r="AG991" s="0" t="n">
        <f aca="false">((1-X991)*O991+X991*P991)*D991</f>
        <v>0</v>
      </c>
      <c r="AH991" s="0" t="n">
        <f aca="false">D991*(LN(EXP(S991)+EXP(T991)))</f>
        <v>-0</v>
      </c>
      <c r="AJ991" s="0" t="n">
        <f aca="false">$J$5</f>
        <v>10</v>
      </c>
      <c r="AK991" s="4" t="n">
        <f aca="false">AJ991+MAX(K991,AK$10:AK990)</f>
        <v>12394.6833828955</v>
      </c>
      <c r="AL991" s="5" t="n">
        <f aca="false">AK991-K991</f>
        <v>15.740631244551</v>
      </c>
      <c r="AM991" s="0" t="n">
        <f aca="false">-G991*AL991/3600</f>
        <v>-0.0729705448497034</v>
      </c>
      <c r="AN991" s="0" t="n">
        <f aca="false">-H991*AL991/3600</f>
        <v>-0.253712463473598</v>
      </c>
      <c r="AO991" s="0" t="n">
        <f aca="false">AM991*E991+AN991*D991</f>
        <v>-0.0729705448497034</v>
      </c>
      <c r="AP991" s="0" t="n">
        <f aca="false">AL991*D991</f>
        <v>0</v>
      </c>
      <c r="AR991" s="0" t="n">
        <f aca="false">AN991*D991</f>
        <v>-0</v>
      </c>
      <c r="AS991" s="0" t="n">
        <f aca="false">AH991-AR991</f>
        <v>0</v>
      </c>
    </row>
    <row r="992" customFormat="false" ht="12" hidden="false" customHeight="false" outlineLevel="0" collapsed="false">
      <c r="A992" s="3" t="n">
        <f aca="false">A991+1</f>
        <v>983</v>
      </c>
      <c r="B992" s="3" t="n">
        <f aca="false">IF(A992&lt;$N$4/3,0.1,(IF(A992&gt;2*$N$4/3,0.05,0.12)))</f>
        <v>0.05</v>
      </c>
      <c r="C992" s="4" t="n">
        <f aca="true">RAND()</f>
        <v>0.856039016896978</v>
      </c>
      <c r="D992" s="0" t="n">
        <f aca="false">IF((C992&gt;$M$2),1,0)</f>
        <v>0</v>
      </c>
      <c r="E992" s="0" t="n">
        <f aca="false">1-D992</f>
        <v>1</v>
      </c>
      <c r="F992" s="0" t="n">
        <f aca="true">RAND()</f>
        <v>0.705030754137504</v>
      </c>
      <c r="G992" s="0" t="n">
        <f aca="false">7.75+F992*10</f>
        <v>14.800307541375</v>
      </c>
      <c r="H992" s="0" t="n">
        <f aca="false">LOGINV(F992,2.64,1.139)</f>
        <v>25.8894555445726</v>
      </c>
      <c r="I992" s="0" t="n">
        <v>19.5</v>
      </c>
      <c r="J992" s="4" t="n">
        <f aca="true">-LN(RAND())/B992</f>
        <v>10.1578983966902</v>
      </c>
      <c r="K992" s="4" t="n">
        <f aca="false">K991+J992</f>
        <v>12389.1006500476</v>
      </c>
      <c r="L992" s="4" t="n">
        <f aca="false">(1/$J$4)*(1+AB991)</f>
        <v>10</v>
      </c>
      <c r="M992" s="4" t="n">
        <f aca="false">L992+MAX(K992,Y$10:Y991)</f>
        <v>12404.6833828955</v>
      </c>
      <c r="N992" s="4" t="n">
        <f aca="false">K992</f>
        <v>12389.1006500476</v>
      </c>
      <c r="O992" s="4" t="n">
        <f aca="false">M992-K992</f>
        <v>15.5827328478608</v>
      </c>
      <c r="P992" s="4" t="n">
        <f aca="false">N992-K992</f>
        <v>0</v>
      </c>
      <c r="Q992" s="4" t="n">
        <f aca="false">A992-MATCH(K992,$M$9:M991,1)</f>
        <v>1</v>
      </c>
      <c r="R992" s="0" t="n">
        <f aca="false">-G992*(O992/3600)</f>
        <v>-0.0640636773565076</v>
      </c>
      <c r="S992" s="0" t="n">
        <f aca="false">-1*I992-(H992*(P992/3600))</f>
        <v>-19.5</v>
      </c>
      <c r="T992" s="0" t="n">
        <f aca="false">-H992*(O992/3600)</f>
        <v>-0.112063463702124</v>
      </c>
      <c r="U992" s="0" t="n">
        <f aca="false">T992-S992</f>
        <v>19.3879365362979</v>
      </c>
      <c r="V992" s="0" t="n">
        <f aca="false">1/(1+EXP(U992))</f>
        <v>3.80124747915572E-009</v>
      </c>
      <c r="W992" s="0" t="n">
        <f aca="true">RAND()</f>
        <v>0.885326063367055</v>
      </c>
      <c r="X992" s="0" t="n">
        <f aca="false">IF(W992&lt;V992,1,0)</f>
        <v>0</v>
      </c>
      <c r="Y992" s="0" t="n">
        <f aca="false">(M992*(1-X992)+N992*X992)*D992+M992*E992</f>
        <v>12404.6833828955</v>
      </c>
      <c r="Z992" s="0" t="n">
        <f aca="false">((1-X992)*O992+X992*P992)*D992+E992*O992</f>
        <v>15.5827328478608</v>
      </c>
      <c r="AA992" s="0" t="n">
        <f aca="false">IF(D992*X992&gt;0,AA991,Q992)</f>
        <v>1</v>
      </c>
      <c r="AB992" s="0" t="n">
        <f aca="false">(X992*D992)</f>
        <v>0</v>
      </c>
      <c r="AC992" s="0" t="n">
        <f aca="false">SUM(AB$10:AB991)/K992</f>
        <v>8.07161091225906E-005</v>
      </c>
      <c r="AD992" s="0" t="n">
        <f aca="false">R992*E992+D992*(X992*S992+(1-X992)*T992)</f>
        <v>-0.0640636773565076</v>
      </c>
      <c r="AE992" s="0" t="n">
        <f aca="false">Z992</f>
        <v>15.5827328478608</v>
      </c>
      <c r="AF992" s="0" t="n">
        <f aca="false">E992*O992</f>
        <v>15.5827328478608</v>
      </c>
      <c r="AG992" s="0" t="n">
        <f aca="false">((1-X992)*O992+X992*P992)*D992</f>
        <v>0</v>
      </c>
      <c r="AH992" s="0" t="n">
        <f aca="false">D992*(LN(EXP(S992)+EXP(T992)))</f>
        <v>-0</v>
      </c>
      <c r="AJ992" s="0" t="n">
        <f aca="false">$J$5</f>
        <v>10</v>
      </c>
      <c r="AK992" s="4" t="n">
        <f aca="false">AJ992+MAX(K992,AK$10:AK991)</f>
        <v>12404.6833828955</v>
      </c>
      <c r="AL992" s="5" t="n">
        <f aca="false">AK992-K992</f>
        <v>15.5827328478608</v>
      </c>
      <c r="AM992" s="0" t="n">
        <f aca="false">-G992*AL992/3600</f>
        <v>-0.0640636773565076</v>
      </c>
      <c r="AN992" s="0" t="n">
        <f aca="false">-H992*AL992/3600</f>
        <v>-0.112063463702124</v>
      </c>
      <c r="AO992" s="0" t="n">
        <f aca="false">AM992*E992+AN992*D992</f>
        <v>-0.0640636773565076</v>
      </c>
      <c r="AP992" s="0" t="n">
        <f aca="false">AL992*D992</f>
        <v>0</v>
      </c>
      <c r="AR992" s="0" t="n">
        <f aca="false">AN992*D992</f>
        <v>-0</v>
      </c>
      <c r="AS992" s="0" t="n">
        <f aca="false">AH992-AR992</f>
        <v>0</v>
      </c>
    </row>
    <row r="993" customFormat="false" ht="12" hidden="false" customHeight="false" outlineLevel="0" collapsed="false">
      <c r="A993" s="3" t="n">
        <f aca="false">A992+1</f>
        <v>984</v>
      </c>
      <c r="B993" s="3" t="n">
        <f aca="false">IF(A993&lt;$N$4/3,0.1,(IF(A993&gt;2*$N$4/3,0.05,0.12)))</f>
        <v>0.05</v>
      </c>
      <c r="C993" s="4" t="n">
        <f aca="true">RAND()</f>
        <v>0.97646642522027</v>
      </c>
      <c r="D993" s="0" t="n">
        <f aca="false">IF((C993&gt;$M$2),1,0)</f>
        <v>1</v>
      </c>
      <c r="E993" s="0" t="n">
        <f aca="false">1-D993</f>
        <v>0</v>
      </c>
      <c r="F993" s="0" t="n">
        <f aca="true">RAND()</f>
        <v>0.0198620488430853</v>
      </c>
      <c r="G993" s="0" t="n">
        <f aca="false">7.75+F993*10</f>
        <v>7.94862048843085</v>
      </c>
      <c r="H993" s="0" t="n">
        <f aca="false">LOGINV(F993,2.64,1.139)</f>
        <v>1.34652238541436</v>
      </c>
      <c r="I993" s="0" t="n">
        <v>19.5</v>
      </c>
      <c r="J993" s="4" t="n">
        <f aca="true">-LN(RAND())/B993</f>
        <v>8.24133575303178</v>
      </c>
      <c r="K993" s="4" t="n">
        <f aca="false">K992+J993</f>
        <v>12397.3419858006</v>
      </c>
      <c r="L993" s="4" t="n">
        <f aca="false">(1/$J$4)*(1+AB992)</f>
        <v>10</v>
      </c>
      <c r="M993" s="4" t="n">
        <f aca="false">L993+MAX(K993,Y$10:Y992)</f>
        <v>12414.6833828955</v>
      </c>
      <c r="N993" s="4" t="n">
        <f aca="false">K993</f>
        <v>12397.3419858006</v>
      </c>
      <c r="O993" s="4" t="n">
        <f aca="false">M993-K993</f>
        <v>17.3413970948295</v>
      </c>
      <c r="P993" s="4" t="n">
        <f aca="false">N993-K993</f>
        <v>0</v>
      </c>
      <c r="Q993" s="4" t="n">
        <f aca="false">A993-MATCH(K993,$M$9:M992,1)</f>
        <v>1</v>
      </c>
      <c r="R993" s="0" t="n">
        <f aca="false">-G993*(O993/3600)</f>
        <v>-0.038288940068327</v>
      </c>
      <c r="S993" s="0" t="n">
        <f aca="false">-1*I993-(H993*(P993/3600))</f>
        <v>-19.5</v>
      </c>
      <c r="T993" s="0" t="n">
        <f aca="false">-H993*(O993/3600)</f>
        <v>-0.00648627205070762</v>
      </c>
      <c r="U993" s="0" t="n">
        <f aca="false">T993-S993</f>
        <v>19.4935137279493</v>
      </c>
      <c r="V993" s="0" t="n">
        <f aca="false">1/(1+EXP(U993))</f>
        <v>3.42038153767833E-009</v>
      </c>
      <c r="W993" s="0" t="n">
        <f aca="true">RAND()</f>
        <v>0.809625771411233</v>
      </c>
      <c r="X993" s="0" t="n">
        <f aca="false">IF(W993&lt;V993,1,0)</f>
        <v>0</v>
      </c>
      <c r="Y993" s="0" t="n">
        <f aca="false">(M993*(1-X993)+N993*X993)*D993+M993*E993</f>
        <v>12414.6833828955</v>
      </c>
      <c r="Z993" s="0" t="n">
        <f aca="false">((1-X993)*O993+X993*P993)*D993+E993*O993</f>
        <v>17.3413970948295</v>
      </c>
      <c r="AA993" s="0" t="n">
        <f aca="false">IF(D993*X993&gt;0,AA992,Q993)</f>
        <v>1</v>
      </c>
      <c r="AB993" s="0" t="n">
        <f aca="false">(X993*D993)</f>
        <v>0</v>
      </c>
      <c r="AC993" s="0" t="n">
        <f aca="false">SUM(AB$10:AB992)/K993</f>
        <v>8.0662451769529E-005</v>
      </c>
      <c r="AD993" s="0" t="n">
        <f aca="false">R993*E993+D993*(X993*S993+(1-X993)*T993)</f>
        <v>-0.00648627205070762</v>
      </c>
      <c r="AE993" s="0" t="n">
        <f aca="false">Z993</f>
        <v>17.3413970948295</v>
      </c>
      <c r="AF993" s="0" t="n">
        <f aca="false">E993*O993</f>
        <v>0</v>
      </c>
      <c r="AG993" s="0" t="n">
        <f aca="false">((1-X993)*O993+X993*P993)*D993</f>
        <v>17.3413970948295</v>
      </c>
      <c r="AH993" s="0" t="n">
        <f aca="false">D993*(LN(EXP(S993)+EXP(T993)))</f>
        <v>-0.00648626863032613</v>
      </c>
      <c r="AJ993" s="0" t="n">
        <f aca="false">$J$5</f>
        <v>10</v>
      </c>
      <c r="AK993" s="4" t="n">
        <f aca="false">AJ993+MAX(K993,AK$10:AK992)</f>
        <v>12414.6833828955</v>
      </c>
      <c r="AL993" s="5" t="n">
        <f aca="false">AK993-K993</f>
        <v>17.3413970948295</v>
      </c>
      <c r="AM993" s="0" t="n">
        <f aca="false">-G993*AL993/3600</f>
        <v>-0.038288940068327</v>
      </c>
      <c r="AN993" s="0" t="n">
        <f aca="false">-H993*AL993/3600</f>
        <v>-0.00648627205070762</v>
      </c>
      <c r="AO993" s="0" t="n">
        <f aca="false">AM993*E993+AN993*D993</f>
        <v>-0.00648627205070762</v>
      </c>
      <c r="AP993" s="0" t="n">
        <f aca="false">AL993*D993</f>
        <v>17.3413970948295</v>
      </c>
      <c r="AR993" s="0" t="n">
        <f aca="false">AN993*D993</f>
        <v>-0.00648627205070762</v>
      </c>
      <c r="AS993" s="0" t="n">
        <f aca="false">AH993-AR993</f>
        <v>3.42038149279272E-009</v>
      </c>
    </row>
    <row r="994" customFormat="false" ht="12" hidden="false" customHeight="false" outlineLevel="0" collapsed="false">
      <c r="A994" s="3" t="n">
        <f aca="false">A993+1</f>
        <v>985</v>
      </c>
      <c r="B994" s="3" t="n">
        <f aca="false">IF(A994&lt;$N$4/3,0.1,(IF(A994&gt;2*$N$4/3,0.05,0.12)))</f>
        <v>0.05</v>
      </c>
      <c r="C994" s="4" t="n">
        <f aca="true">RAND()</f>
        <v>0.179147757478714</v>
      </c>
      <c r="D994" s="0" t="n">
        <f aca="false">IF((C994&gt;$M$2),1,0)</f>
        <v>0</v>
      </c>
      <c r="E994" s="0" t="n">
        <f aca="false">1-D994</f>
        <v>1</v>
      </c>
      <c r="F994" s="0" t="n">
        <f aca="true">RAND()</f>
        <v>0.112131234481946</v>
      </c>
      <c r="G994" s="0" t="n">
        <f aca="false">7.75+F994*10</f>
        <v>8.87131234481946</v>
      </c>
      <c r="H994" s="0" t="n">
        <f aca="false">LOGINV(F994,2.64,1.139)</f>
        <v>3.51066505990937</v>
      </c>
      <c r="I994" s="0" t="n">
        <v>19.5</v>
      </c>
      <c r="J994" s="4" t="n">
        <f aca="true">-LN(RAND())/B994</f>
        <v>6.10587906157887</v>
      </c>
      <c r="K994" s="4" t="n">
        <f aca="false">K993+J994</f>
        <v>12403.4478648622</v>
      </c>
      <c r="L994" s="4" t="n">
        <f aca="false">(1/$J$4)*(1+AB993)</f>
        <v>10</v>
      </c>
      <c r="M994" s="4" t="n">
        <f aca="false">L994+MAX(K994,Y$10:Y993)</f>
        <v>12424.6833828955</v>
      </c>
      <c r="N994" s="4" t="n">
        <f aca="false">K994</f>
        <v>12403.4478648622</v>
      </c>
      <c r="O994" s="4" t="n">
        <f aca="false">M994-K994</f>
        <v>21.2355180332506</v>
      </c>
      <c r="P994" s="4" t="n">
        <f aca="false">N994-K994</f>
        <v>0</v>
      </c>
      <c r="Q994" s="4" t="n">
        <f aca="false">A994-MATCH(K994,$M$9:M993,1)</f>
        <v>2</v>
      </c>
      <c r="R994" s="0" t="n">
        <f aca="false">-G994*(O994/3600)</f>
        <v>-0.0523296981325035</v>
      </c>
      <c r="S994" s="0" t="n">
        <f aca="false">-1*I994-(H994*(P994/3600))</f>
        <v>-19.5</v>
      </c>
      <c r="T994" s="0" t="n">
        <f aca="false">-H994*(O994/3600)</f>
        <v>-0.0207085531078912</v>
      </c>
      <c r="U994" s="0" t="n">
        <f aca="false">T994-S994</f>
        <v>19.4792914468921</v>
      </c>
      <c r="V994" s="0" t="n">
        <f aca="false">1/(1+EXP(U994))</f>
        <v>3.46937473675299E-009</v>
      </c>
      <c r="W994" s="0" t="n">
        <f aca="true">RAND()</f>
        <v>0.338458129876997</v>
      </c>
      <c r="X994" s="0" t="n">
        <f aca="false">IF(W994&lt;V994,1,0)</f>
        <v>0</v>
      </c>
      <c r="Y994" s="0" t="n">
        <f aca="false">(M994*(1-X994)+N994*X994)*D994+M994*E994</f>
        <v>12424.6833828955</v>
      </c>
      <c r="Z994" s="0" t="n">
        <f aca="false">((1-X994)*O994+X994*P994)*D994+E994*O994</f>
        <v>21.2355180332506</v>
      </c>
      <c r="AA994" s="0" t="n">
        <f aca="false">IF(D994*X994&gt;0,AA993,Q994)</f>
        <v>2</v>
      </c>
      <c r="AB994" s="0" t="n">
        <f aca="false">(X994*D994)</f>
        <v>0</v>
      </c>
      <c r="AC994" s="0" t="n">
        <f aca="false">SUM(AB$10:AB993)/K994</f>
        <v>8.06227438447099E-005</v>
      </c>
      <c r="AD994" s="0" t="n">
        <f aca="false">R994*E994+D994*(X994*S994+(1-X994)*T994)</f>
        <v>-0.0523296981325035</v>
      </c>
      <c r="AE994" s="0" t="n">
        <f aca="false">Z994</f>
        <v>21.2355180332506</v>
      </c>
      <c r="AF994" s="0" t="n">
        <f aca="false">E994*O994</f>
        <v>21.2355180332506</v>
      </c>
      <c r="AG994" s="0" t="n">
        <f aca="false">((1-X994)*O994+X994*P994)*D994</f>
        <v>0</v>
      </c>
      <c r="AH994" s="0" t="n">
        <f aca="false">D994*(LN(EXP(S994)+EXP(T994)))</f>
        <v>-0</v>
      </c>
      <c r="AJ994" s="0" t="n">
        <f aca="false">$J$5</f>
        <v>10</v>
      </c>
      <c r="AK994" s="4" t="n">
        <f aca="false">AJ994+MAX(K994,AK$10:AK993)</f>
        <v>12424.6833828955</v>
      </c>
      <c r="AL994" s="5" t="n">
        <f aca="false">AK994-K994</f>
        <v>21.2355180332506</v>
      </c>
      <c r="AM994" s="0" t="n">
        <f aca="false">-G994*AL994/3600</f>
        <v>-0.0523296981325035</v>
      </c>
      <c r="AN994" s="0" t="n">
        <f aca="false">-H994*AL994/3600</f>
        <v>-0.0207085531078912</v>
      </c>
      <c r="AO994" s="0" t="n">
        <f aca="false">AM994*E994+AN994*D994</f>
        <v>-0.0523296981325035</v>
      </c>
      <c r="AP994" s="0" t="n">
        <f aca="false">AL994*D994</f>
        <v>0</v>
      </c>
      <c r="AR994" s="0" t="n">
        <f aca="false">AN994*D994</f>
        <v>-0</v>
      </c>
      <c r="AS994" s="0" t="n">
        <f aca="false">AH994-AR994</f>
        <v>0</v>
      </c>
    </row>
    <row r="995" customFormat="false" ht="12" hidden="false" customHeight="false" outlineLevel="0" collapsed="false">
      <c r="A995" s="3" t="n">
        <f aca="false">A994+1</f>
        <v>986</v>
      </c>
      <c r="B995" s="3" t="n">
        <f aca="false">IF(A995&lt;$N$4/3,0.1,(IF(A995&gt;2*$N$4/3,0.05,0.12)))</f>
        <v>0.05</v>
      </c>
      <c r="C995" s="4" t="n">
        <f aca="true">RAND()</f>
        <v>0.24731844704566</v>
      </c>
      <c r="D995" s="0" t="n">
        <f aca="false">IF((C995&gt;$M$2),1,0)</f>
        <v>0</v>
      </c>
      <c r="E995" s="0" t="n">
        <f aca="false">1-D995</f>
        <v>1</v>
      </c>
      <c r="F995" s="0" t="n">
        <f aca="true">RAND()</f>
        <v>0.333112015071763</v>
      </c>
      <c r="G995" s="0" t="n">
        <f aca="false">7.75+F995*10</f>
        <v>11.0811201507176</v>
      </c>
      <c r="H995" s="0" t="n">
        <f aca="false">LOGINV(F995,2.64,1.139)</f>
        <v>8.57377581941901</v>
      </c>
      <c r="I995" s="0" t="n">
        <v>19.5</v>
      </c>
      <c r="J995" s="4" t="n">
        <f aca="true">-LN(RAND())/B995</f>
        <v>2.52359050920461</v>
      </c>
      <c r="K995" s="4" t="n">
        <f aca="false">K994+J995</f>
        <v>12405.9714553714</v>
      </c>
      <c r="L995" s="4" t="n">
        <f aca="false">(1/$J$4)*(1+AB994)</f>
        <v>10</v>
      </c>
      <c r="M995" s="4" t="n">
        <f aca="false">L995+MAX(K995,Y$10:Y994)</f>
        <v>12434.6833828955</v>
      </c>
      <c r="N995" s="4" t="n">
        <f aca="false">K995</f>
        <v>12405.9714553714</v>
      </c>
      <c r="O995" s="4" t="n">
        <f aca="false">M995-K995</f>
        <v>28.7119275240457</v>
      </c>
      <c r="P995" s="4" t="n">
        <f aca="false">N995-K995</f>
        <v>0</v>
      </c>
      <c r="Q995" s="4" t="n">
        <f aca="false">A995-MATCH(K995,$M$9:M994,1)</f>
        <v>2</v>
      </c>
      <c r="R995" s="0" t="n">
        <f aca="false">-G995*(O995/3600)</f>
        <v>-0.0883778662924019</v>
      </c>
      <c r="S995" s="0" t="n">
        <f aca="false">-1*I995-(H995*(P995/3600))</f>
        <v>-19.5</v>
      </c>
      <c r="T995" s="0" t="n">
        <f aca="false">-H995*(O995/3600)</f>
        <v>-0.0683804527596039</v>
      </c>
      <c r="U995" s="0" t="n">
        <f aca="false">T995-S995</f>
        <v>19.4316195472404</v>
      </c>
      <c r="V995" s="0" t="n">
        <f aca="false">1/(1+EXP(U995))</f>
        <v>3.6387720872415E-009</v>
      </c>
      <c r="W995" s="0" t="n">
        <f aca="true">RAND()</f>
        <v>0.474625682555224</v>
      </c>
      <c r="X995" s="0" t="n">
        <f aca="false">IF(W995&lt;V995,1,0)</f>
        <v>0</v>
      </c>
      <c r="Y995" s="0" t="n">
        <f aca="false">(M995*(1-X995)+N995*X995)*D995+M995*E995</f>
        <v>12434.6833828955</v>
      </c>
      <c r="Z995" s="0" t="n">
        <f aca="false">((1-X995)*O995+X995*P995)*D995+E995*O995</f>
        <v>28.7119275240457</v>
      </c>
      <c r="AA995" s="0" t="n">
        <f aca="false">IF(D995*X995&gt;0,AA994,Q995)</f>
        <v>2</v>
      </c>
      <c r="AB995" s="0" t="n">
        <f aca="false">(X995*D995)</f>
        <v>0</v>
      </c>
      <c r="AC995" s="0" t="n">
        <f aca="false">SUM(AB$10:AB994)/K995</f>
        <v>8.06063437754429E-005</v>
      </c>
      <c r="AD995" s="0" t="n">
        <f aca="false">R995*E995+D995*(X995*S995+(1-X995)*T995)</f>
        <v>-0.0883778662924019</v>
      </c>
      <c r="AE995" s="0" t="n">
        <f aca="false">Z995</f>
        <v>28.7119275240457</v>
      </c>
      <c r="AF995" s="0" t="n">
        <f aca="false">E995*O995</f>
        <v>28.7119275240457</v>
      </c>
      <c r="AG995" s="0" t="n">
        <f aca="false">((1-X995)*O995+X995*P995)*D995</f>
        <v>0</v>
      </c>
      <c r="AH995" s="0" t="n">
        <f aca="false">D995*(LN(EXP(S995)+EXP(T995)))</f>
        <v>-0</v>
      </c>
      <c r="AJ995" s="0" t="n">
        <f aca="false">$J$5</f>
        <v>10</v>
      </c>
      <c r="AK995" s="4" t="n">
        <f aca="false">AJ995+MAX(K995,AK$10:AK994)</f>
        <v>12434.6833828955</v>
      </c>
      <c r="AL995" s="5" t="n">
        <f aca="false">AK995-K995</f>
        <v>28.7119275240457</v>
      </c>
      <c r="AM995" s="0" t="n">
        <f aca="false">-G995*AL995/3600</f>
        <v>-0.0883778662924019</v>
      </c>
      <c r="AN995" s="0" t="n">
        <f aca="false">-H995*AL995/3600</f>
        <v>-0.0683804527596039</v>
      </c>
      <c r="AO995" s="0" t="n">
        <f aca="false">AM995*E995+AN995*D995</f>
        <v>-0.0883778662924019</v>
      </c>
      <c r="AP995" s="0" t="n">
        <f aca="false">AL995*D995</f>
        <v>0</v>
      </c>
      <c r="AR995" s="0" t="n">
        <f aca="false">AN995*D995</f>
        <v>-0</v>
      </c>
      <c r="AS995" s="0" t="n">
        <f aca="false">AH995-AR995</f>
        <v>0</v>
      </c>
    </row>
    <row r="996" customFormat="false" ht="12" hidden="false" customHeight="false" outlineLevel="0" collapsed="false">
      <c r="A996" s="3" t="n">
        <f aca="false">A995+1</f>
        <v>987</v>
      </c>
      <c r="B996" s="3" t="n">
        <f aca="false">IF(A996&lt;$N$4/3,0.1,(IF(A996&gt;2*$N$4/3,0.05,0.12)))</f>
        <v>0.05</v>
      </c>
      <c r="C996" s="4" t="n">
        <f aca="true">RAND()</f>
        <v>0.764902271797384</v>
      </c>
      <c r="D996" s="0" t="n">
        <f aca="false">IF((C996&gt;$M$2),1,0)</f>
        <v>0</v>
      </c>
      <c r="E996" s="0" t="n">
        <f aca="false">1-D996</f>
        <v>1</v>
      </c>
      <c r="F996" s="0" t="n">
        <f aca="true">RAND()</f>
        <v>0.97942804206863</v>
      </c>
      <c r="G996" s="0" t="n">
        <f aca="false">7.75+F996*10</f>
        <v>17.5442804206863</v>
      </c>
      <c r="H996" s="0" t="n">
        <f aca="false">LOGINV(F996,2.64,1.139)</f>
        <v>143.441236767216</v>
      </c>
      <c r="I996" s="0" t="n">
        <v>19.5</v>
      </c>
      <c r="J996" s="4" t="n">
        <f aca="true">-LN(RAND())/B996</f>
        <v>7.30003164282103</v>
      </c>
      <c r="K996" s="4" t="n">
        <f aca="false">K995+J996</f>
        <v>12413.2714870142</v>
      </c>
      <c r="L996" s="4" t="n">
        <f aca="false">(1/$J$4)*(1+AB995)</f>
        <v>10</v>
      </c>
      <c r="M996" s="4" t="n">
        <f aca="false">L996+MAX(K996,Y$10:Y995)</f>
        <v>12444.6833828955</v>
      </c>
      <c r="N996" s="4" t="n">
        <f aca="false">K996</f>
        <v>12413.2714870142</v>
      </c>
      <c r="O996" s="4" t="n">
        <f aca="false">M996-K996</f>
        <v>31.4118958812251</v>
      </c>
      <c r="P996" s="4" t="n">
        <f aca="false">N996-K996</f>
        <v>0</v>
      </c>
      <c r="Q996" s="4" t="n">
        <f aca="false">A996-MATCH(K996,$M$9:M995,1)</f>
        <v>3</v>
      </c>
      <c r="R996" s="0" t="n">
        <f aca="false">-G996*(O996/3600)</f>
        <v>-0.153083086079337</v>
      </c>
      <c r="S996" s="0" t="n">
        <f aca="false">-1*I996-(H996*(P996/3600))</f>
        <v>-19.5</v>
      </c>
      <c r="T996" s="0" t="n">
        <f aca="false">-H996*(O996/3600)</f>
        <v>-1.25160033177943</v>
      </c>
      <c r="U996" s="0" t="n">
        <f aca="false">T996-S996</f>
        <v>18.2483996682206</v>
      </c>
      <c r="V996" s="0" t="n">
        <f aca="false">1/(1+EXP(U996))</f>
        <v>1.18801169343608E-008</v>
      </c>
      <c r="W996" s="0" t="n">
        <f aca="true">RAND()</f>
        <v>0.19630552486475</v>
      </c>
      <c r="X996" s="0" t="n">
        <f aca="false">IF(W996&lt;V996,1,0)</f>
        <v>0</v>
      </c>
      <c r="Y996" s="0" t="n">
        <f aca="false">(M996*(1-X996)+N996*X996)*D996+M996*E996</f>
        <v>12444.6833828955</v>
      </c>
      <c r="Z996" s="0" t="n">
        <f aca="false">((1-X996)*O996+X996*P996)*D996+E996*O996</f>
        <v>31.4118958812251</v>
      </c>
      <c r="AA996" s="0" t="n">
        <f aca="false">IF(D996*X996&gt;0,AA995,Q996)</f>
        <v>3</v>
      </c>
      <c r="AB996" s="0" t="n">
        <f aca="false">(X996*D996)</f>
        <v>0</v>
      </c>
      <c r="AC996" s="0" t="n">
        <f aca="false">SUM(AB$10:AB995)/K996</f>
        <v>8.05589405698666E-005</v>
      </c>
      <c r="AD996" s="0" t="n">
        <f aca="false">R996*E996+D996*(X996*S996+(1-X996)*T996)</f>
        <v>-0.153083086079337</v>
      </c>
      <c r="AE996" s="0" t="n">
        <f aca="false">Z996</f>
        <v>31.4118958812251</v>
      </c>
      <c r="AF996" s="0" t="n">
        <f aca="false">E996*O996</f>
        <v>31.4118958812251</v>
      </c>
      <c r="AG996" s="0" t="n">
        <f aca="false">((1-X996)*O996+X996*P996)*D996</f>
        <v>0</v>
      </c>
      <c r="AH996" s="0" t="n">
        <f aca="false">D996*(LN(EXP(S996)+EXP(T996)))</f>
        <v>-0</v>
      </c>
      <c r="AJ996" s="0" t="n">
        <f aca="false">$J$5</f>
        <v>10</v>
      </c>
      <c r="AK996" s="4" t="n">
        <f aca="false">AJ996+MAX(K996,AK$10:AK995)</f>
        <v>12444.6833828955</v>
      </c>
      <c r="AL996" s="5" t="n">
        <f aca="false">AK996-K996</f>
        <v>31.4118958812251</v>
      </c>
      <c r="AM996" s="0" t="n">
        <f aca="false">-G996*AL996/3600</f>
        <v>-0.153083086079337</v>
      </c>
      <c r="AN996" s="0" t="n">
        <f aca="false">-H996*AL996/3600</f>
        <v>-1.25160033177943</v>
      </c>
      <c r="AO996" s="0" t="n">
        <f aca="false">AM996*E996+AN996*D996</f>
        <v>-0.153083086079337</v>
      </c>
      <c r="AP996" s="0" t="n">
        <f aca="false">AL996*D996</f>
        <v>0</v>
      </c>
      <c r="AR996" s="0" t="n">
        <f aca="false">AN996*D996</f>
        <v>-0</v>
      </c>
      <c r="AS996" s="0" t="n">
        <f aca="false">AH996-AR996</f>
        <v>0</v>
      </c>
    </row>
    <row r="997" customFormat="false" ht="12" hidden="false" customHeight="false" outlineLevel="0" collapsed="false">
      <c r="A997" s="3" t="n">
        <f aca="false">A996+1</f>
        <v>988</v>
      </c>
      <c r="B997" s="3" t="n">
        <f aca="false">IF(A997&lt;$N$4/3,0.1,(IF(A997&gt;2*$N$4/3,0.05,0.12)))</f>
        <v>0.05</v>
      </c>
      <c r="C997" s="4" t="n">
        <f aca="true">RAND()</f>
        <v>0.946646984472755</v>
      </c>
      <c r="D997" s="0" t="n">
        <f aca="false">IF((C997&gt;$M$2),1,0)</f>
        <v>1</v>
      </c>
      <c r="E997" s="0" t="n">
        <f aca="false">1-D997</f>
        <v>0</v>
      </c>
      <c r="F997" s="0" t="n">
        <f aca="true">RAND()</f>
        <v>0.954677722519209</v>
      </c>
      <c r="G997" s="0" t="n">
        <f aca="false">7.75+F997*10</f>
        <v>17.2967772251921</v>
      </c>
      <c r="H997" s="0" t="n">
        <f aca="false">LOGINV(F997,2.64,1.139)</f>
        <v>96.273824979005</v>
      </c>
      <c r="I997" s="0" t="n">
        <v>19.5</v>
      </c>
      <c r="J997" s="4" t="n">
        <f aca="true">-LN(RAND())/B997</f>
        <v>19.2814882744803</v>
      </c>
      <c r="K997" s="4" t="n">
        <f aca="false">K996+J997</f>
        <v>12432.5529752887</v>
      </c>
      <c r="L997" s="4" t="n">
        <f aca="false">(1/$J$4)*(1+AB996)</f>
        <v>10</v>
      </c>
      <c r="M997" s="4" t="n">
        <f aca="false">L997+MAX(K997,Y$10:Y996)</f>
        <v>12454.6833828955</v>
      </c>
      <c r="N997" s="4" t="n">
        <f aca="false">K997</f>
        <v>12432.5529752887</v>
      </c>
      <c r="O997" s="4" t="n">
        <f aca="false">M997-K997</f>
        <v>22.1304076067445</v>
      </c>
      <c r="P997" s="4" t="n">
        <f aca="false">N997-K997</f>
        <v>0</v>
      </c>
      <c r="Q997" s="4" t="n">
        <f aca="false">A997-MATCH(K997,$M$9:M996,1)</f>
        <v>2</v>
      </c>
      <c r="R997" s="0" t="n">
        <f aca="false">-G997*(O997/3600)</f>
        <v>-0.106329091743488</v>
      </c>
      <c r="S997" s="0" t="n">
        <f aca="false">-1*I997-(H997*(P997/3600))</f>
        <v>-19.5</v>
      </c>
      <c r="T997" s="0" t="n">
        <f aca="false">-H997*(O997/3600)</f>
        <v>-0.591827496846045</v>
      </c>
      <c r="U997" s="0" t="n">
        <f aca="false">T997-S997</f>
        <v>18.908172503154</v>
      </c>
      <c r="V997" s="0" t="n">
        <f aca="false">1/(1+EXP(U997))</f>
        <v>6.14164933640337E-009</v>
      </c>
      <c r="W997" s="0" t="n">
        <f aca="true">RAND()</f>
        <v>0.721772336196745</v>
      </c>
      <c r="X997" s="0" t="n">
        <f aca="false">IF(W997&lt;V997,1,0)</f>
        <v>0</v>
      </c>
      <c r="Y997" s="0" t="n">
        <f aca="false">(M997*(1-X997)+N997*X997)*D997+M997*E997</f>
        <v>12454.6833828955</v>
      </c>
      <c r="Z997" s="0" t="n">
        <f aca="false">((1-X997)*O997+X997*P997)*D997+E997*O997</f>
        <v>22.1304076067445</v>
      </c>
      <c r="AA997" s="0" t="n">
        <f aca="false">IF(D997*X997&gt;0,AA996,Q997)</f>
        <v>2</v>
      </c>
      <c r="AB997" s="0" t="n">
        <f aca="false">(X997*D997)</f>
        <v>0</v>
      </c>
      <c r="AC997" s="0" t="n">
        <f aca="false">SUM(AB$10:AB996)/K997</f>
        <v>8.04340027336E-005</v>
      </c>
      <c r="AD997" s="0" t="n">
        <f aca="false">R997*E997+D997*(X997*S997+(1-X997)*T997)</f>
        <v>-0.591827496846045</v>
      </c>
      <c r="AE997" s="0" t="n">
        <f aca="false">Z997</f>
        <v>22.1304076067445</v>
      </c>
      <c r="AF997" s="0" t="n">
        <f aca="false">E997*O997</f>
        <v>0</v>
      </c>
      <c r="AG997" s="0" t="n">
        <f aca="false">((1-X997)*O997+X997*P997)*D997</f>
        <v>22.1304076067445</v>
      </c>
      <c r="AH997" s="0" t="n">
        <f aca="false">D997*(LN(EXP(S997)+EXP(T997)))</f>
        <v>-0.591827490704395</v>
      </c>
      <c r="AJ997" s="0" t="n">
        <f aca="false">$J$5</f>
        <v>10</v>
      </c>
      <c r="AK997" s="4" t="n">
        <f aca="false">AJ997+MAX(K997,AK$10:AK996)</f>
        <v>12454.6833828955</v>
      </c>
      <c r="AL997" s="5" t="n">
        <f aca="false">AK997-K997</f>
        <v>22.1304076067445</v>
      </c>
      <c r="AM997" s="0" t="n">
        <f aca="false">-G997*AL997/3600</f>
        <v>-0.106329091743488</v>
      </c>
      <c r="AN997" s="0" t="n">
        <f aca="false">-H997*AL997/3600</f>
        <v>-0.591827496846045</v>
      </c>
      <c r="AO997" s="0" t="n">
        <f aca="false">AM997*E997+AN997*D997</f>
        <v>-0.591827496846045</v>
      </c>
      <c r="AP997" s="0" t="n">
        <f aca="false">AL997*D997</f>
        <v>22.1304076067445</v>
      </c>
      <c r="AR997" s="0" t="n">
        <f aca="false">AN997*D997</f>
        <v>-0.591827496846045</v>
      </c>
      <c r="AS997" s="0" t="n">
        <f aca="false">AH997-AR997</f>
        <v>6.14164930023975E-009</v>
      </c>
    </row>
    <row r="998" customFormat="false" ht="12" hidden="false" customHeight="false" outlineLevel="0" collapsed="false">
      <c r="A998" s="3" t="n">
        <f aca="false">A997+1</f>
        <v>989</v>
      </c>
      <c r="B998" s="3" t="n">
        <f aca="false">IF(A998&lt;$N$4/3,0.1,(IF(A998&gt;2*$N$4/3,0.05,0.12)))</f>
        <v>0.05</v>
      </c>
      <c r="C998" s="4" t="n">
        <f aca="true">RAND()</f>
        <v>0.259193812136734</v>
      </c>
      <c r="D998" s="0" t="n">
        <f aca="false">IF((C998&gt;$M$2),1,0)</f>
        <v>0</v>
      </c>
      <c r="E998" s="0" t="n">
        <f aca="false">1-D998</f>
        <v>1</v>
      </c>
      <c r="F998" s="0" t="n">
        <f aca="true">RAND()</f>
        <v>0.800901495401033</v>
      </c>
      <c r="G998" s="0" t="n">
        <f aca="false">7.75+F998*10</f>
        <v>15.7590149540103</v>
      </c>
      <c r="H998" s="0" t="n">
        <f aca="false">LOGINV(F998,2.64,1.139)</f>
        <v>36.681745133806</v>
      </c>
      <c r="I998" s="0" t="n">
        <v>19.5</v>
      </c>
      <c r="J998" s="4" t="n">
        <f aca="true">-LN(RAND())/B998</f>
        <v>0.479473372574581</v>
      </c>
      <c r="K998" s="4" t="n">
        <f aca="false">K997+J998</f>
        <v>12433.0324486613</v>
      </c>
      <c r="L998" s="4" t="n">
        <f aca="false">(1/$J$4)*(1+AB997)</f>
        <v>10</v>
      </c>
      <c r="M998" s="4" t="n">
        <f aca="false">L998+MAX(K998,Y$10:Y997)</f>
        <v>12464.6833828955</v>
      </c>
      <c r="N998" s="4" t="n">
        <f aca="false">K998</f>
        <v>12433.0324486613</v>
      </c>
      <c r="O998" s="4" t="n">
        <f aca="false">M998-K998</f>
        <v>31.6509342341706</v>
      </c>
      <c r="P998" s="4" t="n">
        <f aca="false">N998-K998</f>
        <v>0</v>
      </c>
      <c r="Q998" s="4" t="n">
        <f aca="false">A998-MATCH(K998,$M$9:M997,1)</f>
        <v>3</v>
      </c>
      <c r="R998" s="0" t="n">
        <f aca="false">-G998*(O998/3600)</f>
        <v>-0.138552096084636</v>
      </c>
      <c r="S998" s="0" t="n">
        <f aca="false">-1*I998-(H998*(P998/3600))</f>
        <v>-19.5</v>
      </c>
      <c r="T998" s="0" t="n">
        <f aca="false">-H998*(O998/3600)</f>
        <v>-0.322503195229083</v>
      </c>
      <c r="U998" s="0" t="n">
        <f aca="false">T998-S998</f>
        <v>19.1774968047709</v>
      </c>
      <c r="V998" s="0" t="n">
        <f aca="false">1/(1+EXP(U998))</f>
        <v>4.69157819264331E-009</v>
      </c>
      <c r="W998" s="0" t="n">
        <f aca="true">RAND()</f>
        <v>0.781467400593938</v>
      </c>
      <c r="X998" s="0" t="n">
        <f aca="false">IF(W998&lt;V998,1,0)</f>
        <v>0</v>
      </c>
      <c r="Y998" s="0" t="n">
        <f aca="false">(M998*(1-X998)+N998*X998)*D998+M998*E998</f>
        <v>12464.6833828955</v>
      </c>
      <c r="Z998" s="0" t="n">
        <f aca="false">((1-X998)*O998+X998*P998)*D998+E998*O998</f>
        <v>31.6509342341706</v>
      </c>
      <c r="AA998" s="0" t="n">
        <f aca="false">IF(D998*X998&gt;0,AA997,Q998)</f>
        <v>3</v>
      </c>
      <c r="AB998" s="0" t="n">
        <f aca="false">(X998*D998)</f>
        <v>0</v>
      </c>
      <c r="AC998" s="0" t="n">
        <f aca="false">SUM(AB$10:AB997)/K998</f>
        <v>8.04309008384896E-005</v>
      </c>
      <c r="AD998" s="0" t="n">
        <f aca="false">R998*E998+D998*(X998*S998+(1-X998)*T998)</f>
        <v>-0.138552096084636</v>
      </c>
      <c r="AE998" s="0" t="n">
        <f aca="false">Z998</f>
        <v>31.6509342341706</v>
      </c>
      <c r="AF998" s="0" t="n">
        <f aca="false">E998*O998</f>
        <v>31.6509342341706</v>
      </c>
      <c r="AG998" s="0" t="n">
        <f aca="false">((1-X998)*O998+X998*P998)*D998</f>
        <v>0</v>
      </c>
      <c r="AH998" s="0" t="n">
        <f aca="false">D998*(LN(EXP(S998)+EXP(T998)))</f>
        <v>-0</v>
      </c>
      <c r="AJ998" s="0" t="n">
        <f aca="false">$J$5</f>
        <v>10</v>
      </c>
      <c r="AK998" s="4" t="n">
        <f aca="false">AJ998+MAX(K998,AK$10:AK997)</f>
        <v>12464.6833828955</v>
      </c>
      <c r="AL998" s="5" t="n">
        <f aca="false">AK998-K998</f>
        <v>31.6509342341706</v>
      </c>
      <c r="AM998" s="0" t="n">
        <f aca="false">-G998*AL998/3600</f>
        <v>-0.138552096084636</v>
      </c>
      <c r="AN998" s="0" t="n">
        <f aca="false">-H998*AL998/3600</f>
        <v>-0.322503195229083</v>
      </c>
      <c r="AO998" s="0" t="n">
        <f aca="false">AM998*E998+AN998*D998</f>
        <v>-0.138552096084636</v>
      </c>
      <c r="AP998" s="0" t="n">
        <f aca="false">AL998*D998</f>
        <v>0</v>
      </c>
      <c r="AR998" s="0" t="n">
        <f aca="false">AN998*D998</f>
        <v>-0</v>
      </c>
      <c r="AS998" s="0" t="n">
        <f aca="false">AH998-AR998</f>
        <v>0</v>
      </c>
    </row>
    <row r="999" customFormat="false" ht="12" hidden="false" customHeight="false" outlineLevel="0" collapsed="false">
      <c r="A999" s="3" t="n">
        <f aca="false">A998+1</f>
        <v>990</v>
      </c>
      <c r="B999" s="3" t="n">
        <f aca="false">IF(A999&lt;$N$4/3,0.1,(IF(A999&gt;2*$N$4/3,0.05,0.12)))</f>
        <v>0.05</v>
      </c>
      <c r="C999" s="4" t="n">
        <f aca="true">RAND()</f>
        <v>0.871833184995263</v>
      </c>
      <c r="D999" s="0" t="n">
        <f aca="false">IF((C999&gt;$M$2),1,0)</f>
        <v>0</v>
      </c>
      <c r="E999" s="0" t="n">
        <f aca="false">1-D999</f>
        <v>1</v>
      </c>
      <c r="F999" s="0" t="n">
        <f aca="true">RAND()</f>
        <v>0.594085529750723</v>
      </c>
      <c r="G999" s="0" t="n">
        <f aca="false">7.75+F999*10</f>
        <v>13.6908552975072</v>
      </c>
      <c r="H999" s="0" t="n">
        <f aca="false">LOGINV(F999,2.64,1.139)</f>
        <v>18.3780788964927</v>
      </c>
      <c r="I999" s="0" t="n">
        <v>19.5</v>
      </c>
      <c r="J999" s="4" t="n">
        <f aca="true">-LN(RAND())/B999</f>
        <v>7.42372446141268</v>
      </c>
      <c r="K999" s="4" t="n">
        <f aca="false">K998+J999</f>
        <v>12440.4561731227</v>
      </c>
      <c r="L999" s="4" t="n">
        <f aca="false">(1/$J$4)*(1+AB998)</f>
        <v>10</v>
      </c>
      <c r="M999" s="4" t="n">
        <f aca="false">L999+MAX(K999,Y$10:Y998)</f>
        <v>12474.6833828955</v>
      </c>
      <c r="N999" s="4" t="n">
        <f aca="false">K999</f>
        <v>12440.4561731227</v>
      </c>
      <c r="O999" s="4" t="n">
        <f aca="false">M999-K999</f>
        <v>34.2272097727582</v>
      </c>
      <c r="P999" s="4" t="n">
        <f aca="false">N999-K999</f>
        <v>0</v>
      </c>
      <c r="Q999" s="4" t="n">
        <f aca="false">A999-MATCH(K999,$M$9:M998,1)</f>
        <v>3</v>
      </c>
      <c r="R999" s="0" t="n">
        <f aca="false">-G999*(O999/3600)</f>
        <v>-0.130166604510072</v>
      </c>
      <c r="S999" s="0" t="n">
        <f aca="false">-1*I999-(H999*(P999/3600))</f>
        <v>-19.5</v>
      </c>
      <c r="T999" s="0" t="n">
        <f aca="false">-H999*(O999/3600)</f>
        <v>-0.174730656002932</v>
      </c>
      <c r="U999" s="0" t="n">
        <f aca="false">T999-S999</f>
        <v>19.3252693439971</v>
      </c>
      <c r="V999" s="0" t="n">
        <f aca="false">1/(1+EXP(U999))</f>
        <v>4.04708346217614E-009</v>
      </c>
      <c r="W999" s="0" t="n">
        <f aca="true">RAND()</f>
        <v>0.819593432417895</v>
      </c>
      <c r="X999" s="0" t="n">
        <f aca="false">IF(W999&lt;V999,1,0)</f>
        <v>0</v>
      </c>
      <c r="Y999" s="0" t="n">
        <f aca="false">(M999*(1-X999)+N999*X999)*D999+M999*E999</f>
        <v>12474.6833828955</v>
      </c>
      <c r="Z999" s="0" t="n">
        <f aca="false">((1-X999)*O999+X999*P999)*D999+E999*O999</f>
        <v>34.2272097727582</v>
      </c>
      <c r="AA999" s="0" t="n">
        <f aca="false">IF(D999*X999&gt;0,AA998,Q999)</f>
        <v>3</v>
      </c>
      <c r="AB999" s="0" t="n">
        <f aca="false">(X999*D999)</f>
        <v>0</v>
      </c>
      <c r="AC999" s="0" t="n">
        <f aca="false">SUM(AB$10:AB998)/K999</f>
        <v>8.03829044597637E-005</v>
      </c>
      <c r="AD999" s="0" t="n">
        <f aca="false">R999*E999+D999*(X999*S999+(1-X999)*T999)</f>
        <v>-0.130166604510072</v>
      </c>
      <c r="AE999" s="0" t="n">
        <f aca="false">Z999</f>
        <v>34.2272097727582</v>
      </c>
      <c r="AF999" s="0" t="n">
        <f aca="false">E999*O999</f>
        <v>34.2272097727582</v>
      </c>
      <c r="AG999" s="0" t="n">
        <f aca="false">((1-X999)*O999+X999*P999)*D999</f>
        <v>0</v>
      </c>
      <c r="AH999" s="0" t="n">
        <f aca="false">D999*(LN(EXP(S999)+EXP(T999)))</f>
        <v>-0</v>
      </c>
      <c r="AJ999" s="0" t="n">
        <f aca="false">$J$5</f>
        <v>10</v>
      </c>
      <c r="AK999" s="4" t="n">
        <f aca="false">AJ999+MAX(K999,AK$10:AK998)</f>
        <v>12474.6833828955</v>
      </c>
      <c r="AL999" s="5" t="n">
        <f aca="false">AK999-K999</f>
        <v>34.2272097727582</v>
      </c>
      <c r="AM999" s="0" t="n">
        <f aca="false">-G999*AL999/3600</f>
        <v>-0.130166604510072</v>
      </c>
      <c r="AN999" s="0" t="n">
        <f aca="false">-H999*AL999/3600</f>
        <v>-0.174730656002932</v>
      </c>
      <c r="AO999" s="0" t="n">
        <f aca="false">AM999*E999+AN999*D999</f>
        <v>-0.130166604510072</v>
      </c>
      <c r="AP999" s="0" t="n">
        <f aca="false">AL999*D999</f>
        <v>0</v>
      </c>
      <c r="AR999" s="0" t="n">
        <f aca="false">AN999*D999</f>
        <v>-0</v>
      </c>
      <c r="AS999" s="0" t="n">
        <f aca="false">AH999-AR999</f>
        <v>0</v>
      </c>
    </row>
    <row r="1000" customFormat="false" ht="12" hidden="false" customHeight="false" outlineLevel="0" collapsed="false">
      <c r="A1000" s="3" t="n">
        <f aca="false">A999+1</f>
        <v>991</v>
      </c>
      <c r="B1000" s="3" t="n">
        <f aca="false">IF(A1000&lt;$N$4/3,0.1,(IF(A1000&gt;2*$N$4/3,0.05,0.12)))</f>
        <v>0.05</v>
      </c>
      <c r="C1000" s="4" t="n">
        <f aca="true">RAND()</f>
        <v>0.816234310638249</v>
      </c>
      <c r="D1000" s="0" t="n">
        <f aca="false">IF((C1000&gt;$M$2),1,0)</f>
        <v>0</v>
      </c>
      <c r="E1000" s="0" t="n">
        <f aca="false">1-D1000</f>
        <v>1</v>
      </c>
      <c r="F1000" s="0" t="n">
        <f aca="true">RAND()</f>
        <v>0.459280608392296</v>
      </c>
      <c r="G1000" s="0" t="n">
        <f aca="false">7.75+F1000*10</f>
        <v>12.342806083923</v>
      </c>
      <c r="H1000" s="0" t="n">
        <f aca="false">LOGINV(F1000,2.64,1.139)</f>
        <v>12.4726908169667</v>
      </c>
      <c r="I1000" s="0" t="n">
        <v>19.5</v>
      </c>
      <c r="J1000" s="4" t="n">
        <f aca="true">-LN(RAND())/B1000</f>
        <v>18.7512337959422</v>
      </c>
      <c r="K1000" s="4" t="n">
        <f aca="false">K999+J1000</f>
        <v>12459.2074069186</v>
      </c>
      <c r="L1000" s="4" t="n">
        <f aca="false">(1/$J$4)*(1+AB999)</f>
        <v>10</v>
      </c>
      <c r="M1000" s="4" t="n">
        <f aca="false">L1000+MAX(K1000,Y$10:Y999)</f>
        <v>12484.6833828955</v>
      </c>
      <c r="N1000" s="4" t="n">
        <f aca="false">K1000</f>
        <v>12459.2074069186</v>
      </c>
      <c r="O1000" s="4" t="n">
        <f aca="false">M1000-K1000</f>
        <v>25.4759759768167</v>
      </c>
      <c r="P1000" s="4" t="n">
        <f aca="false">N1000-K1000</f>
        <v>0</v>
      </c>
      <c r="Q1000" s="4" t="n">
        <f aca="false">A1000-MATCH(K1000,$M$9:M999,1)</f>
        <v>2</v>
      </c>
      <c r="R1000" s="0" t="n">
        <f aca="false">-G1000*(O1000/3600)</f>
        <v>-0.087345842022369</v>
      </c>
      <c r="S1000" s="0" t="n">
        <f aca="false">-1*I1000-(H1000*(P1000/3600))</f>
        <v>-19.5</v>
      </c>
      <c r="T1000" s="0" t="n">
        <f aca="false">-H1000*(O1000/3600)</f>
        <v>-0.088264992116474</v>
      </c>
      <c r="U1000" s="0" t="n">
        <f aca="false">T1000-S1000</f>
        <v>19.4117350078835</v>
      </c>
      <c r="V1000" s="0" t="n">
        <f aca="false">1/(1+EXP(U1000))</f>
        <v>3.71185156167333E-009</v>
      </c>
      <c r="W1000" s="0" t="n">
        <f aca="true">RAND()</f>
        <v>0.930193880396239</v>
      </c>
      <c r="X1000" s="0" t="n">
        <f aca="false">IF(W1000&lt;V1000,1,0)</f>
        <v>0</v>
      </c>
      <c r="Y1000" s="0" t="n">
        <f aca="false">(M1000*(1-X1000)+N1000*X1000)*D1000+M1000*E1000</f>
        <v>12484.6833828955</v>
      </c>
      <c r="Z1000" s="0" t="n">
        <f aca="false">((1-X1000)*O1000+X1000*P1000)*D1000+E1000*O1000</f>
        <v>25.4759759768167</v>
      </c>
      <c r="AA1000" s="0" t="n">
        <f aca="false">IF(D1000*X1000&gt;0,AA999,Q1000)</f>
        <v>2</v>
      </c>
      <c r="AB1000" s="0" t="n">
        <f aca="false">(X1000*D1000)</f>
        <v>0</v>
      </c>
      <c r="AC1000" s="0" t="n">
        <f aca="false">SUM(AB$10:AB999)/K1000</f>
        <v>8.02619273714551E-005</v>
      </c>
      <c r="AD1000" s="0" t="n">
        <f aca="false">R1000*E1000+D1000*(X1000*S1000+(1-X1000)*T1000)</f>
        <v>-0.087345842022369</v>
      </c>
      <c r="AE1000" s="0" t="n">
        <f aca="false">Z1000</f>
        <v>25.4759759768167</v>
      </c>
      <c r="AF1000" s="0" t="n">
        <f aca="false">E1000*O1000</f>
        <v>25.4759759768167</v>
      </c>
      <c r="AG1000" s="0" t="n">
        <f aca="false">((1-X1000)*O1000+X1000*P1000)*D1000</f>
        <v>0</v>
      </c>
      <c r="AH1000" s="0" t="n">
        <f aca="false">D1000*(LN(EXP(S1000)+EXP(T1000)))</f>
        <v>-0</v>
      </c>
      <c r="AJ1000" s="0" t="n">
        <f aca="false">$J$5</f>
        <v>10</v>
      </c>
      <c r="AK1000" s="4" t="n">
        <f aca="false">AJ1000+MAX(K1000,AK$10:AK999)</f>
        <v>12484.6833828955</v>
      </c>
      <c r="AL1000" s="5" t="n">
        <f aca="false">AK1000-K1000</f>
        <v>25.4759759768167</v>
      </c>
      <c r="AM1000" s="0" t="n">
        <f aca="false">-G1000*AL1000/3600</f>
        <v>-0.087345842022369</v>
      </c>
      <c r="AN1000" s="0" t="n">
        <f aca="false">-H1000*AL1000/3600</f>
        <v>-0.088264992116474</v>
      </c>
      <c r="AO1000" s="0" t="n">
        <f aca="false">AM1000*E1000+AN1000*D1000</f>
        <v>-0.087345842022369</v>
      </c>
      <c r="AP1000" s="0" t="n">
        <f aca="false">AL1000*D1000</f>
        <v>0</v>
      </c>
      <c r="AR1000" s="0" t="n">
        <f aca="false">AN1000*D1000</f>
        <v>-0</v>
      </c>
      <c r="AS1000" s="0" t="n">
        <f aca="false">AH1000-AR1000</f>
        <v>0</v>
      </c>
    </row>
    <row r="1001" customFormat="false" ht="12" hidden="false" customHeight="false" outlineLevel="0" collapsed="false">
      <c r="A1001" s="3" t="n">
        <f aca="false">A1000+1</f>
        <v>992</v>
      </c>
      <c r="B1001" s="3" t="n">
        <f aca="false">IF(A1001&lt;$N$4/3,0.1,(IF(A1001&gt;2*$N$4/3,0.05,0.12)))</f>
        <v>0.05</v>
      </c>
      <c r="C1001" s="4" t="n">
        <f aca="true">RAND()</f>
        <v>0.486749560613039</v>
      </c>
      <c r="D1001" s="0" t="n">
        <f aca="false">IF((C1001&gt;$M$2),1,0)</f>
        <v>0</v>
      </c>
      <c r="E1001" s="0" t="n">
        <f aca="false">1-D1001</f>
        <v>1</v>
      </c>
      <c r="F1001" s="0" t="n">
        <f aca="true">RAND()</f>
        <v>0.601646308343476</v>
      </c>
      <c r="G1001" s="0" t="n">
        <f aca="false">7.75+F1001*10</f>
        <v>13.7664630834348</v>
      </c>
      <c r="H1001" s="0" t="n">
        <f aca="false">LOGINV(F1001,2.64,1.139)</f>
        <v>18.7917617514209</v>
      </c>
      <c r="I1001" s="0" t="n">
        <v>19.5</v>
      </c>
      <c r="J1001" s="4" t="n">
        <f aca="true">-LN(RAND())/B1001</f>
        <v>38.9538598105962</v>
      </c>
      <c r="K1001" s="4" t="n">
        <f aca="false">K1000+J1001</f>
        <v>12498.1612667292</v>
      </c>
      <c r="L1001" s="4" t="n">
        <f aca="false">(1/$J$4)*(1+AB1000)</f>
        <v>10</v>
      </c>
      <c r="M1001" s="4" t="n">
        <f aca="false">L1001+MAX(K1001,Y$10:Y1000)</f>
        <v>12508.1612667292</v>
      </c>
      <c r="N1001" s="4" t="n">
        <f aca="false">K1001</f>
        <v>12498.1612667292</v>
      </c>
      <c r="O1001" s="4" t="n">
        <f aca="false">M1001-K1001</f>
        <v>10</v>
      </c>
      <c r="P1001" s="4" t="n">
        <f aca="false">N1001-K1001</f>
        <v>0</v>
      </c>
      <c r="Q1001" s="4" t="n">
        <f aca="false">A1001-MATCH(K1001,$M$9:M1000,1)</f>
        <v>0</v>
      </c>
      <c r="R1001" s="0" t="n">
        <f aca="false">-G1001*(O1001/3600)</f>
        <v>-0.0382401752317632</v>
      </c>
      <c r="S1001" s="0" t="n">
        <f aca="false">-1*I1001-(H1001*(P1001/3600))</f>
        <v>-19.5</v>
      </c>
      <c r="T1001" s="0" t="n">
        <f aca="false">-H1001*(O1001/3600)</f>
        <v>-0.0521993381983915</v>
      </c>
      <c r="U1001" s="0" t="n">
        <f aca="false">T1001-S1001</f>
        <v>19.4478006618016</v>
      </c>
      <c r="V1001" s="0" t="n">
        <f aca="false">1/(1+EXP(U1001))</f>
        <v>3.58036650748312E-009</v>
      </c>
      <c r="W1001" s="0" t="n">
        <f aca="true">RAND()</f>
        <v>0.673678034137642</v>
      </c>
      <c r="X1001" s="0" t="n">
        <f aca="false">IF(W1001&lt;V1001,1,0)</f>
        <v>0</v>
      </c>
      <c r="Y1001" s="0" t="n">
        <f aca="false">(M1001*(1-X1001)+N1001*X1001)*D1001+M1001*E1001</f>
        <v>12508.1612667292</v>
      </c>
      <c r="Z1001" s="0" t="n">
        <f aca="false">((1-X1001)*O1001+X1001*P1001)*D1001+E1001*O1001</f>
        <v>10</v>
      </c>
      <c r="AA1001" s="0" t="n">
        <f aca="false">IF(D1001*X1001&gt;0,AA1000,Q1001)</f>
        <v>0</v>
      </c>
      <c r="AB1001" s="0" t="n">
        <f aca="false">(X1001*D1001)</f>
        <v>0</v>
      </c>
      <c r="AC1001" s="0" t="n">
        <f aca="false">SUM(AB$10:AB1000)/K1001</f>
        <v>8.00117696242288E-005</v>
      </c>
      <c r="AD1001" s="0" t="n">
        <f aca="false">R1001*E1001+D1001*(X1001*S1001+(1-X1001)*T1001)</f>
        <v>-0.0382401752317632</v>
      </c>
      <c r="AE1001" s="0" t="n">
        <f aca="false">Z1001</f>
        <v>10</v>
      </c>
      <c r="AF1001" s="0" t="n">
        <f aca="false">E1001*O1001</f>
        <v>10</v>
      </c>
      <c r="AG1001" s="0" t="n">
        <f aca="false">((1-X1001)*O1001+X1001*P1001)*D1001</f>
        <v>0</v>
      </c>
      <c r="AH1001" s="0" t="n">
        <f aca="false">D1001*(LN(EXP(S1001)+EXP(T1001)))</f>
        <v>-0</v>
      </c>
      <c r="AJ1001" s="0" t="n">
        <f aca="false">$J$5</f>
        <v>10</v>
      </c>
      <c r="AK1001" s="4" t="n">
        <f aca="false">AJ1001+MAX(K1001,AK$10:AK1000)</f>
        <v>12508.1612667292</v>
      </c>
      <c r="AL1001" s="5" t="n">
        <f aca="false">AK1001-K1001</f>
        <v>10</v>
      </c>
      <c r="AM1001" s="0" t="n">
        <f aca="false">-G1001*AL1001/3600</f>
        <v>-0.0382401752317632</v>
      </c>
      <c r="AN1001" s="0" t="n">
        <f aca="false">-H1001*AL1001/3600</f>
        <v>-0.0521993381983915</v>
      </c>
      <c r="AO1001" s="0" t="n">
        <f aca="false">AM1001*E1001+AN1001*D1001</f>
        <v>-0.0382401752317632</v>
      </c>
      <c r="AP1001" s="0" t="n">
        <f aca="false">AL1001*D1001</f>
        <v>0</v>
      </c>
      <c r="AR1001" s="0" t="n">
        <f aca="false">AN1001*D1001</f>
        <v>-0</v>
      </c>
      <c r="AS1001" s="0" t="n">
        <f aca="false">AH1001-AR1001</f>
        <v>0</v>
      </c>
    </row>
    <row r="1002" customFormat="false" ht="12" hidden="false" customHeight="false" outlineLevel="0" collapsed="false">
      <c r="A1002" s="3" t="n">
        <f aca="false">A1001+1</f>
        <v>993</v>
      </c>
      <c r="B1002" s="3" t="n">
        <f aca="false">IF(A1002&lt;$N$4/3,0.1,(IF(A1002&gt;2*$N$4/3,0.05,0.12)))</f>
        <v>0.05</v>
      </c>
      <c r="C1002" s="4" t="n">
        <f aca="true">RAND()</f>
        <v>0.636689895415846</v>
      </c>
      <c r="D1002" s="0" t="n">
        <f aca="false">IF((C1002&gt;$M$2),1,0)</f>
        <v>0</v>
      </c>
      <c r="E1002" s="0" t="n">
        <f aca="false">1-D1002</f>
        <v>1</v>
      </c>
      <c r="F1002" s="0" t="n">
        <f aca="true">RAND()</f>
        <v>0.2036780642816</v>
      </c>
      <c r="G1002" s="0" t="n">
        <f aca="false">7.75+F1002*10</f>
        <v>9.786780642816</v>
      </c>
      <c r="H1002" s="0" t="n">
        <f aca="false">LOGINV(F1002,2.64,1.139)</f>
        <v>5.45359808232003</v>
      </c>
      <c r="I1002" s="0" t="n">
        <v>19.5</v>
      </c>
      <c r="J1002" s="4" t="n">
        <f aca="true">-LN(RAND())/B1002</f>
        <v>15.1444563729314</v>
      </c>
      <c r="K1002" s="4" t="n">
        <f aca="false">K1001+J1002</f>
        <v>12513.3057231022</v>
      </c>
      <c r="L1002" s="4" t="n">
        <f aca="false">(1/$J$4)*(1+AB1001)</f>
        <v>10</v>
      </c>
      <c r="M1002" s="4" t="n">
        <f aca="false">L1002+MAX(K1002,Y$10:Y1001)</f>
        <v>12523.3057231022</v>
      </c>
      <c r="N1002" s="4" t="n">
        <f aca="false">K1002</f>
        <v>12513.3057231022</v>
      </c>
      <c r="O1002" s="4" t="n">
        <f aca="false">M1002-K1002</f>
        <v>10</v>
      </c>
      <c r="P1002" s="4" t="n">
        <f aca="false">N1002-K1002</f>
        <v>0</v>
      </c>
      <c r="Q1002" s="4" t="n">
        <f aca="false">A1002-MATCH(K1002,$M$9:M1001,1)</f>
        <v>0</v>
      </c>
      <c r="R1002" s="0" t="n">
        <f aca="false">-G1002*(O1002/3600)</f>
        <v>-0.0271855017856</v>
      </c>
      <c r="S1002" s="0" t="n">
        <f aca="false">-1*I1002-(H1002*(P1002/3600))</f>
        <v>-19.5</v>
      </c>
      <c r="T1002" s="0" t="n">
        <f aca="false">-H1002*(O1002/3600)</f>
        <v>-0.0151488835620001</v>
      </c>
      <c r="U1002" s="0" t="n">
        <f aca="false">T1002-S1002</f>
        <v>19.484851116438</v>
      </c>
      <c r="V1002" s="0" t="n">
        <f aca="false">1/(1+EXP(U1002))</f>
        <v>3.45013967957927E-009</v>
      </c>
      <c r="W1002" s="0" t="n">
        <f aca="true">RAND()</f>
        <v>0.484900155092688</v>
      </c>
      <c r="X1002" s="0" t="n">
        <f aca="false">IF(W1002&lt;V1002,1,0)</f>
        <v>0</v>
      </c>
      <c r="Y1002" s="0" t="n">
        <f aca="false">(M1002*(1-X1002)+N1002*X1002)*D1002+M1002*E1002</f>
        <v>12523.3057231022</v>
      </c>
      <c r="Z1002" s="0" t="n">
        <f aca="false">((1-X1002)*O1002+X1002*P1002)*D1002+E1002*O1002</f>
        <v>10</v>
      </c>
      <c r="AA1002" s="0" t="n">
        <f aca="false">IF(D1002*X1002&gt;0,AA1001,Q1002)</f>
        <v>0</v>
      </c>
      <c r="AB1002" s="0" t="n">
        <f aca="false">(X1002*D1002)</f>
        <v>0</v>
      </c>
      <c r="AC1002" s="0" t="n">
        <f aca="false">SUM(AB$10:AB1001)/K1002</f>
        <v>7.99149339214011E-005</v>
      </c>
      <c r="AD1002" s="0" t="n">
        <f aca="false">R1002*E1002+D1002*(X1002*S1002+(1-X1002)*T1002)</f>
        <v>-0.0271855017856</v>
      </c>
      <c r="AE1002" s="0" t="n">
        <f aca="false">Z1002</f>
        <v>10</v>
      </c>
      <c r="AF1002" s="0" t="n">
        <f aca="false">E1002*O1002</f>
        <v>10</v>
      </c>
      <c r="AG1002" s="0" t="n">
        <f aca="false">((1-X1002)*O1002+X1002*P1002)*D1002</f>
        <v>0</v>
      </c>
      <c r="AH1002" s="0" t="n">
        <f aca="false">D1002*(LN(EXP(S1002)+EXP(T1002)))</f>
        <v>-0</v>
      </c>
      <c r="AJ1002" s="0" t="n">
        <f aca="false">$J$5</f>
        <v>10</v>
      </c>
      <c r="AK1002" s="4" t="n">
        <f aca="false">AJ1002+MAX(K1002,AK$10:AK1001)</f>
        <v>12523.3057231022</v>
      </c>
      <c r="AL1002" s="5" t="n">
        <f aca="false">AK1002-K1002</f>
        <v>10</v>
      </c>
      <c r="AM1002" s="0" t="n">
        <f aca="false">-G1002*AL1002/3600</f>
        <v>-0.0271855017856</v>
      </c>
      <c r="AN1002" s="0" t="n">
        <f aca="false">-H1002*AL1002/3600</f>
        <v>-0.0151488835620001</v>
      </c>
      <c r="AO1002" s="0" t="n">
        <f aca="false">AM1002*E1002+AN1002*D1002</f>
        <v>-0.0271855017856</v>
      </c>
      <c r="AP1002" s="0" t="n">
        <f aca="false">AL1002*D1002</f>
        <v>0</v>
      </c>
      <c r="AR1002" s="0" t="n">
        <f aca="false">AN1002*D1002</f>
        <v>-0</v>
      </c>
      <c r="AS1002" s="0" t="n">
        <f aca="false">AH1002-AR1002</f>
        <v>0</v>
      </c>
    </row>
    <row r="1003" customFormat="false" ht="12" hidden="false" customHeight="false" outlineLevel="0" collapsed="false">
      <c r="A1003" s="3" t="n">
        <f aca="false">A1002+1</f>
        <v>994</v>
      </c>
      <c r="B1003" s="3" t="n">
        <f aca="false">IF(A1003&lt;$N$4/3,0.1,(IF(A1003&gt;2*$N$4/3,0.05,0.12)))</f>
        <v>0.05</v>
      </c>
      <c r="C1003" s="4" t="n">
        <f aca="true">RAND()</f>
        <v>0.628032388729546</v>
      </c>
      <c r="D1003" s="0" t="n">
        <f aca="false">IF((C1003&gt;$M$2),1,0)</f>
        <v>0</v>
      </c>
      <c r="E1003" s="0" t="n">
        <f aca="false">1-D1003</f>
        <v>1</v>
      </c>
      <c r="F1003" s="0" t="n">
        <f aca="true">RAND()</f>
        <v>0.122801175821236</v>
      </c>
      <c r="G1003" s="0" t="n">
        <f aca="false">7.75+F1003*10</f>
        <v>8.97801175821236</v>
      </c>
      <c r="H1003" s="0" t="n">
        <f aca="false">LOGINV(F1003,2.64,1.139)</f>
        <v>3.73411270660311</v>
      </c>
      <c r="I1003" s="0" t="n">
        <v>19.5</v>
      </c>
      <c r="J1003" s="4" t="n">
        <f aca="true">-LN(RAND())/B1003</f>
        <v>38.7119894250215</v>
      </c>
      <c r="K1003" s="4" t="n">
        <f aca="false">K1002+J1003</f>
        <v>12552.0177125272</v>
      </c>
      <c r="L1003" s="4" t="n">
        <f aca="false">(1/$J$4)*(1+AB1002)</f>
        <v>10</v>
      </c>
      <c r="M1003" s="4" t="n">
        <f aca="false">L1003+MAX(K1003,Y$10:Y1002)</f>
        <v>12562.0177125272</v>
      </c>
      <c r="N1003" s="4" t="n">
        <f aca="false">K1003</f>
        <v>12552.0177125272</v>
      </c>
      <c r="O1003" s="4" t="n">
        <f aca="false">M1003-K1003</f>
        <v>10</v>
      </c>
      <c r="P1003" s="4" t="n">
        <f aca="false">N1003-K1003</f>
        <v>0</v>
      </c>
      <c r="Q1003" s="4" t="n">
        <f aca="false">A1003-MATCH(K1003,$M$9:M1002,1)</f>
        <v>0</v>
      </c>
      <c r="R1003" s="0" t="n">
        <f aca="false">-G1003*(O1003/3600)</f>
        <v>-0.0249389215505899</v>
      </c>
      <c r="S1003" s="0" t="n">
        <f aca="false">-1*I1003-(H1003*(P1003/3600))</f>
        <v>-19.5</v>
      </c>
      <c r="T1003" s="0" t="n">
        <f aca="false">-H1003*(O1003/3600)</f>
        <v>-0.0103725352961197</v>
      </c>
      <c r="U1003" s="0" t="n">
        <f aca="false">T1003-S1003</f>
        <v>19.4896274647039</v>
      </c>
      <c r="V1003" s="0" t="n">
        <f aca="false">1/(1+EXP(U1003))</f>
        <v>3.43369990326287E-009</v>
      </c>
      <c r="W1003" s="0" t="n">
        <f aca="true">RAND()</f>
        <v>0.142503395704683</v>
      </c>
      <c r="X1003" s="0" t="n">
        <f aca="false">IF(W1003&lt;V1003,1,0)</f>
        <v>0</v>
      </c>
      <c r="Y1003" s="0" t="n">
        <f aca="false">(M1003*(1-X1003)+N1003*X1003)*D1003+M1003*E1003</f>
        <v>12562.0177125272</v>
      </c>
      <c r="Z1003" s="0" t="n">
        <f aca="false">((1-X1003)*O1003+X1003*P1003)*D1003+E1003*O1003</f>
        <v>10</v>
      </c>
      <c r="AA1003" s="0" t="n">
        <f aca="false">IF(D1003*X1003&gt;0,AA1002,Q1003)</f>
        <v>0</v>
      </c>
      <c r="AB1003" s="0" t="n">
        <f aca="false">(X1003*D1003)</f>
        <v>0</v>
      </c>
      <c r="AC1003" s="0" t="n">
        <f aca="false">SUM(AB$10:AB1002)/K1003</f>
        <v>7.96684662898442E-005</v>
      </c>
      <c r="AD1003" s="0" t="n">
        <f aca="false">R1003*E1003+D1003*(X1003*S1003+(1-X1003)*T1003)</f>
        <v>-0.0249389215505899</v>
      </c>
      <c r="AE1003" s="0" t="n">
        <f aca="false">Z1003</f>
        <v>10</v>
      </c>
      <c r="AF1003" s="0" t="n">
        <f aca="false">E1003*O1003</f>
        <v>10</v>
      </c>
      <c r="AG1003" s="0" t="n">
        <f aca="false">((1-X1003)*O1003+X1003*P1003)*D1003</f>
        <v>0</v>
      </c>
      <c r="AH1003" s="0" t="n">
        <f aca="false">D1003*(LN(EXP(S1003)+EXP(T1003)))</f>
        <v>-0</v>
      </c>
      <c r="AJ1003" s="0" t="n">
        <f aca="false">$J$5</f>
        <v>10</v>
      </c>
      <c r="AK1003" s="4" t="n">
        <f aca="false">AJ1003+MAX(K1003,AK$10:AK1002)</f>
        <v>12562.0177125272</v>
      </c>
      <c r="AL1003" s="5" t="n">
        <f aca="false">AK1003-K1003</f>
        <v>10</v>
      </c>
      <c r="AM1003" s="0" t="n">
        <f aca="false">-G1003*AL1003/3600</f>
        <v>-0.0249389215505899</v>
      </c>
      <c r="AN1003" s="0" t="n">
        <f aca="false">-H1003*AL1003/3600</f>
        <v>-0.0103725352961197</v>
      </c>
      <c r="AO1003" s="0" t="n">
        <f aca="false">AM1003*E1003+AN1003*D1003</f>
        <v>-0.0249389215505899</v>
      </c>
      <c r="AP1003" s="0" t="n">
        <f aca="false">AL1003*D1003</f>
        <v>0</v>
      </c>
      <c r="AR1003" s="0" t="n">
        <f aca="false">AN1003*D1003</f>
        <v>-0</v>
      </c>
      <c r="AS1003" s="0" t="n">
        <f aca="false">AH1003-AR1003</f>
        <v>0</v>
      </c>
    </row>
    <row r="1004" customFormat="false" ht="12" hidden="false" customHeight="false" outlineLevel="0" collapsed="false">
      <c r="A1004" s="3" t="n">
        <f aca="false">A1003+1</f>
        <v>995</v>
      </c>
      <c r="B1004" s="3" t="n">
        <f aca="false">IF(A1004&lt;$N$4/3,0.1,(IF(A1004&gt;2*$N$4/3,0.05,0.12)))</f>
        <v>0.05</v>
      </c>
      <c r="C1004" s="4" t="n">
        <f aca="true">RAND()</f>
        <v>0.0923957966790327</v>
      </c>
      <c r="D1004" s="0" t="n">
        <f aca="false">IF((C1004&gt;$M$2),1,0)</f>
        <v>0</v>
      </c>
      <c r="E1004" s="0" t="n">
        <f aca="false">1-D1004</f>
        <v>1</v>
      </c>
      <c r="F1004" s="0" t="n">
        <f aca="true">RAND()</f>
        <v>0.278569288383319</v>
      </c>
      <c r="G1004" s="0" t="n">
        <f aca="false">7.75+F1004*10</f>
        <v>10.5356928838332</v>
      </c>
      <c r="H1004" s="0" t="n">
        <f aca="false">LOGINV(F1004,2.64,1.139)</f>
        <v>7.17997959793895</v>
      </c>
      <c r="I1004" s="0" t="n">
        <v>19.5</v>
      </c>
      <c r="J1004" s="4" t="n">
        <f aca="true">-LN(RAND())/B1004</f>
        <v>11.3897157588393</v>
      </c>
      <c r="K1004" s="4" t="n">
        <f aca="false">K1003+J1004</f>
        <v>12563.407428286</v>
      </c>
      <c r="L1004" s="4" t="n">
        <f aca="false">(1/$J$4)*(1+AB1003)</f>
        <v>10</v>
      </c>
      <c r="M1004" s="4" t="n">
        <f aca="false">L1004+MAX(K1004,Y$10:Y1003)</f>
        <v>12573.407428286</v>
      </c>
      <c r="N1004" s="4" t="n">
        <f aca="false">K1004</f>
        <v>12563.407428286</v>
      </c>
      <c r="O1004" s="4" t="n">
        <f aca="false">M1004-K1004</f>
        <v>10</v>
      </c>
      <c r="P1004" s="4" t="n">
        <f aca="false">N1004-K1004</f>
        <v>0</v>
      </c>
      <c r="Q1004" s="4" t="n">
        <f aca="false">A1004-MATCH(K1004,$M$9:M1003,1)</f>
        <v>0</v>
      </c>
      <c r="R1004" s="0" t="n">
        <f aca="false">-G1004*(O1004/3600)</f>
        <v>-0.0292658135662033</v>
      </c>
      <c r="S1004" s="0" t="n">
        <f aca="false">-1*I1004-(H1004*(P1004/3600))</f>
        <v>-19.5</v>
      </c>
      <c r="T1004" s="0" t="n">
        <f aca="false">-H1004*(O1004/3600)</f>
        <v>-0.0199443877720526</v>
      </c>
      <c r="U1004" s="0" t="n">
        <f aca="false">T1004-S1004</f>
        <v>19.4800556122279</v>
      </c>
      <c r="V1004" s="0" t="n">
        <f aca="false">1/(1+EXP(U1004))</f>
        <v>3.46672457356171E-009</v>
      </c>
      <c r="W1004" s="0" t="n">
        <f aca="true">RAND()</f>
        <v>0.497036855332566</v>
      </c>
      <c r="X1004" s="0" t="n">
        <f aca="false">IF(W1004&lt;V1004,1,0)</f>
        <v>0</v>
      </c>
      <c r="Y1004" s="0" t="n">
        <f aca="false">(M1004*(1-X1004)+N1004*X1004)*D1004+M1004*E1004</f>
        <v>12573.407428286</v>
      </c>
      <c r="Z1004" s="0" t="n">
        <f aca="false">((1-X1004)*O1004+X1004*P1004)*D1004+E1004*O1004</f>
        <v>10</v>
      </c>
      <c r="AA1004" s="0" t="n">
        <f aca="false">IF(D1004*X1004&gt;0,AA1003,Q1004)</f>
        <v>0</v>
      </c>
      <c r="AB1004" s="0" t="n">
        <f aca="false">(X1004*D1004)</f>
        <v>0</v>
      </c>
      <c r="AC1004" s="0" t="n">
        <f aca="false">SUM(AB$10:AB1003)/K1004</f>
        <v>7.95962405667541E-005</v>
      </c>
      <c r="AD1004" s="0" t="n">
        <f aca="false">R1004*E1004+D1004*(X1004*S1004+(1-X1004)*T1004)</f>
        <v>-0.0292658135662033</v>
      </c>
      <c r="AE1004" s="0" t="n">
        <f aca="false">Z1004</f>
        <v>10</v>
      </c>
      <c r="AF1004" s="0" t="n">
        <f aca="false">E1004*O1004</f>
        <v>10</v>
      </c>
      <c r="AG1004" s="0" t="n">
        <f aca="false">((1-X1004)*O1004+X1004*P1004)*D1004</f>
        <v>0</v>
      </c>
      <c r="AH1004" s="0" t="n">
        <f aca="false">D1004*(LN(EXP(S1004)+EXP(T1004)))</f>
        <v>-0</v>
      </c>
      <c r="AJ1004" s="0" t="n">
        <f aca="false">$J$5</f>
        <v>10</v>
      </c>
      <c r="AK1004" s="4" t="n">
        <f aca="false">AJ1004+MAX(K1004,AK$10:AK1003)</f>
        <v>12573.407428286</v>
      </c>
      <c r="AL1004" s="5" t="n">
        <f aca="false">AK1004-K1004</f>
        <v>10</v>
      </c>
      <c r="AM1004" s="0" t="n">
        <f aca="false">-G1004*AL1004/3600</f>
        <v>-0.0292658135662033</v>
      </c>
      <c r="AN1004" s="0" t="n">
        <f aca="false">-H1004*AL1004/3600</f>
        <v>-0.0199443877720526</v>
      </c>
      <c r="AO1004" s="0" t="n">
        <f aca="false">AM1004*E1004+AN1004*D1004</f>
        <v>-0.0292658135662033</v>
      </c>
      <c r="AP1004" s="0" t="n">
        <f aca="false">AL1004*D1004</f>
        <v>0</v>
      </c>
      <c r="AR1004" s="0" t="n">
        <f aca="false">AN1004*D1004</f>
        <v>-0</v>
      </c>
      <c r="AS1004" s="0" t="n">
        <f aca="false">AH1004-AR1004</f>
        <v>0</v>
      </c>
    </row>
    <row r="1005" customFormat="false" ht="12" hidden="false" customHeight="false" outlineLevel="0" collapsed="false">
      <c r="A1005" s="3" t="n">
        <f aca="false">A1004+1</f>
        <v>996</v>
      </c>
      <c r="B1005" s="3" t="n">
        <f aca="false">IF(A1005&lt;$N$4/3,0.1,(IF(A1005&gt;2*$N$4/3,0.05,0.12)))</f>
        <v>0.05</v>
      </c>
      <c r="C1005" s="4" t="n">
        <f aca="true">RAND()</f>
        <v>0.387510674083349</v>
      </c>
      <c r="D1005" s="0" t="n">
        <f aca="false">IF((C1005&gt;$M$2),1,0)</f>
        <v>0</v>
      </c>
      <c r="E1005" s="0" t="n">
        <f aca="false">1-D1005</f>
        <v>1</v>
      </c>
      <c r="F1005" s="0" t="n">
        <f aca="true">RAND()</f>
        <v>0.979563977684904</v>
      </c>
      <c r="G1005" s="0" t="n">
        <f aca="false">7.75+F1005*10</f>
        <v>17.545639776849</v>
      </c>
      <c r="H1005" s="0" t="n">
        <f aca="false">LOGINV(F1005,2.64,1.139)</f>
        <v>143.891058864259</v>
      </c>
      <c r="I1005" s="0" t="n">
        <v>19.5</v>
      </c>
      <c r="J1005" s="4" t="n">
        <f aca="true">-LN(RAND())/B1005</f>
        <v>7.40253396117833</v>
      </c>
      <c r="K1005" s="4" t="n">
        <f aca="false">K1004+J1005</f>
        <v>12570.8099622472</v>
      </c>
      <c r="L1005" s="4" t="n">
        <f aca="false">(1/$J$4)*(1+AB1004)</f>
        <v>10</v>
      </c>
      <c r="M1005" s="4" t="n">
        <f aca="false">L1005+MAX(K1005,Y$10:Y1004)</f>
        <v>12583.407428286</v>
      </c>
      <c r="N1005" s="4" t="n">
        <f aca="false">K1005</f>
        <v>12570.8099622472</v>
      </c>
      <c r="O1005" s="4" t="n">
        <f aca="false">M1005-K1005</f>
        <v>12.5974660388219</v>
      </c>
      <c r="P1005" s="4" t="n">
        <f aca="false">N1005-K1005</f>
        <v>0</v>
      </c>
      <c r="Q1005" s="4" t="n">
        <f aca="false">A1005-MATCH(K1005,$M$9:M1004,1)</f>
        <v>1</v>
      </c>
      <c r="R1005" s="0" t="n">
        <f aca="false">-G1005*(O1005/3600)</f>
        <v>-0.0613973892272943</v>
      </c>
      <c r="S1005" s="0" t="n">
        <f aca="false">-1*I1005-(H1005*(P1005/3600))</f>
        <v>-19.5</v>
      </c>
      <c r="T1005" s="0" t="n">
        <f aca="false">-H1005*(O1005/3600)</f>
        <v>-0.503517424259065</v>
      </c>
      <c r="U1005" s="0" t="n">
        <f aca="false">T1005-S1005</f>
        <v>18.9964825757409</v>
      </c>
      <c r="V1005" s="0" t="n">
        <f aca="false">1/(1+EXP(U1005))</f>
        <v>5.62253851837039E-009</v>
      </c>
      <c r="W1005" s="0" t="n">
        <f aca="true">RAND()</f>
        <v>0.983860416722435</v>
      </c>
      <c r="X1005" s="0" t="n">
        <f aca="false">IF(W1005&lt;V1005,1,0)</f>
        <v>0</v>
      </c>
      <c r="Y1005" s="0" t="n">
        <f aca="false">(M1005*(1-X1005)+N1005*X1005)*D1005+M1005*E1005</f>
        <v>12583.407428286</v>
      </c>
      <c r="Z1005" s="0" t="n">
        <f aca="false">((1-X1005)*O1005+X1005*P1005)*D1005+E1005*O1005</f>
        <v>12.5974660388219</v>
      </c>
      <c r="AA1005" s="0" t="n">
        <f aca="false">IF(D1005*X1005&gt;0,AA1004,Q1005)</f>
        <v>1</v>
      </c>
      <c r="AB1005" s="0" t="n">
        <f aca="false">(X1005*D1005)</f>
        <v>0</v>
      </c>
      <c r="AC1005" s="0" t="n">
        <f aca="false">SUM(AB$10:AB1004)/K1005</f>
        <v>7.95493689748879E-005</v>
      </c>
      <c r="AD1005" s="0" t="n">
        <f aca="false">R1005*E1005+D1005*(X1005*S1005+(1-X1005)*T1005)</f>
        <v>-0.0613973892272943</v>
      </c>
      <c r="AE1005" s="0" t="n">
        <f aca="false">Z1005</f>
        <v>12.5974660388219</v>
      </c>
      <c r="AF1005" s="0" t="n">
        <f aca="false">E1005*O1005</f>
        <v>12.5974660388219</v>
      </c>
      <c r="AG1005" s="0" t="n">
        <f aca="false">((1-X1005)*O1005+X1005*P1005)*D1005</f>
        <v>0</v>
      </c>
      <c r="AH1005" s="0" t="n">
        <f aca="false">D1005*(LN(EXP(S1005)+EXP(T1005)))</f>
        <v>-0</v>
      </c>
      <c r="AJ1005" s="0" t="n">
        <f aca="false">$J$5</f>
        <v>10</v>
      </c>
      <c r="AK1005" s="4" t="n">
        <f aca="false">AJ1005+MAX(K1005,AK$10:AK1004)</f>
        <v>12583.407428286</v>
      </c>
      <c r="AL1005" s="5" t="n">
        <f aca="false">AK1005-K1005</f>
        <v>12.5974660388219</v>
      </c>
      <c r="AM1005" s="0" t="n">
        <f aca="false">-G1005*AL1005/3600</f>
        <v>-0.0613973892272943</v>
      </c>
      <c r="AN1005" s="0" t="n">
        <f aca="false">-H1005*AL1005/3600</f>
        <v>-0.503517424259065</v>
      </c>
      <c r="AO1005" s="0" t="n">
        <f aca="false">AM1005*E1005+AN1005*D1005</f>
        <v>-0.0613973892272943</v>
      </c>
      <c r="AP1005" s="0" t="n">
        <f aca="false">AL1005*D1005</f>
        <v>0</v>
      </c>
      <c r="AR1005" s="0" t="n">
        <f aca="false">AN1005*D1005</f>
        <v>-0</v>
      </c>
      <c r="AS1005" s="0" t="n">
        <f aca="false">AH1005-AR1005</f>
        <v>0</v>
      </c>
    </row>
    <row r="1006" customFormat="false" ht="12" hidden="false" customHeight="false" outlineLevel="0" collapsed="false">
      <c r="A1006" s="3" t="n">
        <f aca="false">A1005+1</f>
        <v>997</v>
      </c>
      <c r="B1006" s="3" t="n">
        <f aca="false">IF(A1006&lt;$N$4/3,0.1,(IF(A1006&gt;2*$N$4/3,0.05,0.12)))</f>
        <v>0.05</v>
      </c>
      <c r="C1006" s="4" t="n">
        <f aca="true">RAND()</f>
        <v>0.548783406848388</v>
      </c>
      <c r="D1006" s="0" t="n">
        <f aca="false">IF((C1006&gt;$M$2),1,0)</f>
        <v>0</v>
      </c>
      <c r="E1006" s="0" t="n">
        <f aca="false">1-D1006</f>
        <v>1</v>
      </c>
      <c r="F1006" s="0" t="n">
        <f aca="true">RAND()</f>
        <v>0.97071110402588</v>
      </c>
      <c r="G1006" s="0" t="n">
        <f aca="false">7.75+F1006*10</f>
        <v>17.4571110402588</v>
      </c>
      <c r="H1006" s="0" t="n">
        <f aca="false">LOGINV(F1006,2.64,1.139)</f>
        <v>120.813295124406</v>
      </c>
      <c r="I1006" s="0" t="n">
        <v>19.5</v>
      </c>
      <c r="J1006" s="4" t="n">
        <f aca="true">-LN(RAND())/B1006</f>
        <v>29.3512606055661</v>
      </c>
      <c r="K1006" s="4" t="n">
        <f aca="false">K1005+J1006</f>
        <v>12600.1612228528</v>
      </c>
      <c r="L1006" s="4" t="n">
        <f aca="false">(1/$J$4)*(1+AB1005)</f>
        <v>10</v>
      </c>
      <c r="M1006" s="4" t="n">
        <f aca="false">L1006+MAX(K1006,Y$10:Y1005)</f>
        <v>12610.1612228528</v>
      </c>
      <c r="N1006" s="4" t="n">
        <f aca="false">K1006</f>
        <v>12600.1612228528</v>
      </c>
      <c r="O1006" s="4" t="n">
        <f aca="false">M1006-K1006</f>
        <v>10</v>
      </c>
      <c r="P1006" s="4" t="n">
        <f aca="false">N1006-K1006</f>
        <v>0</v>
      </c>
      <c r="Q1006" s="4" t="n">
        <f aca="false">A1006-MATCH(K1006,$M$9:M1005,1)</f>
        <v>0</v>
      </c>
      <c r="R1006" s="0" t="n">
        <f aca="false">-G1006*(O1006/3600)</f>
        <v>-0.04849197511183</v>
      </c>
      <c r="S1006" s="0" t="n">
        <f aca="false">-1*I1006-(H1006*(P1006/3600))</f>
        <v>-19.5</v>
      </c>
      <c r="T1006" s="0" t="n">
        <f aca="false">-H1006*(O1006/3600)</f>
        <v>-0.335592486456685</v>
      </c>
      <c r="U1006" s="0" t="n">
        <f aca="false">T1006-S1006</f>
        <v>19.1644075135433</v>
      </c>
      <c r="V1006" s="0" t="n">
        <f aca="false">1/(1+EXP(U1006))</f>
        <v>4.75339128790314E-009</v>
      </c>
      <c r="W1006" s="0" t="n">
        <f aca="true">RAND()</f>
        <v>0.0460862961340907</v>
      </c>
      <c r="X1006" s="0" t="n">
        <f aca="false">IF(W1006&lt;V1006,1,0)</f>
        <v>0</v>
      </c>
      <c r="Y1006" s="0" t="n">
        <f aca="false">(M1006*(1-X1006)+N1006*X1006)*D1006+M1006*E1006</f>
        <v>12610.1612228528</v>
      </c>
      <c r="Z1006" s="0" t="n">
        <f aca="false">((1-X1006)*O1006+X1006*P1006)*D1006+E1006*O1006</f>
        <v>10</v>
      </c>
      <c r="AA1006" s="0" t="n">
        <f aca="false">IF(D1006*X1006&gt;0,AA1005,Q1006)</f>
        <v>0</v>
      </c>
      <c r="AB1006" s="0" t="n">
        <f aca="false">(X1006*D1006)</f>
        <v>0</v>
      </c>
      <c r="AC1006" s="0" t="n">
        <f aca="false">SUM(AB$10:AB1005)/K1006</f>
        <v>7.93640638650171E-005</v>
      </c>
      <c r="AD1006" s="0" t="n">
        <f aca="false">R1006*E1006+D1006*(X1006*S1006+(1-X1006)*T1006)</f>
        <v>-0.04849197511183</v>
      </c>
      <c r="AE1006" s="0" t="n">
        <f aca="false">Z1006</f>
        <v>10</v>
      </c>
      <c r="AF1006" s="0" t="n">
        <f aca="false">E1006*O1006</f>
        <v>10</v>
      </c>
      <c r="AG1006" s="0" t="n">
        <f aca="false">((1-X1006)*O1006+X1006*P1006)*D1006</f>
        <v>0</v>
      </c>
      <c r="AH1006" s="0" t="n">
        <f aca="false">D1006*(LN(EXP(S1006)+EXP(T1006)))</f>
        <v>-0</v>
      </c>
      <c r="AJ1006" s="0" t="n">
        <f aca="false">$J$5</f>
        <v>10</v>
      </c>
      <c r="AK1006" s="4" t="n">
        <f aca="false">AJ1006+MAX(K1006,AK$10:AK1005)</f>
        <v>12610.1612228528</v>
      </c>
      <c r="AL1006" s="5" t="n">
        <f aca="false">AK1006-K1006</f>
        <v>10</v>
      </c>
      <c r="AM1006" s="0" t="n">
        <f aca="false">-G1006*AL1006/3600</f>
        <v>-0.04849197511183</v>
      </c>
      <c r="AN1006" s="0" t="n">
        <f aca="false">-H1006*AL1006/3600</f>
        <v>-0.335592486456685</v>
      </c>
      <c r="AO1006" s="0" t="n">
        <f aca="false">AM1006*E1006+AN1006*D1006</f>
        <v>-0.04849197511183</v>
      </c>
      <c r="AP1006" s="0" t="n">
        <f aca="false">AL1006*D1006</f>
        <v>0</v>
      </c>
      <c r="AR1006" s="0" t="n">
        <f aca="false">AN1006*D1006</f>
        <v>-0</v>
      </c>
      <c r="AS1006" s="0" t="n">
        <f aca="false">AH1006-AR1006</f>
        <v>0</v>
      </c>
    </row>
    <row r="1007" customFormat="false" ht="12" hidden="false" customHeight="false" outlineLevel="0" collapsed="false">
      <c r="A1007" s="3" t="n">
        <f aca="false">A1006+1</f>
        <v>998</v>
      </c>
      <c r="B1007" s="3" t="n">
        <f aca="false">IF(A1007&lt;$N$4/3,0.1,(IF(A1007&gt;2*$N$4/3,0.05,0.12)))</f>
        <v>0.05</v>
      </c>
      <c r="C1007" s="4" t="n">
        <f aca="true">RAND()</f>
        <v>0.788661641328308</v>
      </c>
      <c r="D1007" s="0" t="n">
        <f aca="false">IF((C1007&gt;$M$2),1,0)</f>
        <v>0</v>
      </c>
      <c r="E1007" s="0" t="n">
        <f aca="false">1-D1007</f>
        <v>1</v>
      </c>
      <c r="F1007" s="0" t="n">
        <f aca="true">RAND()</f>
        <v>0.0919222946741976</v>
      </c>
      <c r="G1007" s="0" t="n">
        <f aca="false">7.75+F1007*10</f>
        <v>8.66922294674198</v>
      </c>
      <c r="H1007" s="0" t="n">
        <f aca="false">LOGINV(F1007,2.64,1.139)</f>
        <v>3.08409213083154</v>
      </c>
      <c r="I1007" s="0" t="n">
        <v>19.5</v>
      </c>
      <c r="J1007" s="4" t="n">
        <f aca="true">-LN(RAND())/B1007</f>
        <v>3.73651801526399</v>
      </c>
      <c r="K1007" s="4" t="n">
        <f aca="false">K1006+J1007</f>
        <v>12603.897740868</v>
      </c>
      <c r="L1007" s="4" t="n">
        <f aca="false">(1/$J$4)*(1+AB1006)</f>
        <v>10</v>
      </c>
      <c r="M1007" s="4" t="n">
        <f aca="false">L1007+MAX(K1007,Y$10:Y1006)</f>
        <v>12620.1612228528</v>
      </c>
      <c r="N1007" s="4" t="n">
        <f aca="false">K1007</f>
        <v>12603.897740868</v>
      </c>
      <c r="O1007" s="4" t="n">
        <f aca="false">M1007-K1007</f>
        <v>16.2634819847353</v>
      </c>
      <c r="P1007" s="4" t="n">
        <f aca="false">N1007-K1007</f>
        <v>0</v>
      </c>
      <c r="Q1007" s="4" t="n">
        <f aca="false">A1007-MATCH(K1007,$M$9:M1006,1)</f>
        <v>1</v>
      </c>
      <c r="R1007" s="0" t="n">
        <f aca="false">-G1007*(O1007/3600)</f>
        <v>-0.0391643753377756</v>
      </c>
      <c r="S1007" s="0" t="n">
        <f aca="false">-1*I1007-(H1007*(P1007/3600))</f>
        <v>-19.5</v>
      </c>
      <c r="T1007" s="0" t="n">
        <f aca="false">-H1007*(O1007/3600)</f>
        <v>-0.013932799113623</v>
      </c>
      <c r="U1007" s="0" t="n">
        <f aca="false">T1007-S1007</f>
        <v>19.4860672008864</v>
      </c>
      <c r="V1007" s="0" t="n">
        <f aca="false">1/(1+EXP(U1007))</f>
        <v>3.44594656849001E-009</v>
      </c>
      <c r="W1007" s="0" t="n">
        <f aca="true">RAND()</f>
        <v>0.0181422968590371</v>
      </c>
      <c r="X1007" s="0" t="n">
        <f aca="false">IF(W1007&lt;V1007,1,0)</f>
        <v>0</v>
      </c>
      <c r="Y1007" s="0" t="n">
        <f aca="false">(M1007*(1-X1007)+N1007*X1007)*D1007+M1007*E1007</f>
        <v>12620.1612228528</v>
      </c>
      <c r="Z1007" s="0" t="n">
        <f aca="false">((1-X1007)*O1007+X1007*P1007)*D1007+E1007*O1007</f>
        <v>16.2634819847353</v>
      </c>
      <c r="AA1007" s="0" t="n">
        <f aca="false">IF(D1007*X1007&gt;0,AA1006,Q1007)</f>
        <v>1</v>
      </c>
      <c r="AB1007" s="0" t="n">
        <f aca="false">(X1007*D1007)</f>
        <v>0</v>
      </c>
      <c r="AC1007" s="0" t="n">
        <f aca="false">SUM(AB$10:AB1006)/K1007</f>
        <v>7.93405358056427E-005</v>
      </c>
      <c r="AD1007" s="0" t="n">
        <f aca="false">R1007*E1007+D1007*(X1007*S1007+(1-X1007)*T1007)</f>
        <v>-0.0391643753377756</v>
      </c>
      <c r="AE1007" s="0" t="n">
        <f aca="false">Z1007</f>
        <v>16.2634819847353</v>
      </c>
      <c r="AF1007" s="0" t="n">
        <f aca="false">E1007*O1007</f>
        <v>16.2634819847353</v>
      </c>
      <c r="AG1007" s="0" t="n">
        <f aca="false">((1-X1007)*O1007+X1007*P1007)*D1007</f>
        <v>0</v>
      </c>
      <c r="AH1007" s="0" t="n">
        <f aca="false">D1007*(LN(EXP(S1007)+EXP(T1007)))</f>
        <v>-0</v>
      </c>
      <c r="AJ1007" s="0" t="n">
        <f aca="false">$J$5</f>
        <v>10</v>
      </c>
      <c r="AK1007" s="4" t="n">
        <f aca="false">AJ1007+MAX(K1007,AK$10:AK1006)</f>
        <v>12620.1612228528</v>
      </c>
      <c r="AL1007" s="5" t="n">
        <f aca="false">AK1007-K1007</f>
        <v>16.2634819847353</v>
      </c>
      <c r="AM1007" s="0" t="n">
        <f aca="false">-G1007*AL1007/3600</f>
        <v>-0.0391643753377756</v>
      </c>
      <c r="AN1007" s="0" t="n">
        <f aca="false">-H1007*AL1007/3600</f>
        <v>-0.013932799113623</v>
      </c>
      <c r="AO1007" s="0" t="n">
        <f aca="false">AM1007*E1007+AN1007*D1007</f>
        <v>-0.0391643753377756</v>
      </c>
      <c r="AP1007" s="0" t="n">
        <f aca="false">AL1007*D1007</f>
        <v>0</v>
      </c>
      <c r="AR1007" s="0" t="n">
        <f aca="false">AN1007*D1007</f>
        <v>-0</v>
      </c>
      <c r="AS1007" s="0" t="n">
        <f aca="false">AH1007-AR1007</f>
        <v>0</v>
      </c>
    </row>
    <row r="1008" customFormat="false" ht="12" hidden="false" customHeight="false" outlineLevel="0" collapsed="false">
      <c r="A1008" s="3" t="n">
        <f aca="false">A1007+1</f>
        <v>999</v>
      </c>
      <c r="B1008" s="3" t="n">
        <f aca="false">IF(A1008&lt;$N$4/3,0.1,(IF(A1008&gt;2*$N$4/3,0.05,0.12)))</f>
        <v>0.05</v>
      </c>
      <c r="C1008" s="4" t="n">
        <f aca="true">RAND()</f>
        <v>0.096226464719278</v>
      </c>
      <c r="D1008" s="0" t="n">
        <f aca="false">IF((C1008&gt;$M$2),1,0)</f>
        <v>0</v>
      </c>
      <c r="E1008" s="0" t="n">
        <f aca="false">1-D1008</f>
        <v>1</v>
      </c>
      <c r="F1008" s="0" t="n">
        <f aca="true">RAND()</f>
        <v>0.790374069185581</v>
      </c>
      <c r="G1008" s="0" t="n">
        <f aca="false">7.75+F1008*10</f>
        <v>15.6537406918558</v>
      </c>
      <c r="H1008" s="0" t="n">
        <f aca="false">LOGINV(F1008,2.64,1.139)</f>
        <v>35.1629486637568</v>
      </c>
      <c r="I1008" s="0" t="n">
        <v>19.5</v>
      </c>
      <c r="J1008" s="4" t="n">
        <f aca="true">-LN(RAND())/B1008</f>
        <v>2.89716670334362</v>
      </c>
      <c r="K1008" s="4" t="n">
        <f aca="false">K1007+J1008</f>
        <v>12606.7949075714</v>
      </c>
      <c r="L1008" s="4" t="n">
        <f aca="false">(1/$J$4)*(1+AB1007)</f>
        <v>10</v>
      </c>
      <c r="M1008" s="4" t="n">
        <f aca="false">L1008+MAX(K1008,Y$10:Y1007)</f>
        <v>12630.1612228528</v>
      </c>
      <c r="N1008" s="4" t="n">
        <f aca="false">K1008</f>
        <v>12606.7949075714</v>
      </c>
      <c r="O1008" s="4" t="n">
        <f aca="false">M1008-K1008</f>
        <v>23.3663152813915</v>
      </c>
      <c r="P1008" s="4" t="n">
        <f aca="false">N1008-K1008</f>
        <v>0</v>
      </c>
      <c r="Q1008" s="4" t="n">
        <f aca="false">A1008-MATCH(K1008,$M$9:M1007,1)</f>
        <v>2</v>
      </c>
      <c r="R1008" s="0" t="n">
        <f aca="false">-G1008*(O1008/3600)</f>
        <v>-0.101602844538625</v>
      </c>
      <c r="S1008" s="0" t="n">
        <f aca="false">-1*I1008-(H1008*(P1008/3600))</f>
        <v>-19.5</v>
      </c>
      <c r="T1008" s="0" t="n">
        <f aca="false">-H1008*(O1008/3600)</f>
        <v>-0.228230151305757</v>
      </c>
      <c r="U1008" s="0" t="n">
        <f aca="false">T1008-S1008</f>
        <v>19.2717698486942</v>
      </c>
      <c r="V1008" s="0" t="n">
        <f aca="false">1/(1+EXP(U1008))</f>
        <v>4.26949683893659E-009</v>
      </c>
      <c r="W1008" s="0" t="n">
        <f aca="true">RAND()</f>
        <v>0.618408799018648</v>
      </c>
      <c r="X1008" s="0" t="n">
        <f aca="false">IF(W1008&lt;V1008,1,0)</f>
        <v>0</v>
      </c>
      <c r="Y1008" s="0" t="n">
        <f aca="false">(M1008*(1-X1008)+N1008*X1008)*D1008+M1008*E1008</f>
        <v>12630.1612228528</v>
      </c>
      <c r="Z1008" s="0" t="n">
        <f aca="false">((1-X1008)*O1008+X1008*P1008)*D1008+E1008*O1008</f>
        <v>23.3663152813915</v>
      </c>
      <c r="AA1008" s="0" t="n">
        <f aca="false">IF(D1008*X1008&gt;0,AA1007,Q1008)</f>
        <v>2</v>
      </c>
      <c r="AB1008" s="0" t="n">
        <f aca="false">(X1008*D1008)</f>
        <v>0</v>
      </c>
      <c r="AC1008" s="0" t="n">
        <f aca="false">SUM(AB$10:AB1007)/K1008</f>
        <v>7.93223025623603E-005</v>
      </c>
      <c r="AD1008" s="0" t="n">
        <f aca="false">R1008*E1008+D1008*(X1008*S1008+(1-X1008)*T1008)</f>
        <v>-0.101602844538625</v>
      </c>
      <c r="AE1008" s="0" t="n">
        <f aca="false">Z1008</f>
        <v>23.3663152813915</v>
      </c>
      <c r="AF1008" s="0" t="n">
        <f aca="false">E1008*O1008</f>
        <v>23.3663152813915</v>
      </c>
      <c r="AG1008" s="0" t="n">
        <f aca="false">((1-X1008)*O1008+X1008*P1008)*D1008</f>
        <v>0</v>
      </c>
      <c r="AH1008" s="0" t="n">
        <f aca="false">D1008*(LN(EXP(S1008)+EXP(T1008)))</f>
        <v>-0</v>
      </c>
      <c r="AJ1008" s="0" t="n">
        <f aca="false">$J$5</f>
        <v>10</v>
      </c>
      <c r="AK1008" s="4" t="n">
        <f aca="false">AJ1008+MAX(K1008,AK$10:AK1007)</f>
        <v>12630.1612228528</v>
      </c>
      <c r="AL1008" s="5" t="n">
        <f aca="false">AK1008-K1008</f>
        <v>23.3663152813915</v>
      </c>
      <c r="AM1008" s="0" t="n">
        <f aca="false">-G1008*AL1008/3600</f>
        <v>-0.101602844538625</v>
      </c>
      <c r="AN1008" s="0" t="n">
        <f aca="false">-H1008*AL1008/3600</f>
        <v>-0.228230151305757</v>
      </c>
      <c r="AO1008" s="0" t="n">
        <f aca="false">AM1008*E1008+AN1008*D1008</f>
        <v>-0.101602844538625</v>
      </c>
      <c r="AP1008" s="0" t="n">
        <f aca="false">AL1008*D1008</f>
        <v>0</v>
      </c>
      <c r="AR1008" s="0" t="n">
        <f aca="false">AN1008*D1008</f>
        <v>-0</v>
      </c>
      <c r="AS1008" s="0" t="n">
        <f aca="false">AH1008-AR1008</f>
        <v>0</v>
      </c>
    </row>
    <row r="1009" customFormat="false" ht="12" hidden="false" customHeight="false" outlineLevel="0" collapsed="false">
      <c r="A1009" s="3" t="n">
        <f aca="false">A1008+1</f>
        <v>1000</v>
      </c>
      <c r="B1009" s="3" t="n">
        <f aca="false">IF(A1009&lt;$N$4/3,0.1,(IF(A1009&gt;2*$N$4/3,0.05,0.12)))</f>
        <v>0.05</v>
      </c>
      <c r="C1009" s="4" t="n">
        <f aca="true">RAND()</f>
        <v>0.110155163146143</v>
      </c>
      <c r="D1009" s="0" t="n">
        <f aca="false">IF((C1009&gt;$M$2),1,0)</f>
        <v>0</v>
      </c>
      <c r="E1009" s="0" t="n">
        <f aca="false">1-D1009</f>
        <v>1</v>
      </c>
      <c r="F1009" s="0" t="n">
        <f aca="true">RAND()</f>
        <v>0.570334946894981</v>
      </c>
      <c r="G1009" s="0" t="n">
        <f aca="false">7.75+F1009*10</f>
        <v>13.4533494689498</v>
      </c>
      <c r="H1009" s="0" t="n">
        <f aca="false">LOGINV(F1009,2.64,1.139)</f>
        <v>17.1476566739768</v>
      </c>
      <c r="I1009" s="0" t="n">
        <v>19.5</v>
      </c>
      <c r="J1009" s="4" t="n">
        <f aca="true">-LN(RAND())/B1009</f>
        <v>33.2311827812456</v>
      </c>
      <c r="K1009" s="4" t="n">
        <f aca="false">K1008+J1009</f>
        <v>12640.0260903526</v>
      </c>
      <c r="L1009" s="4" t="n">
        <f aca="false">(1/$J$4)*(1+AB1008)</f>
        <v>10</v>
      </c>
      <c r="M1009" s="4" t="n">
        <f aca="false">L1009+MAX(K1009,Y$10:Y1008)</f>
        <v>12650.0260903526</v>
      </c>
      <c r="N1009" s="4" t="n">
        <f aca="false">K1009</f>
        <v>12640.0260903526</v>
      </c>
      <c r="O1009" s="4" t="n">
        <f aca="false">M1009-K1009</f>
        <v>10</v>
      </c>
      <c r="P1009" s="4" t="n">
        <f aca="false">N1009-K1009</f>
        <v>0</v>
      </c>
      <c r="Q1009" s="4" t="n">
        <f aca="false">A1009-MATCH(K1009,$M$9:M1008,1)</f>
        <v>0</v>
      </c>
      <c r="R1009" s="0" t="n">
        <f aca="false">-G1009*(O1009/3600)</f>
        <v>-0.0373704151915273</v>
      </c>
      <c r="S1009" s="0" t="n">
        <f aca="false">-1*I1009-(H1009*(P1009/3600))</f>
        <v>-19.5</v>
      </c>
      <c r="T1009" s="0" t="n">
        <f aca="false">-H1009*(O1009/3600)</f>
        <v>-0.0476323796499355</v>
      </c>
      <c r="U1009" s="0" t="n">
        <f aca="false">T1009-S1009</f>
        <v>19.4523676203501</v>
      </c>
      <c r="V1009" s="0" t="n">
        <f aca="false">1/(1+EXP(U1009))</f>
        <v>3.56405240338744E-009</v>
      </c>
      <c r="W1009" s="0" t="n">
        <f aca="true">RAND()</f>
        <v>0.542289427941814</v>
      </c>
      <c r="X1009" s="0" t="n">
        <f aca="false">IF(W1009&lt;V1009,1,0)</f>
        <v>0</v>
      </c>
      <c r="Y1009" s="0" t="n">
        <f aca="false">(M1009*(1-X1009)+N1009*X1009)*D1009+M1009*E1009</f>
        <v>12650.0260903526</v>
      </c>
      <c r="Z1009" s="0" t="n">
        <f aca="false">((1-X1009)*O1009+X1009*P1009)*D1009+E1009*O1009</f>
        <v>10</v>
      </c>
      <c r="AA1009" s="0" t="n">
        <f aca="false">IF(D1009*X1009&gt;0,AA1008,Q1009)</f>
        <v>0</v>
      </c>
      <c r="AB1009" s="0" t="n">
        <f aca="false">(X1009*D1009)</f>
        <v>0</v>
      </c>
      <c r="AC1009" s="0" t="n">
        <f aca="false">SUM(AB$10:AB1008)/K1009</f>
        <v>7.91137607511142E-005</v>
      </c>
      <c r="AD1009" s="0" t="n">
        <f aca="false">R1009*E1009+D1009*(X1009*S1009+(1-X1009)*T1009)</f>
        <v>-0.0373704151915273</v>
      </c>
      <c r="AE1009" s="0" t="n">
        <f aca="false">Z1009</f>
        <v>10</v>
      </c>
      <c r="AF1009" s="0" t="n">
        <f aca="false">E1009*O1009</f>
        <v>10</v>
      </c>
      <c r="AG1009" s="0" t="n">
        <f aca="false">((1-X1009)*O1009+X1009*P1009)*D1009</f>
        <v>0</v>
      </c>
      <c r="AH1009" s="0" t="n">
        <f aca="false">D1009*(LN(EXP(S1009)+EXP(T1009)))</f>
        <v>-0</v>
      </c>
      <c r="AJ1009" s="0" t="n">
        <f aca="false">$J$5</f>
        <v>10</v>
      </c>
      <c r="AK1009" s="4" t="n">
        <f aca="false">AJ1009+MAX(K1009,AK$10:AK1008)</f>
        <v>12650.0260903526</v>
      </c>
      <c r="AL1009" s="5" t="n">
        <f aca="false">AK1009-K1009</f>
        <v>10</v>
      </c>
      <c r="AM1009" s="0" t="n">
        <f aca="false">-G1009*AL1009/3600</f>
        <v>-0.0373704151915273</v>
      </c>
      <c r="AN1009" s="0" t="n">
        <f aca="false">-H1009*AL1009/3600</f>
        <v>-0.0476323796499355</v>
      </c>
      <c r="AO1009" s="0" t="n">
        <f aca="false">AM1009*E1009+AN1009*D1009</f>
        <v>-0.0373704151915273</v>
      </c>
      <c r="AP1009" s="0" t="n">
        <f aca="false">AL1009*D1009</f>
        <v>0</v>
      </c>
      <c r="AR1009" s="0" t="n">
        <f aca="false">AN1009*D1009</f>
        <v>-0</v>
      </c>
      <c r="AS1009" s="0" t="n">
        <f aca="false">AH1009-AR1009</f>
        <v>0</v>
      </c>
    </row>
    <row r="1010" customFormat="false" ht="12" hidden="false" customHeight="false" outlineLevel="0" collapsed="false">
      <c r="I1010" s="0" t="n">
        <v>0.5</v>
      </c>
    </row>
    <row r="1011" customFormat="false" ht="12" hidden="false" customHeight="false" outlineLevel="0" collapsed="false">
      <c r="H1011" s="0" t="n">
        <f aca="false">AVERAGE(H10:H1009)</f>
        <v>24.7028016575096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2" activeCellId="0" sqref="B62:K62"/>
    </sheetView>
  </sheetViews>
  <sheetFormatPr defaultColWidth="8.82421875" defaultRowHeight="12" customHeight="false" zeroHeight="false" outlineLevelRow="0" outlineLevelCol="0"/>
  <cols>
    <col collapsed="false" customWidth="true" hidden="false" outlineLevel="0" max="3" min="3" style="0" width="10.5"/>
  </cols>
  <sheetData>
    <row r="1" customFormat="false" ht="12" hidden="false" customHeight="false" outlineLevel="0" collapsed="false">
      <c r="B1" s="0" t="s">
        <v>52</v>
      </c>
    </row>
    <row r="2" customFormat="false" ht="12" hidden="false" customHeight="false" outlineLevel="0" collapsed="false">
      <c r="B2" s="0" t="s">
        <v>39</v>
      </c>
      <c r="C2" s="0" t="s">
        <v>69</v>
      </c>
      <c r="D2" s="0" t="s">
        <v>70</v>
      </c>
      <c r="E2" s="0" t="s">
        <v>71</v>
      </c>
      <c r="F2" s="0" t="s">
        <v>72</v>
      </c>
      <c r="G2" s="0" t="s">
        <v>5</v>
      </c>
      <c r="I2" s="0" t="s">
        <v>70</v>
      </c>
      <c r="J2" s="0" t="s">
        <v>20</v>
      </c>
      <c r="K2" s="0" t="s">
        <v>73</v>
      </c>
    </row>
    <row r="3" customFormat="false" ht="12" hidden="false" customHeight="false" outlineLevel="0" collapsed="false">
      <c r="B3" s="0" t="n">
        <f aca="false">toll!N3</f>
        <v>94</v>
      </c>
      <c r="C3" s="0" t="n">
        <f aca="false">toll!R2</f>
        <v>1</v>
      </c>
      <c r="D3" s="0" t="n">
        <f aca="false">toll!R3</f>
        <v>-587.609382815455</v>
      </c>
      <c r="E3" s="0" t="n">
        <f aca="false">toll!R4</f>
        <v>147177.208779751</v>
      </c>
      <c r="F3" s="0" t="n">
        <f aca="false">toll!R5</f>
        <v>16907.7655833028</v>
      </c>
      <c r="G3" s="0" t="n">
        <f aca="false">toll!X1</f>
        <v>3.60948032968099</v>
      </c>
      <c r="I3" s="0" t="n">
        <f aca="false">toll!AO2</f>
        <v>-591.05944864617</v>
      </c>
      <c r="J3" s="0" t="n">
        <f aca="false">toll!AO1</f>
        <v>147854.679305261</v>
      </c>
      <c r="K3" s="0" t="n">
        <f aca="false">toll!AO3</f>
        <v>17585.236108813</v>
      </c>
    </row>
    <row r="9" customFormat="false" ht="12" hidden="false" customHeight="false" outlineLevel="0" collapsed="false">
      <c r="A9" s="0" t="s">
        <v>74</v>
      </c>
      <c r="B9" s="0" t="s">
        <v>39</v>
      </c>
      <c r="C9" s="0" t="s">
        <v>69</v>
      </c>
      <c r="D9" s="0" t="s">
        <v>70</v>
      </c>
      <c r="E9" s="0" t="s">
        <v>71</v>
      </c>
      <c r="F9" s="0" t="s">
        <v>72</v>
      </c>
      <c r="G9" s="0" t="s">
        <v>5</v>
      </c>
      <c r="I9" s="0" t="s">
        <v>70</v>
      </c>
      <c r="J9" s="0" t="s">
        <v>20</v>
      </c>
      <c r="K9" s="0" t="s">
        <v>73</v>
      </c>
    </row>
    <row r="10" customFormat="false" ht="12" hidden="false" customHeight="false" outlineLevel="0" collapsed="false">
      <c r="A10" s="0" t="n">
        <v>1</v>
      </c>
      <c r="B10" s="0" t="n">
        <v>123</v>
      </c>
      <c r="C10" s="0" t="n">
        <v>0</v>
      </c>
      <c r="D10" s="0" t="n">
        <v>-616.385421357698</v>
      </c>
      <c r="E10" s="0" t="n">
        <v>142914.861448777</v>
      </c>
      <c r="F10" s="0" t="n">
        <v>17509.4270027745</v>
      </c>
      <c r="G10" s="0" t="n">
        <v>0.00179491464926703</v>
      </c>
      <c r="I10" s="0" t="n">
        <v>-616.385421357698</v>
      </c>
      <c r="J10" s="0" t="n">
        <v>142914.861448777</v>
      </c>
      <c r="K10" s="0" t="n">
        <v>17509.4270027745</v>
      </c>
    </row>
    <row r="11" customFormat="false" ht="12" hidden="false" customHeight="false" outlineLevel="0" collapsed="false">
      <c r="A11" s="0" t="n">
        <v>2</v>
      </c>
      <c r="B11" s="0" t="n">
        <v>102</v>
      </c>
      <c r="C11" s="0" t="n">
        <v>1</v>
      </c>
      <c r="D11" s="0" t="n">
        <v>-672.821555603442</v>
      </c>
      <c r="E11" s="0" t="n">
        <v>172574.8886488</v>
      </c>
      <c r="F11" s="0" t="n">
        <v>17320.4916902863</v>
      </c>
      <c r="G11" s="0" t="n">
        <v>5.07651672724203</v>
      </c>
      <c r="I11" s="0" t="n">
        <v>-677.884925189075</v>
      </c>
      <c r="J11" s="0" t="n">
        <v>173019.09446538</v>
      </c>
      <c r="K11" s="0" t="n">
        <v>17764.6975068665</v>
      </c>
    </row>
    <row r="12" customFormat="false" ht="12" hidden="false" customHeight="false" outlineLevel="0" collapsed="false">
      <c r="A12" s="0" t="n">
        <v>3</v>
      </c>
      <c r="B12" s="0" t="n">
        <v>106</v>
      </c>
      <c r="C12" s="0" t="n">
        <v>0</v>
      </c>
      <c r="D12" s="0" t="n">
        <v>-512.950460966757</v>
      </c>
      <c r="E12" s="0" t="n">
        <v>136808.001924919</v>
      </c>
      <c r="F12" s="0" t="n">
        <v>14791.9326004056</v>
      </c>
      <c r="G12" s="0" t="n">
        <v>1.02593958319101E-005</v>
      </c>
      <c r="I12" s="0" t="n">
        <v>-512.950460966757</v>
      </c>
      <c r="J12" s="0" t="n">
        <v>136808.001924919</v>
      </c>
      <c r="K12" s="0" t="n">
        <v>14791.9326004056</v>
      </c>
    </row>
    <row r="13" customFormat="false" ht="12" hidden="false" customHeight="false" outlineLevel="0" collapsed="false">
      <c r="A13" s="0" t="n">
        <v>4</v>
      </c>
      <c r="B13" s="0" t="n">
        <v>98</v>
      </c>
      <c r="C13" s="0" t="n">
        <v>2</v>
      </c>
      <c r="D13" s="0" t="n">
        <v>-1180.99529468296</v>
      </c>
      <c r="E13" s="0" t="n">
        <v>306614.568624534</v>
      </c>
      <c r="F13" s="0" t="n">
        <v>26377.6172844503</v>
      </c>
      <c r="G13" s="0" t="n">
        <v>43.9917624324857</v>
      </c>
      <c r="I13" s="0" t="n">
        <v>-1224.98699040185</v>
      </c>
      <c r="J13" s="0" t="n">
        <v>308222.509996415</v>
      </c>
      <c r="K13" s="0" t="n">
        <v>27985.558656331</v>
      </c>
    </row>
    <row r="14" customFormat="false" ht="12" hidden="false" customHeight="false" outlineLevel="0" collapsed="false">
      <c r="A14" s="0" t="n">
        <v>5</v>
      </c>
      <c r="B14" s="0" t="n">
        <v>104</v>
      </c>
      <c r="C14" s="0" t="n">
        <v>0</v>
      </c>
      <c r="D14" s="0" t="n">
        <v>-515.596747054378</v>
      </c>
      <c r="E14" s="0" t="n">
        <v>136937.866355455</v>
      </c>
      <c r="F14" s="0" t="n">
        <v>15804.437997414</v>
      </c>
      <c r="G14" s="0" t="n">
        <v>2.49655514506218E-005</v>
      </c>
      <c r="I14" s="0" t="n">
        <v>-515.596747054378</v>
      </c>
      <c r="J14" s="0" t="n">
        <v>136937.866355455</v>
      </c>
      <c r="K14" s="0" t="n">
        <v>15804.437997414</v>
      </c>
    </row>
    <row r="15" customFormat="false" ht="12" hidden="false" customHeight="false" outlineLevel="0" collapsed="false">
      <c r="A15" s="0" t="n">
        <v>6</v>
      </c>
      <c r="B15" s="0" t="n">
        <v>90</v>
      </c>
      <c r="C15" s="0" t="n">
        <v>1</v>
      </c>
      <c r="D15" s="0" t="n">
        <v>-1019.11141090416</v>
      </c>
      <c r="E15" s="0" t="n">
        <v>264465.794894902</v>
      </c>
      <c r="F15" s="0" t="n">
        <v>22254.2503663354</v>
      </c>
      <c r="G15" s="0" t="n">
        <v>6.41795254216063</v>
      </c>
      <c r="I15" s="0" t="n">
        <v>-1025.52382641539</v>
      </c>
      <c r="J15" s="0" t="n">
        <v>265028.185087599</v>
      </c>
      <c r="K15" s="0" t="n">
        <v>22816.6405590325</v>
      </c>
    </row>
    <row r="16" customFormat="false" ht="12" hidden="false" customHeight="false" outlineLevel="0" collapsed="false">
      <c r="A16" s="0" t="n">
        <v>7</v>
      </c>
      <c r="B16" s="0" t="n">
        <v>94</v>
      </c>
      <c r="C16" s="0" t="n">
        <v>0</v>
      </c>
      <c r="D16" s="0" t="n">
        <v>-381.847371559741</v>
      </c>
      <c r="E16" s="0" t="n">
        <v>96597.612417342</v>
      </c>
      <c r="F16" s="0" t="n">
        <v>9994.89080172602</v>
      </c>
      <c r="G16" s="0" t="n">
        <v>1.19580898701394E-005</v>
      </c>
      <c r="I16" s="0" t="n">
        <v>-381.847371559741</v>
      </c>
      <c r="J16" s="0" t="n">
        <v>96597.612417342</v>
      </c>
      <c r="K16" s="0" t="n">
        <v>9994.89080172602</v>
      </c>
    </row>
    <row r="17" customFormat="false" ht="12" hidden="false" customHeight="false" outlineLevel="0" collapsed="false">
      <c r="A17" s="0" t="n">
        <v>8</v>
      </c>
      <c r="B17" s="0" t="n">
        <v>114</v>
      </c>
      <c r="C17" s="0" t="n">
        <v>1</v>
      </c>
      <c r="D17" s="0" t="n">
        <v>-777.754781040634</v>
      </c>
      <c r="E17" s="0" t="n">
        <v>192882.405676221</v>
      </c>
      <c r="F17" s="0" t="n">
        <v>23684.6170247735</v>
      </c>
      <c r="G17" s="0" t="n">
        <v>20.9657801243552</v>
      </c>
      <c r="I17" s="0" t="n">
        <v>-798.71979761708</v>
      </c>
      <c r="J17" s="0" t="n">
        <v>193456.88092447</v>
      </c>
      <c r="K17" s="0" t="n">
        <v>24259.0922730221</v>
      </c>
    </row>
    <row r="18" customFormat="false" ht="12" hidden="false" customHeight="false" outlineLevel="0" collapsed="false">
      <c r="A18" s="0" t="n">
        <v>9</v>
      </c>
      <c r="B18" s="0" t="n">
        <v>110</v>
      </c>
      <c r="C18" s="0" t="n">
        <v>1</v>
      </c>
      <c r="D18" s="0" t="n">
        <v>-889.782098764855</v>
      </c>
      <c r="E18" s="0" t="n">
        <v>234323.756973635</v>
      </c>
      <c r="F18" s="0" t="n">
        <v>25800.9922594996</v>
      </c>
      <c r="G18" s="0" t="n">
        <v>7.56245377001199</v>
      </c>
      <c r="I18" s="0" t="n">
        <v>-897.343387587726</v>
      </c>
      <c r="J18" s="0" t="n">
        <v>234923.859168876</v>
      </c>
      <c r="K18" s="0" t="n">
        <v>26401.0944547403</v>
      </c>
    </row>
    <row r="19" customFormat="false" ht="12" hidden="false" customHeight="false" outlineLevel="0" collapsed="false">
      <c r="A19" s="0" t="n">
        <v>10</v>
      </c>
      <c r="B19" s="0" t="n">
        <v>92</v>
      </c>
      <c r="C19" s="0" t="n">
        <v>0</v>
      </c>
      <c r="D19" s="0" t="n">
        <v>-473.889594912513</v>
      </c>
      <c r="E19" s="0" t="n">
        <v>127500.149582231</v>
      </c>
      <c r="F19" s="0" t="n">
        <v>12258.1749606239</v>
      </c>
      <c r="G19" s="0" t="n">
        <v>2.27391277595086E-006</v>
      </c>
      <c r="I19" s="0" t="n">
        <v>-473.889594912513</v>
      </c>
      <c r="J19" s="0" t="n">
        <v>127500.149582231</v>
      </c>
      <c r="K19" s="0" t="n">
        <v>12258.1749606239</v>
      </c>
    </row>
    <row r="20" customFormat="false" ht="12" hidden="false" customHeight="false" outlineLevel="0" collapsed="false">
      <c r="A20" s="0" t="n">
        <v>11</v>
      </c>
      <c r="B20" s="0" t="n">
        <v>97</v>
      </c>
      <c r="C20" s="0" t="n">
        <v>2</v>
      </c>
      <c r="D20" s="0" t="n">
        <v>-591.000299549997</v>
      </c>
      <c r="E20" s="0" t="n">
        <v>141882.318913583</v>
      </c>
      <c r="F20" s="0" t="n">
        <v>11383.2640367673</v>
      </c>
      <c r="G20" s="0" t="n">
        <v>19.0980485637478</v>
      </c>
      <c r="I20" s="0" t="n">
        <v>-609.538279313497</v>
      </c>
      <c r="J20" s="0" t="n">
        <v>142950.876983601</v>
      </c>
      <c r="K20" s="0" t="n">
        <v>12451.8221067851</v>
      </c>
    </row>
    <row r="21" customFormat="false" ht="12" hidden="false" customHeight="false" outlineLevel="0" collapsed="false">
      <c r="A21" s="0" t="n">
        <v>12</v>
      </c>
      <c r="B21" s="0" t="n">
        <v>101</v>
      </c>
      <c r="C21" s="0" t="n">
        <v>0</v>
      </c>
      <c r="D21" s="0" t="n">
        <v>-862.781692590446</v>
      </c>
      <c r="E21" s="0" t="n">
        <v>229343.789425746</v>
      </c>
      <c r="F21" s="0" t="n">
        <v>21601.6470549846</v>
      </c>
      <c r="G21" s="0" t="n">
        <v>0.0186310607128047</v>
      </c>
      <c r="I21" s="0" t="n">
        <v>-862.781692590446</v>
      </c>
      <c r="J21" s="0" t="n">
        <v>229343.789425746</v>
      </c>
      <c r="K21" s="0" t="n">
        <v>21601.6470549846</v>
      </c>
    </row>
    <row r="22" customFormat="false" ht="12" hidden="false" customHeight="false" outlineLevel="0" collapsed="false">
      <c r="A22" s="0" t="n">
        <v>13</v>
      </c>
      <c r="B22" s="0" t="n">
        <v>110</v>
      </c>
      <c r="C22" s="0" t="n">
        <v>2</v>
      </c>
      <c r="D22" s="0" t="n">
        <v>-840.264108079101</v>
      </c>
      <c r="E22" s="0" t="n">
        <v>210371.17663898</v>
      </c>
      <c r="F22" s="0" t="n">
        <v>23179.4747122905</v>
      </c>
      <c r="G22" s="0" t="n">
        <v>131.176314210695</v>
      </c>
      <c r="I22" s="0" t="n">
        <v>-971.033423544572</v>
      </c>
      <c r="J22" s="0" t="n">
        <v>211853.091382278</v>
      </c>
      <c r="K22" s="0" t="n">
        <v>24661.3894555885</v>
      </c>
    </row>
    <row r="23" customFormat="false" ht="12" hidden="false" customHeight="false" outlineLevel="0" collapsed="false">
      <c r="A23" s="0" t="n">
        <v>14</v>
      </c>
      <c r="B23" s="0" t="n">
        <v>96</v>
      </c>
      <c r="C23" s="0" t="n">
        <v>0</v>
      </c>
      <c r="D23" s="0" t="n">
        <v>-443.234489863576</v>
      </c>
      <c r="E23" s="0" t="n">
        <v>109532.170082885</v>
      </c>
      <c r="F23" s="0" t="n">
        <v>11735.5491777107</v>
      </c>
      <c r="G23" s="0" t="n">
        <v>0.0418186874525561</v>
      </c>
      <c r="I23" s="0" t="n">
        <v>-443.234489863576</v>
      </c>
      <c r="J23" s="0" t="n">
        <v>109532.170082885</v>
      </c>
      <c r="K23" s="0" t="n">
        <v>11735.5491777107</v>
      </c>
    </row>
    <row r="24" customFormat="false" ht="12" hidden="false" customHeight="false" outlineLevel="0" collapsed="false">
      <c r="A24" s="0" t="n">
        <v>15</v>
      </c>
      <c r="B24" s="0" t="n">
        <v>100</v>
      </c>
      <c r="C24" s="0" t="n">
        <v>0</v>
      </c>
      <c r="D24" s="0" t="n">
        <v>-709.437885371909</v>
      </c>
      <c r="E24" s="0" t="n">
        <v>186586.571918901</v>
      </c>
      <c r="F24" s="0" t="n">
        <v>17901.9511353465</v>
      </c>
      <c r="G24" s="0" t="n">
        <v>0.211786591259439</v>
      </c>
      <c r="I24" s="0" t="n">
        <v>-709.437885371909</v>
      </c>
      <c r="J24" s="0" t="n">
        <v>186586.571918901</v>
      </c>
      <c r="K24" s="0" t="n">
        <v>17901.9511353465</v>
      </c>
    </row>
    <row r="25" customFormat="false" ht="12" hidden="false" customHeight="false" outlineLevel="0" collapsed="false">
      <c r="A25" s="0" t="n">
        <v>16</v>
      </c>
      <c r="B25" s="0" t="n">
        <v>88</v>
      </c>
      <c r="C25" s="0" t="n">
        <v>0</v>
      </c>
      <c r="D25" s="0" t="n">
        <v>-834.84830649958</v>
      </c>
      <c r="E25" s="0" t="n">
        <v>223342.683359143</v>
      </c>
      <c r="F25" s="0" t="n">
        <v>19208.8381973271</v>
      </c>
      <c r="G25" s="0" t="n">
        <v>0.000148905596148241</v>
      </c>
      <c r="I25" s="0" t="n">
        <v>-834.84830649958</v>
      </c>
      <c r="J25" s="0" t="n">
        <v>223342.683359143</v>
      </c>
      <c r="K25" s="0" t="n">
        <v>19208.8381973271</v>
      </c>
    </row>
    <row r="26" customFormat="false" ht="12" hidden="false" customHeight="false" outlineLevel="0" collapsed="false">
      <c r="A26" s="0" t="n">
        <v>17</v>
      </c>
      <c r="B26" s="0" t="n">
        <v>99</v>
      </c>
      <c r="C26" s="0" t="n">
        <v>1</v>
      </c>
      <c r="D26" s="0" t="n">
        <v>-757.29284722146</v>
      </c>
      <c r="E26" s="0" t="n">
        <v>184803.685614665</v>
      </c>
      <c r="F26" s="0" t="n">
        <v>15842.7596084247</v>
      </c>
      <c r="G26" s="0" t="n">
        <v>12.3632980751664</v>
      </c>
      <c r="I26" s="0" t="n">
        <v>-769.637780033982</v>
      </c>
      <c r="J26" s="0" t="n">
        <v>185345.809056273</v>
      </c>
      <c r="K26" s="0" t="n">
        <v>16384.8830500322</v>
      </c>
    </row>
    <row r="27" customFormat="false" ht="12" hidden="false" customHeight="false" outlineLevel="0" collapsed="false">
      <c r="A27" s="0" t="n">
        <v>18</v>
      </c>
      <c r="B27" s="0" t="n">
        <v>84</v>
      </c>
      <c r="C27" s="0" t="n">
        <v>0</v>
      </c>
      <c r="D27" s="0" t="n">
        <v>-260.821869529121</v>
      </c>
      <c r="E27" s="0" t="n">
        <v>70687.5248143471</v>
      </c>
      <c r="F27" s="0" t="n">
        <v>6660.95660845594</v>
      </c>
      <c r="G27" s="0" t="n">
        <v>2.57062108180439E-006</v>
      </c>
      <c r="I27" s="0" t="n">
        <v>-260.821869529121</v>
      </c>
      <c r="J27" s="0" t="n">
        <v>70687.5248143471</v>
      </c>
      <c r="K27" s="0" t="n">
        <v>6660.95660845594</v>
      </c>
    </row>
    <row r="28" customFormat="false" ht="12" hidden="false" customHeight="false" outlineLevel="0" collapsed="false">
      <c r="A28" s="0" t="n">
        <v>19</v>
      </c>
      <c r="B28" s="0" t="n">
        <v>110</v>
      </c>
      <c r="C28" s="0" t="n">
        <v>0</v>
      </c>
      <c r="D28" s="0" t="n">
        <v>-962.553123736918</v>
      </c>
      <c r="E28" s="0" t="n">
        <v>251532.428710552</v>
      </c>
      <c r="F28" s="0" t="n">
        <v>28038.0914579008</v>
      </c>
      <c r="G28" s="0" t="n">
        <v>0.00700344733277415</v>
      </c>
      <c r="I28" s="0" t="n">
        <v>-962.553123736918</v>
      </c>
      <c r="J28" s="0" t="n">
        <v>251532.428710552</v>
      </c>
      <c r="K28" s="0" t="n">
        <v>28038.0914579008</v>
      </c>
    </row>
    <row r="29" customFormat="false" ht="12" hidden="false" customHeight="false" outlineLevel="0" collapsed="false">
      <c r="A29" s="0" t="n">
        <v>20</v>
      </c>
      <c r="B29" s="0" t="n">
        <v>96</v>
      </c>
      <c r="C29" s="0" t="n">
        <v>2</v>
      </c>
      <c r="D29" s="0" t="n">
        <v>-772.334815531778</v>
      </c>
      <c r="E29" s="0" t="n">
        <v>184331.366701561</v>
      </c>
      <c r="F29" s="0" t="n">
        <v>16083.3321686346</v>
      </c>
      <c r="G29" s="0" t="n">
        <v>14.1508611948826</v>
      </c>
      <c r="I29" s="0" t="n">
        <v>-784.938662640436</v>
      </c>
      <c r="J29" s="0" t="n">
        <v>185383.785436293</v>
      </c>
      <c r="K29" s="0" t="n">
        <v>17135.7509033657</v>
      </c>
    </row>
    <row r="30" customFormat="false" ht="12" hidden="false" customHeight="false" outlineLevel="0" collapsed="false">
      <c r="A30" s="0" t="n">
        <v>21</v>
      </c>
      <c r="B30" s="0" t="n">
        <v>90</v>
      </c>
      <c r="C30" s="0" t="n">
        <v>0</v>
      </c>
      <c r="D30" s="0" t="n">
        <v>-690.406183699456</v>
      </c>
      <c r="E30" s="0" t="n">
        <v>192359.130605505</v>
      </c>
      <c r="F30" s="0" t="n">
        <v>15970.1850430485</v>
      </c>
      <c r="G30" s="0" t="n">
        <v>1.18599644035374E-006</v>
      </c>
      <c r="I30" s="0" t="n">
        <v>-690.406183699456</v>
      </c>
      <c r="J30" s="0" t="n">
        <v>192359.130605505</v>
      </c>
      <c r="K30" s="0" t="n">
        <v>15970.1850430485</v>
      </c>
    </row>
    <row r="31" customFormat="false" ht="12" hidden="false" customHeight="false" outlineLevel="0" collapsed="false">
      <c r="A31" s="0" t="n">
        <v>22</v>
      </c>
      <c r="B31" s="0" t="n">
        <v>94</v>
      </c>
      <c r="C31" s="0" t="n">
        <v>0</v>
      </c>
      <c r="D31" s="0" t="n">
        <v>-537.753611655565</v>
      </c>
      <c r="E31" s="0" t="n">
        <v>145495.122721074</v>
      </c>
      <c r="F31" s="0" t="n">
        <v>12372.0038903068</v>
      </c>
      <c r="G31" s="0" t="n">
        <v>0.0130195987366577</v>
      </c>
      <c r="I31" s="0" t="n">
        <v>-537.753611655565</v>
      </c>
      <c r="J31" s="0" t="n">
        <v>145495.122721074</v>
      </c>
      <c r="K31" s="0" t="n">
        <v>12372.0038903068</v>
      </c>
    </row>
    <row r="32" customFormat="false" ht="12" hidden="false" customHeight="false" outlineLevel="0" collapsed="false">
      <c r="A32" s="0" t="n">
        <v>23</v>
      </c>
      <c r="B32" s="0" t="n">
        <v>102</v>
      </c>
      <c r="C32" s="0" t="n">
        <v>3</v>
      </c>
      <c r="D32" s="0" t="n">
        <v>-1330.27516868599</v>
      </c>
      <c r="E32" s="0" t="n">
        <v>346409.896663074</v>
      </c>
      <c r="F32" s="0" t="n">
        <v>31019.793126636</v>
      </c>
      <c r="G32" s="0" t="n">
        <v>16.4077078735208</v>
      </c>
      <c r="I32" s="0" t="n">
        <v>-1345.1075969932</v>
      </c>
      <c r="J32" s="0" t="n">
        <v>349176.636117557</v>
      </c>
      <c r="K32" s="0" t="n">
        <v>33786.5325811189</v>
      </c>
    </row>
    <row r="33" customFormat="false" ht="12" hidden="false" customHeight="false" outlineLevel="0" collapsed="false">
      <c r="A33" s="0" t="n">
        <v>24</v>
      </c>
      <c r="B33" s="0" t="n">
        <v>97</v>
      </c>
      <c r="C33" s="0" t="n">
        <v>0</v>
      </c>
      <c r="D33" s="0" t="n">
        <v>-501.383167755297</v>
      </c>
      <c r="E33" s="0" t="n">
        <v>126234.276373805</v>
      </c>
      <c r="F33" s="0" t="n">
        <v>12815.883777631</v>
      </c>
      <c r="G33" s="0" t="n">
        <v>0.0493610555343362</v>
      </c>
      <c r="I33" s="0" t="n">
        <v>-501.383167755297</v>
      </c>
      <c r="J33" s="0" t="n">
        <v>126234.276373805</v>
      </c>
      <c r="K33" s="0" t="n">
        <v>12815.883777631</v>
      </c>
    </row>
    <row r="34" customFormat="false" ht="12" hidden="false" customHeight="false" outlineLevel="0" collapsed="false">
      <c r="A34" s="0" t="n">
        <v>25</v>
      </c>
      <c r="B34" s="0" t="n">
        <v>104</v>
      </c>
      <c r="C34" s="0" t="n">
        <v>2</v>
      </c>
      <c r="D34" s="0" t="n">
        <v>-986.953375548718</v>
      </c>
      <c r="E34" s="0" t="n">
        <v>242077.965310058</v>
      </c>
      <c r="F34" s="0" t="n">
        <v>20228.3941028711</v>
      </c>
      <c r="G34" s="0" t="n">
        <v>13.7533287221407</v>
      </c>
      <c r="I34" s="0" t="n">
        <v>-1000.69084809738</v>
      </c>
      <c r="J34" s="0" t="n">
        <v>243863.303866607</v>
      </c>
      <c r="K34" s="0" t="n">
        <v>22013.7326594205</v>
      </c>
    </row>
    <row r="35" customFormat="false" ht="12" hidden="false" customHeight="false" outlineLevel="0" collapsed="false">
      <c r="A35" s="0" t="n">
        <v>26</v>
      </c>
      <c r="B35" s="0" t="n">
        <v>95</v>
      </c>
      <c r="C35" s="0" t="n">
        <v>2</v>
      </c>
      <c r="D35" s="0" t="n">
        <v>-587.640155953916</v>
      </c>
      <c r="E35" s="0" t="n">
        <v>150745.270250696</v>
      </c>
      <c r="F35" s="0" t="n">
        <v>13911.9653610384</v>
      </c>
      <c r="G35" s="0" t="n">
        <v>50.1428078947233</v>
      </c>
      <c r="I35" s="0" t="n">
        <v>-637.782821418382</v>
      </c>
      <c r="J35" s="0" t="n">
        <v>151834.367945064</v>
      </c>
      <c r="K35" s="0" t="n">
        <v>15001.0630554063</v>
      </c>
    </row>
    <row r="36" customFormat="false" ht="12" hidden="false" customHeight="false" outlineLevel="0" collapsed="false">
      <c r="A36" s="0" t="n">
        <v>27</v>
      </c>
      <c r="B36" s="0" t="n">
        <v>82</v>
      </c>
      <c r="C36" s="0" t="n">
        <v>0</v>
      </c>
      <c r="D36" s="0" t="n">
        <v>-613.754873637959</v>
      </c>
      <c r="E36" s="0" t="n">
        <v>162579.420588894</v>
      </c>
      <c r="F36" s="0" t="n">
        <v>12264.7418578368</v>
      </c>
      <c r="G36" s="0" t="n">
        <v>0.000921024558811582</v>
      </c>
      <c r="I36" s="0" t="n">
        <v>-613.754873637959</v>
      </c>
      <c r="J36" s="0" t="n">
        <v>162579.420588894</v>
      </c>
      <c r="K36" s="0" t="n">
        <v>12264.7418578368</v>
      </c>
    </row>
    <row r="37" customFormat="false" ht="12" hidden="false" customHeight="false" outlineLevel="0" collapsed="false">
      <c r="A37" s="0" t="n">
        <v>28</v>
      </c>
      <c r="B37" s="0" t="n">
        <v>104</v>
      </c>
      <c r="C37" s="0" t="n">
        <v>0</v>
      </c>
      <c r="D37" s="0" t="n">
        <v>-446.328931062468</v>
      </c>
      <c r="E37" s="0" t="n">
        <v>115936.851955092</v>
      </c>
      <c r="F37" s="0" t="n">
        <v>13759.1635997405</v>
      </c>
      <c r="G37" s="0" t="n">
        <v>0.000161914886094177</v>
      </c>
      <c r="I37" s="0" t="n">
        <v>-446.328931062468</v>
      </c>
      <c r="J37" s="0" t="n">
        <v>115936.851955092</v>
      </c>
      <c r="K37" s="0" t="n">
        <v>13759.1635997405</v>
      </c>
    </row>
    <row r="38" customFormat="false" ht="12" hidden="false" customHeight="false" outlineLevel="0" collapsed="false">
      <c r="A38" s="0" t="n">
        <v>29</v>
      </c>
      <c r="B38" s="0" t="n">
        <v>93</v>
      </c>
      <c r="C38" s="0" t="n">
        <v>2</v>
      </c>
      <c r="D38" s="0" t="n">
        <v>-1296.446211437</v>
      </c>
      <c r="E38" s="0" t="n">
        <v>332765.65909204</v>
      </c>
      <c r="F38" s="0" t="n">
        <v>26490.0484279456</v>
      </c>
      <c r="G38" s="0" t="n">
        <v>9.40972915409783</v>
      </c>
      <c r="I38" s="0" t="n">
        <v>-1305.56989267186</v>
      </c>
      <c r="J38" s="0" t="n">
        <v>334126.029151487</v>
      </c>
      <c r="K38" s="0" t="n">
        <v>27850.4184873924</v>
      </c>
    </row>
    <row r="39" customFormat="false" ht="12" hidden="false" customHeight="false" outlineLevel="0" collapsed="false">
      <c r="A39" s="0" t="n">
        <v>30</v>
      </c>
      <c r="B39" s="0" t="n">
        <v>110</v>
      </c>
      <c r="C39" s="0" t="n">
        <v>2</v>
      </c>
      <c r="D39" s="0" t="n">
        <v>-932.026637274607</v>
      </c>
      <c r="E39" s="0" t="n">
        <v>232153.857027951</v>
      </c>
      <c r="F39" s="0" t="n">
        <v>22212.5690438916</v>
      </c>
      <c r="G39" s="0" t="n">
        <v>23.4286825622601</v>
      </c>
      <c r="I39" s="0" t="n">
        <v>-955.440783558601</v>
      </c>
      <c r="J39" s="0" t="n">
        <v>233176.94770927</v>
      </c>
      <c r="K39" s="0" t="n">
        <v>23235.6597252105</v>
      </c>
    </row>
    <row r="40" customFormat="false" ht="12" hidden="false" customHeight="false" outlineLevel="0" collapsed="false">
      <c r="A40" s="0" t="n">
        <v>31</v>
      </c>
      <c r="B40" s="0" t="n">
        <v>104</v>
      </c>
      <c r="C40" s="0" t="n">
        <v>1</v>
      </c>
      <c r="D40" s="0" t="n">
        <v>-556.176224408359</v>
      </c>
      <c r="E40" s="0" t="n">
        <v>141652.822588704</v>
      </c>
      <c r="F40" s="0" t="n">
        <v>13218.8576523979</v>
      </c>
      <c r="G40" s="0" t="n">
        <v>18.2119768142454</v>
      </c>
      <c r="I40" s="0" t="n">
        <v>-574.387998054808</v>
      </c>
      <c r="J40" s="0" t="n">
        <v>142116.177626548</v>
      </c>
      <c r="K40" s="0" t="n">
        <v>13682.2126902422</v>
      </c>
    </row>
    <row r="41" customFormat="false" ht="12" hidden="false" customHeight="false" outlineLevel="0" collapsed="false">
      <c r="A41" s="0" t="n">
        <v>32</v>
      </c>
      <c r="B41" s="0" t="n">
        <v>125</v>
      </c>
      <c r="C41" s="0" t="n">
        <v>0</v>
      </c>
      <c r="D41" s="0" t="n">
        <v>-887.692212211856</v>
      </c>
      <c r="E41" s="0" t="n">
        <v>230280.327612299</v>
      </c>
      <c r="F41" s="0" t="n">
        <v>26067.8109415828</v>
      </c>
      <c r="G41" s="0" t="n">
        <v>0.0044165012894853</v>
      </c>
      <c r="I41" s="0" t="n">
        <v>-887.692212211856</v>
      </c>
      <c r="J41" s="0" t="n">
        <v>230280.327612299</v>
      </c>
      <c r="K41" s="0" t="n">
        <v>26067.8109415828</v>
      </c>
    </row>
    <row r="42" customFormat="false" ht="12" hidden="false" customHeight="false" outlineLevel="0" collapsed="false">
      <c r="A42" s="0" t="n">
        <v>33</v>
      </c>
      <c r="B42" s="0" t="n">
        <v>105</v>
      </c>
      <c r="C42" s="0" t="n">
        <v>2</v>
      </c>
      <c r="D42" s="0" t="n">
        <v>-781.738905017911</v>
      </c>
      <c r="E42" s="0" t="n">
        <v>193591.406662085</v>
      </c>
      <c r="F42" s="0" t="n">
        <v>23281.2009002005</v>
      </c>
      <c r="G42" s="0" t="n">
        <v>15.4410852821537</v>
      </c>
      <c r="I42" s="0" t="n">
        <v>-797.144724738351</v>
      </c>
      <c r="J42" s="0" t="n">
        <v>195149.571988707</v>
      </c>
      <c r="K42" s="0" t="n">
        <v>24839.3662268223</v>
      </c>
    </row>
    <row r="43" customFormat="false" ht="12" hidden="false" customHeight="false" outlineLevel="0" collapsed="false">
      <c r="A43" s="0" t="n">
        <v>34</v>
      </c>
      <c r="B43" s="0" t="n">
        <v>100</v>
      </c>
      <c r="C43" s="0" t="n">
        <v>2</v>
      </c>
      <c r="D43" s="0" t="n">
        <v>-1236.67339742737</v>
      </c>
      <c r="E43" s="0" t="n">
        <v>313619.925565425</v>
      </c>
      <c r="F43" s="0" t="n">
        <v>24258.5572374308</v>
      </c>
      <c r="G43" s="0" t="n">
        <v>26.6914413992303</v>
      </c>
      <c r="I43" s="0" t="n">
        <v>-1263.342686279</v>
      </c>
      <c r="J43" s="0" t="n">
        <v>315153.36067535</v>
      </c>
      <c r="K43" s="0" t="n">
        <v>25791.9923473559</v>
      </c>
    </row>
    <row r="44" customFormat="false" ht="12" hidden="false" customHeight="false" outlineLevel="0" collapsed="false">
      <c r="A44" s="0" t="n">
        <v>35</v>
      </c>
      <c r="B44" s="0" t="n">
        <v>105</v>
      </c>
      <c r="C44" s="0" t="n">
        <v>0</v>
      </c>
      <c r="D44" s="0" t="n">
        <v>-818.064302994673</v>
      </c>
      <c r="E44" s="0" t="n">
        <v>214232.504808052</v>
      </c>
      <c r="F44" s="0" t="n">
        <v>19873.3713539207</v>
      </c>
      <c r="G44" s="0" t="n">
        <v>0.000887676914344001</v>
      </c>
      <c r="I44" s="0" t="n">
        <v>-818.064302994673</v>
      </c>
      <c r="J44" s="0" t="n">
        <v>214232.504808052</v>
      </c>
      <c r="K44" s="0" t="n">
        <v>19873.3713539207</v>
      </c>
    </row>
    <row r="45" customFormat="false" ht="12" hidden="false" customHeight="false" outlineLevel="0" collapsed="false">
      <c r="A45" s="0" t="n">
        <v>36</v>
      </c>
      <c r="B45" s="0" t="n">
        <v>95</v>
      </c>
      <c r="C45" s="0" t="n">
        <v>0</v>
      </c>
      <c r="D45" s="0" t="n">
        <v>-753.776668169006</v>
      </c>
      <c r="E45" s="0" t="n">
        <v>192949.22467864</v>
      </c>
      <c r="F45" s="0" t="n">
        <v>16873.3866539272</v>
      </c>
      <c r="G45" s="0" t="n">
        <v>0.000284590618928215</v>
      </c>
      <c r="I45" s="0" t="n">
        <v>-753.776668169006</v>
      </c>
      <c r="J45" s="0" t="n">
        <v>192949.22467864</v>
      </c>
      <c r="K45" s="0" t="n">
        <v>16873.3866539272</v>
      </c>
    </row>
    <row r="46" customFormat="false" ht="12" hidden="false" customHeight="false" outlineLevel="0" collapsed="false">
      <c r="A46" s="0" t="n">
        <v>37</v>
      </c>
      <c r="B46" s="0" t="n">
        <v>110</v>
      </c>
      <c r="C46" s="0" t="n">
        <v>2</v>
      </c>
      <c r="D46" s="0" t="n">
        <v>-907.620088827473</v>
      </c>
      <c r="E46" s="0" t="n">
        <v>235384.047381669</v>
      </c>
      <c r="F46" s="0" t="n">
        <v>25289.6749507534</v>
      </c>
      <c r="G46" s="0" t="n">
        <v>1.91538599091356</v>
      </c>
      <c r="I46" s="0" t="n">
        <v>-906.861443948598</v>
      </c>
      <c r="J46" s="0" t="n">
        <v>236510.85587304</v>
      </c>
      <c r="K46" s="0" t="n">
        <v>26416.4834421244</v>
      </c>
    </row>
    <row r="47" customFormat="false" ht="12" hidden="false" customHeight="false" outlineLevel="0" collapsed="false">
      <c r="A47" s="0" t="n">
        <v>38</v>
      </c>
      <c r="B47" s="0" t="n">
        <v>99</v>
      </c>
      <c r="C47" s="0" t="n">
        <v>0</v>
      </c>
      <c r="D47" s="0" t="n">
        <v>-1020.50942552319</v>
      </c>
      <c r="E47" s="0" t="n">
        <v>279568.877148804</v>
      </c>
      <c r="F47" s="0" t="n">
        <v>29559.236761847</v>
      </c>
      <c r="G47" s="0" t="n">
        <v>0.000198157009578399</v>
      </c>
      <c r="I47" s="0" t="n">
        <v>-1020.50942552319</v>
      </c>
      <c r="J47" s="0" t="n">
        <v>279568.877148804</v>
      </c>
      <c r="K47" s="0" t="n">
        <v>29559.236761847</v>
      </c>
    </row>
    <row r="48" customFormat="false" ht="12" hidden="false" customHeight="false" outlineLevel="0" collapsed="false">
      <c r="A48" s="0" t="n">
        <v>39</v>
      </c>
      <c r="B48" s="0" t="n">
        <v>106</v>
      </c>
      <c r="C48" s="0" t="n">
        <v>0</v>
      </c>
      <c r="D48" s="0" t="n">
        <v>-583.787658031188</v>
      </c>
      <c r="E48" s="0" t="n">
        <v>143366.308512397</v>
      </c>
      <c r="F48" s="0" t="n">
        <v>13280.2447379618</v>
      </c>
      <c r="G48" s="0" t="n">
        <v>0.00222897061777925</v>
      </c>
      <c r="I48" s="0" t="n">
        <v>-583.787658031187</v>
      </c>
      <c r="J48" s="0" t="n">
        <v>143366.308512397</v>
      </c>
      <c r="K48" s="0" t="n">
        <v>13280.2447379618</v>
      </c>
    </row>
    <row r="49" customFormat="false" ht="12" hidden="false" customHeight="false" outlineLevel="0" collapsed="false">
      <c r="A49" s="0" t="n">
        <v>40</v>
      </c>
      <c r="B49" s="0" t="n">
        <v>101</v>
      </c>
      <c r="C49" s="0" t="n">
        <v>0</v>
      </c>
      <c r="D49" s="0" t="n">
        <v>-505.357359693605</v>
      </c>
      <c r="E49" s="0" t="n">
        <v>130980.093401866</v>
      </c>
      <c r="F49" s="0" t="n">
        <v>13804.1778725383</v>
      </c>
      <c r="G49" s="0" t="n">
        <v>0.000543837912425598</v>
      </c>
      <c r="I49" s="0" t="n">
        <v>-505.357359693605</v>
      </c>
      <c r="J49" s="0" t="n">
        <v>130980.093401866</v>
      </c>
      <c r="K49" s="0" t="n">
        <v>13804.1778725383</v>
      </c>
    </row>
    <row r="50" customFormat="false" ht="12" hidden="false" customHeight="false" outlineLevel="0" collapsed="false">
      <c r="A50" s="0" t="n">
        <v>41</v>
      </c>
      <c r="B50" s="0" t="n">
        <v>109</v>
      </c>
      <c r="C50" s="0" t="n">
        <v>0</v>
      </c>
      <c r="D50" s="0" t="n">
        <v>-726.741804799263</v>
      </c>
      <c r="E50" s="0" t="n">
        <v>183482.412913005</v>
      </c>
      <c r="F50" s="0" t="n">
        <v>21693.496443577</v>
      </c>
      <c r="G50" s="0" t="n">
        <v>0.0229853374285172</v>
      </c>
      <c r="I50" s="0" t="n">
        <v>-726.741804799263</v>
      </c>
      <c r="J50" s="0" t="n">
        <v>183482.412913005</v>
      </c>
      <c r="K50" s="0" t="n">
        <v>21693.496443577</v>
      </c>
    </row>
    <row r="51" customFormat="false" ht="12" hidden="false" customHeight="false" outlineLevel="0" collapsed="false">
      <c r="A51" s="0" t="n">
        <v>42</v>
      </c>
      <c r="B51" s="0" t="n">
        <v>110</v>
      </c>
      <c r="C51" s="0" t="n">
        <v>2</v>
      </c>
      <c r="D51" s="0" t="n">
        <v>-562.080618139571</v>
      </c>
      <c r="E51" s="0" t="n">
        <v>131986.260531685</v>
      </c>
      <c r="F51" s="0" t="n">
        <v>12754.3389758024</v>
      </c>
      <c r="G51" s="0" t="n">
        <v>62.1931326345483</v>
      </c>
      <c r="I51" s="0" t="n">
        <v>-624.252403956465</v>
      </c>
      <c r="J51" s="0" t="n">
        <v>133140.510091807</v>
      </c>
      <c r="K51" s="0" t="n">
        <v>13908.5885359247</v>
      </c>
    </row>
    <row r="52" customFormat="false" ht="12" hidden="false" customHeight="false" outlineLevel="0" collapsed="false">
      <c r="A52" s="0" t="n">
        <v>43</v>
      </c>
      <c r="B52" s="0" t="n">
        <v>111</v>
      </c>
      <c r="C52" s="0" t="n">
        <v>2</v>
      </c>
      <c r="D52" s="0" t="n">
        <v>-799.624823586765</v>
      </c>
      <c r="E52" s="0" t="n">
        <v>198073.37179843</v>
      </c>
      <c r="F52" s="0" t="n">
        <v>22170.4138300755</v>
      </c>
      <c r="G52" s="0" t="n">
        <v>16.6387053735273</v>
      </c>
      <c r="I52" s="0" t="n">
        <v>-816.254010806581</v>
      </c>
      <c r="J52" s="0" t="n">
        <v>199242.98109469</v>
      </c>
      <c r="K52" s="0" t="n">
        <v>23340.0231263356</v>
      </c>
    </row>
    <row r="53" customFormat="false" ht="12" hidden="false" customHeight="false" outlineLevel="0" collapsed="false">
      <c r="A53" s="0" t="n">
        <v>44</v>
      </c>
      <c r="B53" s="0" t="n">
        <v>107</v>
      </c>
      <c r="C53" s="0" t="n">
        <v>0</v>
      </c>
      <c r="D53" s="0" t="n">
        <v>-699.036335281058</v>
      </c>
      <c r="E53" s="0" t="n">
        <v>171704.201974346</v>
      </c>
      <c r="F53" s="0" t="n">
        <v>14837.4848936889</v>
      </c>
      <c r="G53" s="0" t="n">
        <v>0.00858514785973698</v>
      </c>
      <c r="I53" s="0" t="n">
        <v>-699.036335281058</v>
      </c>
      <c r="J53" s="0" t="n">
        <v>171704.201974346</v>
      </c>
      <c r="K53" s="0" t="n">
        <v>14837.4848936889</v>
      </c>
    </row>
    <row r="54" customFormat="false" ht="12" hidden="false" customHeight="false" outlineLevel="0" collapsed="false">
      <c r="A54" s="0" t="n">
        <v>45</v>
      </c>
      <c r="B54" s="0" t="n">
        <v>107</v>
      </c>
      <c r="C54" s="0" t="n">
        <v>0</v>
      </c>
      <c r="D54" s="0" t="n">
        <v>-532.268461119923</v>
      </c>
      <c r="E54" s="0" t="n">
        <v>143432.561706606</v>
      </c>
      <c r="F54" s="0" t="n">
        <v>16321.2848858598</v>
      </c>
      <c r="G54" s="0" t="n">
        <v>0.000123585571939316</v>
      </c>
      <c r="I54" s="0" t="n">
        <v>-532.268461119923</v>
      </c>
      <c r="J54" s="0" t="n">
        <v>143432.561706606</v>
      </c>
      <c r="K54" s="0" t="n">
        <v>16321.2848858598</v>
      </c>
    </row>
    <row r="55" customFormat="false" ht="12" hidden="false" customHeight="false" outlineLevel="0" collapsed="false">
      <c r="A55" s="0" t="n">
        <v>46</v>
      </c>
      <c r="B55" s="0" t="n">
        <v>102</v>
      </c>
      <c r="C55" s="0" t="n">
        <v>1</v>
      </c>
      <c r="D55" s="0" t="n">
        <v>-1048.31585587059</v>
      </c>
      <c r="E55" s="0" t="n">
        <v>271225.644801886</v>
      </c>
      <c r="F55" s="0" t="n">
        <v>25874.7573716716</v>
      </c>
      <c r="G55" s="0" t="n">
        <v>2.75829099739255</v>
      </c>
      <c r="I55" s="0" t="n">
        <v>-1050.99225373715</v>
      </c>
      <c r="J55" s="0" t="n">
        <v>272032.731873679</v>
      </c>
      <c r="K55" s="0" t="n">
        <v>26681.8444434639</v>
      </c>
    </row>
    <row r="56" customFormat="false" ht="12" hidden="false" customHeight="false" outlineLevel="0" collapsed="false">
      <c r="A56" s="0" t="n">
        <v>47</v>
      </c>
      <c r="B56" s="0" t="n">
        <v>102</v>
      </c>
      <c r="C56" s="0" t="n">
        <v>1</v>
      </c>
      <c r="D56" s="0" t="n">
        <v>-1097.48822732477</v>
      </c>
      <c r="E56" s="0" t="n">
        <v>290593.596880942</v>
      </c>
      <c r="F56" s="0" t="n">
        <v>30431.8279665821</v>
      </c>
      <c r="G56" s="0" t="n">
        <v>24.1688946647341</v>
      </c>
      <c r="I56" s="0" t="n">
        <v>-1121.65699608496</v>
      </c>
      <c r="J56" s="0" t="n">
        <v>291604.270600206</v>
      </c>
      <c r="K56" s="0" t="n">
        <v>31442.5016858465</v>
      </c>
    </row>
    <row r="57" customFormat="false" ht="12" hidden="false" customHeight="false" outlineLevel="0" collapsed="false">
      <c r="A57" s="0" t="n">
        <v>48</v>
      </c>
      <c r="B57" s="0" t="n">
        <v>100</v>
      </c>
      <c r="C57" s="0" t="n">
        <v>0</v>
      </c>
      <c r="D57" s="0" t="n">
        <v>-727.528186913115</v>
      </c>
      <c r="E57" s="0" t="n">
        <v>188892.479358929</v>
      </c>
      <c r="F57" s="0" t="n">
        <v>17311.8500426897</v>
      </c>
      <c r="G57" s="0" t="n">
        <v>0.152145847663123</v>
      </c>
      <c r="I57" s="0" t="n">
        <v>-727.528186913115</v>
      </c>
      <c r="J57" s="0" t="n">
        <v>188892.479358929</v>
      </c>
      <c r="K57" s="0" t="n">
        <v>17311.8500426897</v>
      </c>
    </row>
    <row r="58" customFormat="false" ht="12" hidden="false" customHeight="false" outlineLevel="0" collapsed="false">
      <c r="A58" s="0" t="n">
        <v>49</v>
      </c>
      <c r="B58" s="0" t="n">
        <v>109</v>
      </c>
      <c r="C58" s="0" t="n">
        <v>0</v>
      </c>
      <c r="D58" s="0" t="n">
        <v>-956.729072860192</v>
      </c>
      <c r="E58" s="0" t="n">
        <v>243995.554739029</v>
      </c>
      <c r="F58" s="0" t="n">
        <v>25610.4166809922</v>
      </c>
      <c r="G58" s="0" t="n">
        <v>1.79071692240855</v>
      </c>
      <c r="I58" s="0" t="n">
        <v>-956.729072860192</v>
      </c>
      <c r="J58" s="0" t="n">
        <v>243995.554739029</v>
      </c>
      <c r="K58" s="0" t="n">
        <v>25610.4166809922</v>
      </c>
    </row>
    <row r="59" customFormat="false" ht="12" hidden="false" customHeight="false" outlineLevel="0" collapsed="false">
      <c r="A59" s="0" t="n">
        <v>50</v>
      </c>
      <c r="B59" s="0" t="n">
        <v>110</v>
      </c>
      <c r="C59" s="0" t="n">
        <v>0</v>
      </c>
      <c r="D59" s="0" t="n">
        <v>-502.05344591197</v>
      </c>
      <c r="E59" s="0" t="n">
        <v>126191.139359659</v>
      </c>
      <c r="F59" s="0" t="n">
        <v>14401.3079605339</v>
      </c>
      <c r="G59" s="0" t="n">
        <v>0.000836845645102688</v>
      </c>
      <c r="I59" s="0" t="n">
        <v>-502.05344591197</v>
      </c>
      <c r="J59" s="0" t="n">
        <v>126191.139359659</v>
      </c>
      <c r="K59" s="0" t="n">
        <v>14401.3079605339</v>
      </c>
    </row>
    <row r="62" customFormat="false" ht="12" hidden="false" customHeight="false" outlineLevel="0" collapsed="false">
      <c r="A62" s="0" t="s">
        <v>75</v>
      </c>
      <c r="B62" s="0" t="n">
        <f aca="false">AVERAGE(B10:B59)</f>
        <v>102.04</v>
      </c>
      <c r="C62" s="0" t="n">
        <f aca="false">AVERAGE(C10:C59)</f>
        <v>0.74</v>
      </c>
      <c r="D62" s="0" t="n">
        <f aca="false">AVERAGE(D10:D59)</f>
        <v>-754.038711312877</v>
      </c>
      <c r="E62" s="0" t="n">
        <f aca="false">AVERAGE(E10:E59)</f>
        <v>193519.876714797</v>
      </c>
      <c r="F62" s="0" t="n">
        <f aca="false">AVERAGE(F10:F59)</f>
        <v>18907.8228498222</v>
      </c>
      <c r="G62" s="0" t="n">
        <f aca="false">AVERAGE(G10:G59)</f>
        <v>10.8858562167892</v>
      </c>
      <c r="I62" s="0" t="n">
        <f aca="false">AVERAGE(I10:I59)</f>
        <v>-764.732203957027</v>
      </c>
      <c r="J62" s="0" t="n">
        <f aca="false">AVERAGE(J10:J59)</f>
        <v>194015.51971227</v>
      </c>
      <c r="K62" s="0" t="n">
        <f aca="false">AVERAGE(K10:K59)</f>
        <v>19403.4658472956</v>
      </c>
    </row>
    <row r="63" customFormat="false" ht="12" hidden="false" customHeight="false" outlineLevel="0" collapsed="false">
      <c r="A63" s="0" t="s">
        <v>76</v>
      </c>
      <c r="B63" s="0" t="n">
        <f aca="false">STDEV(B10:B59)</f>
        <v>8.62118889476293</v>
      </c>
      <c r="C63" s="0" t="n">
        <f aca="false">STDEV(C10:C59)</f>
        <v>0.921622349502246</v>
      </c>
      <c r="D63" s="0" t="n">
        <f aca="false">STDEV(D10:D59)</f>
        <v>244.029875092644</v>
      </c>
      <c r="E63" s="0" t="n">
        <f aca="false">STDEV(E10:E59)</f>
        <v>63837.9765848931</v>
      </c>
      <c r="F63" s="0" t="n">
        <f aca="false">STDEV(F10:F59)</f>
        <v>5985.24895138031</v>
      </c>
      <c r="G63" s="0" t="n">
        <f aca="false">STDEV(G10:G59)</f>
        <v>22.1935510681914</v>
      </c>
      <c r="I63" s="0" t="n">
        <f aca="false">STDEV(I10:I59)</f>
        <v>249.175784507517</v>
      </c>
      <c r="J63" s="0" t="n">
        <f aca="false">STDEV(J10:J59)</f>
        <v>64219.6532684353</v>
      </c>
      <c r="K63" s="0" t="n">
        <f aca="false">STDEV(K10:K59)</f>
        <v>6324.48317298904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8.82421875" defaultRowHeight="12" customHeight="false" zeroHeight="false" outlineLevelRow="0" outlineLevelCol="0"/>
  <cols>
    <col collapsed="false" customWidth="true" hidden="false" outlineLevel="0" max="3" min="3" style="0" width="10.32"/>
  </cols>
  <sheetData>
    <row r="3" customFormat="false" ht="12" hidden="false" customHeight="false" outlineLevel="0" collapsed="false">
      <c r="A3" s="0" t="s">
        <v>46</v>
      </c>
      <c r="B3" s="0" t="s">
        <v>39</v>
      </c>
      <c r="C3" s="0" t="s">
        <v>69</v>
      </c>
      <c r="D3" s="0" t="s">
        <v>70</v>
      </c>
      <c r="E3" s="0" t="s">
        <v>71</v>
      </c>
      <c r="F3" s="0" t="s">
        <v>72</v>
      </c>
      <c r="G3" s="0" t="s">
        <v>5</v>
      </c>
      <c r="I3" s="0" t="s">
        <v>70</v>
      </c>
      <c r="J3" s="0" t="s">
        <v>20</v>
      </c>
      <c r="K3" s="0" t="s">
        <v>73</v>
      </c>
    </row>
    <row r="4" customFormat="false" ht="12" hidden="false" customHeight="false" outlineLevel="0" collapsed="false">
      <c r="A4" s="0" t="n">
        <v>0</v>
      </c>
      <c r="B4" s="0" t="n">
        <v>102.1</v>
      </c>
      <c r="C4" s="0" t="n">
        <v>68.22</v>
      </c>
      <c r="D4" s="0" t="n">
        <v>-617.028127188763</v>
      </c>
      <c r="E4" s="0" t="n">
        <v>175004.561804841</v>
      </c>
      <c r="F4" s="0" t="n">
        <v>3930.14592416423</v>
      </c>
      <c r="G4" s="0" t="n">
        <v>189.39298839949</v>
      </c>
      <c r="I4" s="0" t="n">
        <v>-772.101794596521</v>
      </c>
      <c r="J4" s="0" t="n">
        <v>196840.808880682</v>
      </c>
      <c r="K4" s="0" t="n">
        <v>19265.1373837189</v>
      </c>
    </row>
    <row r="5" customFormat="false" ht="12" hidden="false" customHeight="false" outlineLevel="0" collapsed="false">
      <c r="A5" s="0" t="n">
        <v>0.5</v>
      </c>
      <c r="B5" s="0" t="n">
        <v>98.96</v>
      </c>
      <c r="C5" s="0" t="n">
        <v>56.2</v>
      </c>
      <c r="D5" s="0" t="n">
        <v>-732.811891402339</v>
      </c>
      <c r="E5" s="0" t="n">
        <v>200387.012951145</v>
      </c>
      <c r="F5" s="0" t="n">
        <v>5620.93832165436</v>
      </c>
      <c r="G5" s="0" t="n">
        <v>174.15158624575</v>
      </c>
      <c r="I5" s="0" t="n">
        <v>-869.324412981119</v>
      </c>
      <c r="J5" s="0" t="n">
        <v>221957.670650958</v>
      </c>
      <c r="K5" s="0" t="n">
        <v>22019.1786960146</v>
      </c>
    </row>
    <row r="6" customFormat="false" ht="12" hidden="false" customHeight="false" outlineLevel="0" collapsed="false">
      <c r="A6" s="0" t="n">
        <v>1</v>
      </c>
      <c r="B6" s="0" t="n">
        <v>100.68</v>
      </c>
      <c r="C6" s="0" t="n">
        <v>48.3</v>
      </c>
      <c r="D6" s="0" t="n">
        <v>-746.183760045588</v>
      </c>
      <c r="E6" s="0" t="n">
        <v>198685.781011913</v>
      </c>
      <c r="F6" s="0" t="n">
        <v>7293.95657236872</v>
      </c>
      <c r="G6" s="0" t="n">
        <v>163.669641605782</v>
      </c>
      <c r="I6" s="0" t="n">
        <v>-870.250231329336</v>
      </c>
      <c r="J6" s="0" t="n">
        <v>218025.120589989</v>
      </c>
      <c r="K6" s="0" t="n">
        <v>22269.5969817051</v>
      </c>
    </row>
    <row r="7" customFormat="false" ht="12" hidden="false" customHeight="false" outlineLevel="0" collapsed="false">
      <c r="A7" s="0" t="n">
        <v>1.5</v>
      </c>
      <c r="B7" s="0" t="n">
        <v>100.16</v>
      </c>
      <c r="C7" s="0" t="n">
        <v>37.88</v>
      </c>
      <c r="D7" s="0" t="n">
        <v>-723.113671263498</v>
      </c>
      <c r="E7" s="0" t="n">
        <v>188913.104184663</v>
      </c>
      <c r="F7" s="0" t="n">
        <v>8718.01552238009</v>
      </c>
      <c r="G7" s="0" t="n">
        <v>123.965553224323</v>
      </c>
      <c r="I7" s="0" t="n">
        <v>-808.532492035585</v>
      </c>
      <c r="J7" s="0" t="n">
        <v>204079.133107281</v>
      </c>
      <c r="K7" s="0" t="n">
        <v>20732.2166941077</v>
      </c>
    </row>
    <row r="8" customFormat="false" ht="12" hidden="false" customHeight="false" outlineLevel="0" collapsed="false">
      <c r="A8" s="0" t="n">
        <v>2</v>
      </c>
      <c r="B8" s="0" t="n">
        <v>98.7</v>
      </c>
      <c r="C8" s="0" t="n">
        <v>29.32</v>
      </c>
      <c r="D8" s="0" t="n">
        <v>-719.011394018385</v>
      </c>
      <c r="E8" s="0" t="n">
        <v>187136.110647777</v>
      </c>
      <c r="F8" s="0" t="n">
        <v>10240.4229542555</v>
      </c>
      <c r="G8" s="0" t="n">
        <v>96.1329412329101</v>
      </c>
      <c r="I8" s="0" t="n">
        <v>-778.870977281386</v>
      </c>
      <c r="J8" s="0" t="n">
        <v>198943.075463483</v>
      </c>
      <c r="K8" s="0" t="n">
        <v>20270.3854311991</v>
      </c>
    </row>
    <row r="9" customFormat="false" ht="12" hidden="false" customHeight="false" outlineLevel="0" collapsed="false">
      <c r="A9" s="0" t="n">
        <v>2.5</v>
      </c>
      <c r="B9" s="0" t="n">
        <v>100.38</v>
      </c>
      <c r="C9" s="0" t="n">
        <v>23.3</v>
      </c>
      <c r="D9" s="0" t="n">
        <v>-720.947298785999</v>
      </c>
      <c r="E9" s="0" t="n">
        <v>187503.021542242</v>
      </c>
      <c r="F9" s="0" t="n">
        <v>11404.0074960936</v>
      </c>
      <c r="G9" s="0" t="n">
        <v>88.3790003704563</v>
      </c>
      <c r="I9" s="0" t="n">
        <v>-778.023389758518</v>
      </c>
      <c r="J9" s="0" t="n">
        <v>197024.483408548</v>
      </c>
      <c r="K9" s="0" t="n">
        <v>19764.2741911063</v>
      </c>
    </row>
    <row r="10" customFormat="false" ht="12" hidden="false" customHeight="false" outlineLevel="0" collapsed="false">
      <c r="A10" s="0" t="n">
        <v>3</v>
      </c>
      <c r="B10" s="0" t="n">
        <v>98.88</v>
      </c>
      <c r="C10" s="0" t="n">
        <v>19.92</v>
      </c>
      <c r="D10" s="0" t="n">
        <v>-783.594396900659</v>
      </c>
      <c r="E10" s="0" t="n">
        <v>204058.243063627</v>
      </c>
      <c r="F10" s="0" t="n">
        <v>12974.6434500825</v>
      </c>
      <c r="G10" s="0" t="n">
        <v>84.8021822695332</v>
      </c>
      <c r="I10" s="0" t="n">
        <v>-842.187292557954</v>
      </c>
      <c r="J10" s="0" t="n">
        <v>213428.236905126</v>
      </c>
      <c r="K10" s="0" t="n">
        <v>21234.2461184151</v>
      </c>
    </row>
    <row r="11" customFormat="false" ht="12" hidden="false" customHeight="false" outlineLevel="0" collapsed="false">
      <c r="A11" s="0" t="n">
        <v>3.5</v>
      </c>
      <c r="B11" s="0" t="n">
        <v>101.42</v>
      </c>
      <c r="C11" s="0" t="n">
        <v>15.26</v>
      </c>
      <c r="D11" s="0" t="n">
        <v>-770.297566185047</v>
      </c>
      <c r="E11" s="0" t="n">
        <v>202271.047099551</v>
      </c>
      <c r="F11" s="0" t="n">
        <v>14338.6764261318</v>
      </c>
      <c r="G11" s="0" t="n">
        <v>73.3540109545633</v>
      </c>
      <c r="I11" s="0" t="n">
        <v>-823.476174528542</v>
      </c>
      <c r="J11" s="0" t="n">
        <v>209319.450606806</v>
      </c>
      <c r="K11" s="0" t="n">
        <v>20831.0507103242</v>
      </c>
    </row>
    <row r="12" customFormat="false" ht="12" hidden="false" customHeight="false" outlineLevel="0" collapsed="false">
      <c r="A12" s="0" t="n">
        <v>4</v>
      </c>
      <c r="B12" s="0" t="n">
        <v>100.22</v>
      </c>
      <c r="C12" s="0" t="n">
        <v>13.54</v>
      </c>
      <c r="D12" s="0" t="n">
        <v>-802.115859208456</v>
      </c>
      <c r="E12" s="0" t="n">
        <v>209918.989621372</v>
      </c>
      <c r="F12" s="0" t="n">
        <v>14792.1010774595</v>
      </c>
      <c r="G12" s="0" t="n">
        <v>68.1752575578516</v>
      </c>
      <c r="I12" s="0" t="n">
        <v>-853.459177270182</v>
      </c>
      <c r="J12" s="0" t="n">
        <v>216649.990572171</v>
      </c>
      <c r="K12" s="0" t="n">
        <v>21062.3702632539</v>
      </c>
    </row>
    <row r="13" customFormat="false" ht="12" hidden="false" customHeight="false" outlineLevel="0" collapsed="false">
      <c r="A13" s="0" t="n">
        <v>4.5</v>
      </c>
      <c r="B13" s="0" t="n">
        <v>100.06</v>
      </c>
      <c r="C13" s="0" t="n">
        <v>10.52</v>
      </c>
      <c r="D13" s="0" t="n">
        <v>-744.539342699308</v>
      </c>
      <c r="E13" s="0" t="n">
        <v>194455.779293564</v>
      </c>
      <c r="F13" s="0" t="n">
        <v>15153.2881688626</v>
      </c>
      <c r="G13" s="0" t="n">
        <v>51.7655325939484</v>
      </c>
      <c r="I13" s="0" t="n">
        <v>-782.766814657738</v>
      </c>
      <c r="J13" s="0" t="n">
        <v>199553.363183164</v>
      </c>
      <c r="K13" s="0" t="n">
        <v>19927.301924643</v>
      </c>
    </row>
    <row r="14" customFormat="false" ht="12" hidden="false" customHeight="false" outlineLevel="0" collapsed="false">
      <c r="A14" s="0" t="n">
        <v>5</v>
      </c>
      <c r="B14" s="0" t="n">
        <v>98.32</v>
      </c>
      <c r="C14" s="0" t="n">
        <v>9.22</v>
      </c>
      <c r="D14" s="0" t="n">
        <v>-772.762274954853</v>
      </c>
      <c r="E14" s="0" t="n">
        <v>202935.958810456</v>
      </c>
      <c r="F14" s="0" t="n">
        <v>15907.8002719613</v>
      </c>
      <c r="G14" s="0" t="n">
        <v>54.5919151864404</v>
      </c>
      <c r="I14" s="0" t="n">
        <v>-817.794999294048</v>
      </c>
      <c r="J14" s="0" t="n">
        <v>207928.494140396</v>
      </c>
      <c r="K14" s="0" t="n">
        <v>20502.031731895</v>
      </c>
    </row>
    <row r="15" customFormat="false" ht="12" hidden="false" customHeight="false" outlineLevel="0" collapsed="false">
      <c r="A15" s="0" t="n">
        <v>5.5</v>
      </c>
      <c r="B15" s="0" t="n">
        <v>100.56</v>
      </c>
      <c r="C15" s="0" t="n">
        <v>8.62</v>
      </c>
      <c r="D15" s="0" t="n">
        <v>-803.719606567264</v>
      </c>
      <c r="E15" s="0" t="n">
        <v>210656.661567564</v>
      </c>
      <c r="F15" s="0" t="n">
        <v>17309.2943474356</v>
      </c>
      <c r="G15" s="0" t="n">
        <v>55.5186920156792</v>
      </c>
      <c r="I15" s="0" t="n">
        <v>-850.852630037444</v>
      </c>
      <c r="J15" s="0" t="n">
        <v>215452.192640425</v>
      </c>
      <c r="K15" s="0" t="n">
        <v>21815.6245745157</v>
      </c>
    </row>
    <row r="16" customFormat="false" ht="12" hidden="false" customHeight="false" outlineLevel="0" collapsed="false">
      <c r="A16" s="0" t="n">
        <v>6</v>
      </c>
      <c r="B16" s="0" t="n">
        <v>100.34</v>
      </c>
      <c r="C16" s="0" t="n">
        <v>7.4</v>
      </c>
      <c r="D16" s="0" t="n">
        <v>-793.805663304448</v>
      </c>
      <c r="E16" s="0" t="n">
        <v>207568.415036822</v>
      </c>
      <c r="F16" s="0" t="n">
        <v>17416.3905825508</v>
      </c>
      <c r="G16" s="0" t="n">
        <v>55.2514363721482</v>
      </c>
      <c r="I16" s="0" t="n">
        <v>-841.861158570151</v>
      </c>
      <c r="J16" s="0" t="n">
        <v>211540.061932943</v>
      </c>
      <c r="K16" s="0" t="n">
        <v>21207.991977833</v>
      </c>
    </row>
    <row r="17" customFormat="false" ht="12" hidden="false" customHeight="false" outlineLevel="0" collapsed="false">
      <c r="A17" s="0" t="n">
        <v>6.5</v>
      </c>
      <c r="B17" s="0" t="n">
        <v>99.44</v>
      </c>
      <c r="C17" s="0" t="n">
        <v>6.06</v>
      </c>
      <c r="D17" s="0" t="n">
        <v>-745.303785655213</v>
      </c>
      <c r="E17" s="0" t="n">
        <v>193423.677584117</v>
      </c>
      <c r="F17" s="0" t="n">
        <v>17033.4328968505</v>
      </c>
      <c r="G17" s="0" t="n">
        <v>36.5879772010186</v>
      </c>
      <c r="I17" s="0" t="n">
        <v>-775.591036667257</v>
      </c>
      <c r="J17" s="0" t="n">
        <v>196479.66603954</v>
      </c>
      <c r="K17" s="0" t="n">
        <v>19988.4526934353</v>
      </c>
    </row>
    <row r="18" customFormat="false" ht="12" hidden="false" customHeight="false" outlineLevel="0" collapsed="false">
      <c r="A18" s="0" t="n">
        <v>7</v>
      </c>
      <c r="B18" s="0" t="n">
        <v>98.06</v>
      </c>
      <c r="C18" s="0" t="n">
        <v>4.28</v>
      </c>
      <c r="D18" s="0" t="n">
        <v>-718.712456241237</v>
      </c>
      <c r="E18" s="0" t="n">
        <v>187467.974202897</v>
      </c>
      <c r="F18" s="0" t="n">
        <v>16651.5248720939</v>
      </c>
      <c r="G18" s="0" t="n">
        <v>27.410055515743</v>
      </c>
      <c r="I18" s="0" t="n">
        <v>-742.263009511953</v>
      </c>
      <c r="J18" s="0" t="n">
        <v>189615.119580323</v>
      </c>
      <c r="K18" s="0" t="n">
        <v>18764.7603598154</v>
      </c>
    </row>
    <row r="19" customFormat="false" ht="12" hidden="false" customHeight="false" outlineLevel="0" collapsed="false">
      <c r="A19" s="0" t="n">
        <v>7.5</v>
      </c>
      <c r="B19" s="0" t="n">
        <v>100.52</v>
      </c>
      <c r="C19" s="0" t="n">
        <v>5.14</v>
      </c>
      <c r="D19" s="0" t="n">
        <v>-813.982653877037</v>
      </c>
      <c r="E19" s="0" t="n">
        <v>212082.509113008</v>
      </c>
      <c r="F19" s="0" t="n">
        <v>18595.7178444858</v>
      </c>
      <c r="G19" s="0" t="n">
        <v>40.8074879055184</v>
      </c>
      <c r="I19" s="0" t="n">
        <v>-850.250779326419</v>
      </c>
      <c r="J19" s="0" t="n">
        <v>214968.400437329</v>
      </c>
      <c r="K19" s="0" t="n">
        <v>21409.0222129718</v>
      </c>
    </row>
    <row r="20" customFormat="false" ht="12" hidden="false" customHeight="false" outlineLevel="0" collapsed="false">
      <c r="A20" s="0" t="n">
        <v>8</v>
      </c>
      <c r="B20" s="0" t="n">
        <v>101.92</v>
      </c>
      <c r="C20" s="0" t="n">
        <v>3.62</v>
      </c>
      <c r="D20" s="0" t="n">
        <v>-753.454813365807</v>
      </c>
      <c r="E20" s="0" t="n">
        <v>197202.093951373</v>
      </c>
      <c r="F20" s="0" t="n">
        <v>17658.7949712757</v>
      </c>
      <c r="G20" s="0" t="n">
        <v>28.9043204404991</v>
      </c>
      <c r="I20" s="0" t="n">
        <v>-779.546987016702</v>
      </c>
      <c r="J20" s="0" t="n">
        <v>199247.598066797</v>
      </c>
      <c r="K20" s="0" t="n">
        <v>19593.8131718158</v>
      </c>
    </row>
    <row r="21" customFormat="false" ht="12" hidden="false" customHeight="false" outlineLevel="0" collapsed="false">
      <c r="A21" s="0" t="n">
        <v>8.5</v>
      </c>
      <c r="B21" s="0" t="n">
        <v>100.76</v>
      </c>
      <c r="C21" s="0" t="n">
        <v>3.98</v>
      </c>
      <c r="D21" s="0" t="n">
        <v>-799.15756154509</v>
      </c>
      <c r="E21" s="0" t="n">
        <v>207508.069553257</v>
      </c>
      <c r="F21" s="0" t="n">
        <v>19129.8332500065</v>
      </c>
      <c r="G21" s="0" t="n">
        <v>29.2804185752005</v>
      </c>
      <c r="I21" s="0" t="n">
        <v>-825.449804690773</v>
      </c>
      <c r="J21" s="0" t="n">
        <v>209699.002989959</v>
      </c>
      <c r="K21" s="0" t="n">
        <v>21294.2389279988</v>
      </c>
    </row>
    <row r="22" customFormat="false" ht="12" hidden="false" customHeight="false" outlineLevel="0" collapsed="false">
      <c r="A22" s="0" t="n">
        <v>9</v>
      </c>
      <c r="B22" s="0" t="n">
        <v>101.66</v>
      </c>
      <c r="C22" s="0" t="n">
        <v>3.32</v>
      </c>
      <c r="D22" s="0" t="n">
        <v>-751.749718423493</v>
      </c>
      <c r="E22" s="0" t="n">
        <v>195269.994869583</v>
      </c>
      <c r="F22" s="0" t="n">
        <v>18144.9752940143</v>
      </c>
      <c r="G22" s="0" t="n">
        <v>28.2048770385204</v>
      </c>
      <c r="I22" s="0" t="n">
        <v>-777.582842897527</v>
      </c>
      <c r="J22" s="0" t="n">
        <v>197136.169013586</v>
      </c>
      <c r="K22" s="0" t="n">
        <v>19953.7494380173</v>
      </c>
    </row>
    <row r="23" customFormat="false" ht="12" hidden="false" customHeight="false" outlineLevel="0" collapsed="false">
      <c r="A23" s="0" t="n">
        <v>9.5</v>
      </c>
      <c r="B23" s="0" t="n">
        <v>102.18</v>
      </c>
      <c r="C23" s="0" t="n">
        <v>3.42</v>
      </c>
      <c r="D23" s="0" t="n">
        <v>-820.795387462523</v>
      </c>
      <c r="E23" s="0" t="n">
        <v>213030.288485421</v>
      </c>
      <c r="F23" s="0" t="n">
        <v>19669.1671932055</v>
      </c>
      <c r="G23" s="0" t="n">
        <v>37.3256869641087</v>
      </c>
      <c r="I23" s="0" t="n">
        <v>-856.415206948803</v>
      </c>
      <c r="J23" s="0" t="n">
        <v>215076.669908866</v>
      </c>
      <c r="K23" s="0" t="n">
        <v>21663.5960576098</v>
      </c>
    </row>
    <row r="24" customFormat="false" ht="12" hidden="false" customHeight="false" outlineLevel="0" collapsed="false">
      <c r="A24" s="0" t="n">
        <v>10</v>
      </c>
      <c r="B24" s="0" t="n">
        <v>98.8</v>
      </c>
      <c r="C24" s="0" t="n">
        <v>2.16</v>
      </c>
      <c r="D24" s="0" t="n">
        <v>-765.056765727562</v>
      </c>
      <c r="E24" s="0" t="n">
        <v>199959.141489586</v>
      </c>
      <c r="F24" s="0" t="n">
        <v>18658.5768655637</v>
      </c>
      <c r="G24" s="0" t="n">
        <v>20.7598865086211</v>
      </c>
      <c r="I24" s="0" t="n">
        <v>-784.471475194378</v>
      </c>
      <c r="J24" s="0" t="n">
        <v>201135.789864547</v>
      </c>
      <c r="K24" s="0" t="n">
        <v>19835.2252405254</v>
      </c>
    </row>
    <row r="25" customFormat="false" ht="12" hidden="false" customHeight="false" outlineLevel="0" collapsed="false">
      <c r="A25" s="0" t="n">
        <v>10.5</v>
      </c>
      <c r="B25" s="0" t="n">
        <v>102.42</v>
      </c>
      <c r="C25" s="0" t="n">
        <v>2.72</v>
      </c>
      <c r="D25" s="0" t="n">
        <v>-806.099356461623</v>
      </c>
      <c r="E25" s="0" t="n">
        <v>207249.907347466</v>
      </c>
      <c r="F25" s="0" t="n">
        <v>20090.3935263546</v>
      </c>
      <c r="G25" s="0" t="n">
        <v>29.1060258794754</v>
      </c>
      <c r="I25" s="0" t="n">
        <v>-833.488538429193</v>
      </c>
      <c r="J25" s="0" t="n">
        <v>208878.923882521</v>
      </c>
      <c r="K25" s="0" t="n">
        <v>21669.4100614095</v>
      </c>
    </row>
    <row r="26" customFormat="false" ht="12" hidden="false" customHeight="false" outlineLevel="0" collapsed="false">
      <c r="A26" s="0" t="n">
        <v>11</v>
      </c>
      <c r="B26" s="0" t="n">
        <v>100.1</v>
      </c>
      <c r="C26" s="0" t="n">
        <v>2.06</v>
      </c>
      <c r="D26" s="0" t="n">
        <v>-822.372683012133</v>
      </c>
      <c r="E26" s="0" t="n">
        <v>214866.471778928</v>
      </c>
      <c r="F26" s="0" t="n">
        <v>20464.0753891352</v>
      </c>
      <c r="G26" s="0" t="n">
        <v>24.8420821892289</v>
      </c>
      <c r="I26" s="0" t="n">
        <v>-845.504244125881</v>
      </c>
      <c r="J26" s="0" t="n">
        <v>216054.174830338</v>
      </c>
      <c r="K26" s="0" t="n">
        <v>21651.7784405452</v>
      </c>
    </row>
    <row r="27" customFormat="false" ht="12" hidden="false" customHeight="false" outlineLevel="0" collapsed="false">
      <c r="A27" s="0" t="n">
        <v>11.5</v>
      </c>
      <c r="B27" s="0" t="n">
        <v>102.74</v>
      </c>
      <c r="C27" s="0" t="n">
        <v>2.08</v>
      </c>
      <c r="D27" s="0" t="n">
        <v>-786.256818502788</v>
      </c>
      <c r="E27" s="0" t="n">
        <v>203801.442540391</v>
      </c>
      <c r="F27" s="0" t="n">
        <v>19957.9825270461</v>
      </c>
      <c r="G27" s="0" t="n">
        <v>21.7589225182132</v>
      </c>
      <c r="I27" s="0" t="n">
        <v>-806.867945987954</v>
      </c>
      <c r="J27" s="0" t="n">
        <v>205002.480122406</v>
      </c>
      <c r="K27" s="0" t="n">
        <v>21126.0201090605</v>
      </c>
    </row>
    <row r="28" customFormat="false" ht="12" hidden="false" customHeight="false" outlineLevel="0" collapsed="false">
      <c r="A28" s="0" t="n">
        <v>12</v>
      </c>
      <c r="B28" s="0" t="n">
        <v>100.08</v>
      </c>
      <c r="C28" s="0" t="n">
        <v>1.8</v>
      </c>
      <c r="D28" s="0" t="n">
        <v>-806.476267653092</v>
      </c>
      <c r="E28" s="0" t="n">
        <v>210151.319642538</v>
      </c>
      <c r="F28" s="0" t="n">
        <v>20315.5177719853</v>
      </c>
      <c r="G28" s="0" t="n">
        <v>18.3664185830783</v>
      </c>
      <c r="I28" s="0" t="n">
        <v>-824.042141981643</v>
      </c>
      <c r="J28" s="0" t="n">
        <v>211312.632548407</v>
      </c>
      <c r="K28" s="0" t="n">
        <v>21402.2306778544</v>
      </c>
    </row>
    <row r="29" customFormat="false" ht="12" hidden="false" customHeight="false" outlineLevel="0" collapsed="false">
      <c r="A29" s="0" t="n">
        <v>12.5</v>
      </c>
      <c r="B29" s="0" t="n">
        <v>101.24</v>
      </c>
      <c r="C29" s="0" t="n">
        <v>1.96</v>
      </c>
      <c r="D29" s="0" t="n">
        <v>-794.121464457096</v>
      </c>
      <c r="E29" s="0" t="n">
        <v>204799.906859899</v>
      </c>
      <c r="F29" s="0" t="n">
        <v>19988.1163575741</v>
      </c>
      <c r="G29" s="0" t="n">
        <v>22.1975439106855</v>
      </c>
      <c r="I29" s="0" t="n">
        <v>-815.52231459426</v>
      </c>
      <c r="J29" s="0" t="n">
        <v>205957.681862701</v>
      </c>
      <c r="K29" s="0" t="n">
        <v>21099.2460523534</v>
      </c>
    </row>
    <row r="30" customFormat="false" ht="12" hidden="false" customHeight="false" outlineLevel="0" collapsed="false">
      <c r="A30" s="0" t="n">
        <v>13</v>
      </c>
      <c r="B30" s="0" t="n">
        <v>99.38</v>
      </c>
      <c r="C30" s="0" t="n">
        <v>1.86</v>
      </c>
      <c r="D30" s="0" t="n">
        <v>-799.404444263792</v>
      </c>
      <c r="E30" s="0" t="n">
        <v>205468.021433502</v>
      </c>
      <c r="F30" s="0" t="n">
        <v>19440.7000430737</v>
      </c>
      <c r="G30" s="0" t="n">
        <v>17.6798408439919</v>
      </c>
      <c r="I30" s="0" t="n">
        <v>-816.544246514805</v>
      </c>
      <c r="J30" s="0" t="n">
        <v>206495.302031743</v>
      </c>
      <c r="K30" s="0" t="n">
        <v>20438.1806413145</v>
      </c>
    </row>
    <row r="31" customFormat="false" ht="12" hidden="false" customHeight="false" outlineLevel="0" collapsed="false">
      <c r="A31" s="0" t="n">
        <v>13.5</v>
      </c>
      <c r="B31" s="0" t="n">
        <v>99</v>
      </c>
      <c r="C31" s="0" t="n">
        <v>1.7</v>
      </c>
      <c r="D31" s="0" t="n">
        <v>-792.751831321514</v>
      </c>
      <c r="E31" s="0" t="n">
        <v>204114.056793216</v>
      </c>
      <c r="F31" s="0" t="n">
        <v>18931.4426149096</v>
      </c>
      <c r="G31" s="0" t="n">
        <v>17.3983630054719</v>
      </c>
      <c r="I31" s="0" t="n">
        <v>-809.582334770129</v>
      </c>
      <c r="J31" s="0" t="n">
        <v>205074.373353624</v>
      </c>
      <c r="K31" s="0" t="n">
        <v>19891.7591753184</v>
      </c>
    </row>
    <row r="32" customFormat="false" ht="12" hidden="false" customHeight="false" outlineLevel="0" collapsed="false">
      <c r="A32" s="0" t="n">
        <v>14</v>
      </c>
      <c r="B32" s="0" t="n">
        <v>100.98</v>
      </c>
      <c r="C32" s="0" t="n">
        <v>1.78</v>
      </c>
      <c r="D32" s="0" t="n">
        <v>-818.175417515114</v>
      </c>
      <c r="E32" s="0" t="n">
        <v>210860.619336488</v>
      </c>
      <c r="F32" s="0" t="n">
        <v>20267.4633340831</v>
      </c>
      <c r="G32" s="0" t="n">
        <v>26.0011551828838</v>
      </c>
      <c r="I32" s="0" t="n">
        <v>-843.364739367174</v>
      </c>
      <c r="J32" s="0" t="n">
        <v>211944.588745475</v>
      </c>
      <c r="K32" s="0" t="n">
        <v>21351.4327430709</v>
      </c>
    </row>
    <row r="33" customFormat="false" ht="12" hidden="false" customHeight="false" outlineLevel="0" collapsed="false">
      <c r="A33" s="0" t="n">
        <v>14.5</v>
      </c>
      <c r="B33" s="0" t="n">
        <v>101.54</v>
      </c>
      <c r="C33" s="0" t="n">
        <v>1.24</v>
      </c>
      <c r="D33" s="0" t="n">
        <v>-736.674325905671</v>
      </c>
      <c r="E33" s="0" t="n">
        <v>190255.536816008</v>
      </c>
      <c r="F33" s="0" t="n">
        <v>18696.9392843465</v>
      </c>
      <c r="G33" s="0" t="n">
        <v>15.472582913928</v>
      </c>
      <c r="I33" s="0" t="n">
        <v>-751.828440257233</v>
      </c>
      <c r="J33" s="0" t="n">
        <v>191062.779083682</v>
      </c>
      <c r="K33" s="0" t="n">
        <v>19432.7815520202</v>
      </c>
    </row>
    <row r="34" customFormat="false" ht="12" hidden="false" customHeight="false" outlineLevel="0" collapsed="false">
      <c r="A34" s="0" t="n">
        <v>15</v>
      </c>
      <c r="B34" s="0" t="n">
        <v>100.32</v>
      </c>
      <c r="C34" s="0" t="n">
        <v>1.74</v>
      </c>
      <c r="D34" s="0" t="n">
        <v>-879.303086326396</v>
      </c>
      <c r="E34" s="0" t="n">
        <v>227323.463356786</v>
      </c>
      <c r="F34" s="0" t="n">
        <v>21528.2702953316</v>
      </c>
      <c r="G34" s="0" t="n">
        <v>23.7553151790426</v>
      </c>
      <c r="I34" s="0" t="n">
        <v>-902.741785077347</v>
      </c>
      <c r="J34" s="0" t="n">
        <v>228428.493882699</v>
      </c>
      <c r="K34" s="0" t="n">
        <v>22596.5008212442</v>
      </c>
    </row>
    <row r="35" customFormat="false" ht="12" hidden="false" customHeight="false" outlineLevel="0" collapsed="false">
      <c r="A35" s="0" t="n">
        <v>15.5</v>
      </c>
      <c r="B35" s="0" t="n">
        <v>102.62</v>
      </c>
      <c r="C35" s="0" t="n">
        <v>1.64</v>
      </c>
      <c r="D35" s="0" t="n">
        <v>-874.222532530993</v>
      </c>
      <c r="E35" s="0" t="n">
        <v>224673.991423298</v>
      </c>
      <c r="F35" s="0" t="n">
        <v>22385.8825597537</v>
      </c>
      <c r="G35" s="0" t="n">
        <v>27.5207135686579</v>
      </c>
      <c r="I35" s="0" t="n">
        <v>-900.998168316079</v>
      </c>
      <c r="J35" s="0" t="n">
        <v>225757.231155017</v>
      </c>
      <c r="K35" s="0" t="n">
        <v>23426.8130474213</v>
      </c>
    </row>
    <row r="36" customFormat="false" ht="12" hidden="false" customHeight="false" outlineLevel="0" collapsed="false">
      <c r="A36" s="0" t="n">
        <v>16</v>
      </c>
      <c r="B36" s="0" t="n">
        <v>99.92</v>
      </c>
      <c r="C36" s="0" t="n">
        <v>1.24</v>
      </c>
      <c r="D36" s="0" t="n">
        <v>-787.445583839213</v>
      </c>
      <c r="E36" s="0" t="n">
        <v>203425.819833357</v>
      </c>
      <c r="F36" s="0" t="n">
        <v>19408.0757948225</v>
      </c>
      <c r="G36" s="0" t="n">
        <v>15.398123479177</v>
      </c>
      <c r="I36" s="0" t="n">
        <v>-802.530447942072</v>
      </c>
      <c r="J36" s="0" t="n">
        <v>204253.815710496</v>
      </c>
      <c r="K36" s="0" t="n">
        <v>20217.5345429484</v>
      </c>
    </row>
    <row r="37" customFormat="false" ht="12" hidden="false" customHeight="false" outlineLevel="0" collapsed="false">
      <c r="A37" s="0" t="n">
        <v>16.5</v>
      </c>
      <c r="B37" s="0" t="n">
        <v>102.04</v>
      </c>
      <c r="C37" s="0" t="n">
        <v>1.46</v>
      </c>
      <c r="D37" s="0" t="n">
        <v>-890.370549810943</v>
      </c>
      <c r="E37" s="0" t="n">
        <v>228903.649264135</v>
      </c>
      <c r="F37" s="0" t="n">
        <v>23137.275694601</v>
      </c>
      <c r="G37" s="0" t="n">
        <v>22.041766673419</v>
      </c>
      <c r="I37" s="0" t="n">
        <v>-912.070871893503</v>
      </c>
      <c r="J37" s="0" t="n">
        <v>229816.948212396</v>
      </c>
      <c r="K37" s="0" t="n">
        <v>24050.5746428623</v>
      </c>
    </row>
    <row r="38" customFormat="false" ht="12" hidden="false" customHeight="false" outlineLevel="0" collapsed="false">
      <c r="A38" s="0" t="n">
        <v>17</v>
      </c>
      <c r="B38" s="0" t="n">
        <v>102.44</v>
      </c>
      <c r="C38" s="0" t="n">
        <v>1.3</v>
      </c>
      <c r="D38" s="0" t="n">
        <v>-823.831774156667</v>
      </c>
      <c r="E38" s="0" t="n">
        <v>211691.7466113</v>
      </c>
      <c r="F38" s="0" t="n">
        <v>21255.0991089248</v>
      </c>
      <c r="G38" s="0" t="n">
        <v>16.4765839238436</v>
      </c>
      <c r="I38" s="0" t="n">
        <v>-839.89169259821</v>
      </c>
      <c r="J38" s="0" t="n">
        <v>212420.598009699</v>
      </c>
      <c r="K38" s="0" t="n">
        <v>21983.9505073241</v>
      </c>
    </row>
    <row r="39" customFormat="false" ht="12" hidden="false" customHeight="false" outlineLevel="0" collapsed="false">
      <c r="A39" s="0" t="n">
        <v>17.5</v>
      </c>
      <c r="B39" s="0" t="n">
        <v>100.7</v>
      </c>
      <c r="C39" s="0" t="n">
        <v>1.16</v>
      </c>
      <c r="D39" s="0" t="n">
        <v>-830.014877375731</v>
      </c>
      <c r="E39" s="0" t="n">
        <v>213017.143701227</v>
      </c>
      <c r="F39" s="0" t="n">
        <v>20779.8504594751</v>
      </c>
      <c r="G39" s="0" t="n">
        <v>15.6252354612578</v>
      </c>
      <c r="I39" s="0" t="n">
        <v>-845.26767488511</v>
      </c>
      <c r="J39" s="0" t="n">
        <v>213684.919854008</v>
      </c>
      <c r="K39" s="0" t="n">
        <v>21447.6266122566</v>
      </c>
    </row>
    <row r="40" customFormat="false" ht="12" hidden="false" customHeight="false" outlineLevel="0" collapsed="false">
      <c r="A40" s="0" t="n">
        <v>18</v>
      </c>
      <c r="B40" s="0" t="n">
        <v>100.06</v>
      </c>
      <c r="C40" s="0" t="n">
        <v>1.06</v>
      </c>
      <c r="D40" s="0" t="n">
        <v>-804.741254197351</v>
      </c>
      <c r="E40" s="0" t="n">
        <v>207432.604518963</v>
      </c>
      <c r="F40" s="0" t="n">
        <v>19692.7596714614</v>
      </c>
      <c r="G40" s="0" t="n">
        <v>10.7070507783095</v>
      </c>
      <c r="I40" s="0" t="n">
        <v>-815.217505563816</v>
      </c>
      <c r="J40" s="0" t="n">
        <v>208036.965835261</v>
      </c>
      <c r="K40" s="0" t="n">
        <v>20297.1209877586</v>
      </c>
    </row>
    <row r="41" customFormat="false" ht="12" hidden="false" customHeight="false" outlineLevel="0" collapsed="false">
      <c r="A41" s="0" t="n">
        <v>18.5</v>
      </c>
      <c r="B41" s="0" t="n">
        <v>100.6</v>
      </c>
      <c r="C41" s="0" t="n">
        <v>0.64</v>
      </c>
      <c r="D41" s="0" t="n">
        <v>-879.618075548711</v>
      </c>
      <c r="E41" s="0" t="n">
        <v>227976.824600087</v>
      </c>
      <c r="F41" s="0" t="n">
        <v>22282.9912529066</v>
      </c>
      <c r="G41" s="0" t="n">
        <v>8.25700786354012</v>
      </c>
      <c r="I41" s="0" t="n">
        <v>-887.512641092983</v>
      </c>
      <c r="J41" s="0" t="n">
        <v>228368.975829329</v>
      </c>
      <c r="K41" s="0" t="n">
        <v>22675.1424821493</v>
      </c>
    </row>
    <row r="42" customFormat="false" ht="12" hidden="false" customHeight="false" outlineLevel="0" collapsed="false">
      <c r="A42" s="0" t="n">
        <v>19</v>
      </c>
      <c r="B42" s="0" t="n">
        <v>99.42</v>
      </c>
      <c r="C42" s="0" t="n">
        <v>0.94</v>
      </c>
      <c r="D42" s="0" t="n">
        <v>-791.928048269146</v>
      </c>
      <c r="E42" s="0" t="n">
        <v>202812.059618006</v>
      </c>
      <c r="F42" s="0" t="n">
        <v>19360.5909085515</v>
      </c>
      <c r="G42" s="0" t="n">
        <v>9.27615323978039</v>
      </c>
      <c r="I42" s="0" t="n">
        <v>-800.748832758412</v>
      </c>
      <c r="J42" s="0" t="n">
        <v>203357.271321852</v>
      </c>
      <c r="K42" s="0" t="n">
        <v>19905.8026123973</v>
      </c>
    </row>
    <row r="43" customFormat="false" ht="12" hidden="false" customHeight="false" outlineLevel="0" collapsed="false">
      <c r="A43" s="0" t="n">
        <v>19.5</v>
      </c>
      <c r="B43" s="0" t="n">
        <v>102.04</v>
      </c>
      <c r="C43" s="0" t="n">
        <v>0.74</v>
      </c>
      <c r="D43" s="0" t="n">
        <v>-754.038711312877</v>
      </c>
      <c r="E43" s="0" t="n">
        <v>193519.876714797</v>
      </c>
      <c r="F43" s="0" t="n">
        <v>18907.8228498222</v>
      </c>
      <c r="G43" s="0" t="n">
        <v>10.8858562167892</v>
      </c>
      <c r="I43" s="0" t="n">
        <v>-764.732203957027</v>
      </c>
      <c r="J43" s="0" t="n">
        <v>194015.51971227</v>
      </c>
      <c r="K43" s="0" t="n">
        <v>19403.4658472956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2001-11-15T08:56:37Z</dcterms:created>
  <dc:creator>David M Levinson</dc:creator>
  <dc:description/>
  <dc:language>en-AU</dc:language>
  <cp:lastModifiedBy>David Levinson</cp:lastModifiedBy>
  <dcterms:modified xsi:type="dcterms:W3CDTF">2001-11-16T04:35:33Z</dcterms:modified>
  <cp:revision>0</cp:revision>
  <dc:subject/>
  <dc:title/>
</cp:coreProperties>
</file>